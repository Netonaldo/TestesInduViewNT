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defaultThemeVersion="124226"/>
  <mc:AlternateContent xmlns:mc="http://schemas.openxmlformats.org/markup-compatibility/2006">
    <mc:Choice Requires="x15">
      <x15ac:absPath xmlns:x15ac="http://schemas.microsoft.com/office/spreadsheetml/2010/11/ac" url="N:\ENGENHARIA\Clientes\Em Andamento\SADA\Eber Bio\ATK_102_25_REV02_R3_(SADA_EBER_Montagem Processo Milho)\Dados de Entrada\Documentos Internos\"/>
    </mc:Choice>
  </mc:AlternateContent>
  <xr:revisionPtr revIDLastSave="0" documentId="8_{0E30ADE5-FF7C-4733-8082-8A6246412260}" xr6:coauthVersionLast="47" xr6:coauthVersionMax="47" xr10:uidLastSave="{00000000-0000-0000-0000-000000000000}"/>
  <bookViews>
    <workbookView xWindow="20370" yWindow="-120" windowWidth="29040" windowHeight="15840" xr2:uid="{8991A6C7-EE87-452E-91A7-DDAB5EC811A0}"/>
  </bookViews>
  <sheets>
    <sheet name="Mestre" sheetId="1" r:id="rId1"/>
  </sheets>
  <externalReferences>
    <externalReference r:id="rId2"/>
  </externalReferences>
  <definedNames>
    <definedName name="__123Graph_A" hidden="1">#REF!</definedName>
    <definedName name="__123Graph_X" hidden="1">#REF!</definedName>
    <definedName name="_Fill" hidden="1">#REF!</definedName>
    <definedName name="_xlnm._FilterDatabase" localSheetId="0" hidden="1">Mestre!$G$102:$CC$454</definedName>
    <definedName name="_Key1" hidden="1">#REF!</definedName>
    <definedName name="_Order1" hidden="1">255</definedName>
    <definedName name="_Sort" hidden="1">#REF!</definedName>
    <definedName name="Administrativo_Custo_Fx">'[1]Cockpit Retorno'!$D$41</definedName>
    <definedName name="Atendentes_Instr_Campo_QT" comment="Total de Atendentes especialistas em Comissionamento de instrumentos em campo. Parte integrante do time de Startup ">'[1]Calc Eng'!$B$53</definedName>
    <definedName name="Atendentes_Senior_QT" comment="Porcentagem estimada de atendentes especialistas, diretoria, gerente Enegenharia definida para Obra">'[1]Calc Eng'!$B$51</definedName>
    <definedName name="Atendentes_Sistema_Processo_QT" comment="Total de atendente de sistema, de desenvolvimento de Software e sistema">'[1]Calc Eng'!$B$52</definedName>
    <definedName name="Atendentes_Total" comment="Total de Atendentes previsto Comissionamento, Startup e Operação Assistida">'[1]Calc Eng'!$B$28</definedName>
    <definedName name="ATK_INTEG" comment="Custo HH para Integração para Efetivo">SUM('[1]Resumo_HIA_HIC_HOC '!$Q$6:$Q$8)</definedName>
    <definedName name="ATK_LOG">'[1]Resumo_HIA_HIC_HOC '!$E$13</definedName>
    <definedName name="ATK_LOG_INT">'[1]Resumo_HIA_HIC_HOC '!$F$13</definedName>
    <definedName name="ATK_LOG_MOB">'[1]Resumo_HIA_HIC_HOC '!$G$13</definedName>
    <definedName name="ATK_MOA">'[1]Resumo_HIA_HIC_HOC '!$E$6</definedName>
    <definedName name="ATK_MOA_INT">'[1]Resumo_HIA_HIC_HOC '!$F$6</definedName>
    <definedName name="ATK_MOA_MOB">'[1]Resumo_HIA_HIC_HOC '!$G$6</definedName>
    <definedName name="ATK_MOB">'[1]Resumo_HIA_HIC_HOC '!$L$12</definedName>
    <definedName name="ATK_MOD">'[1]Resumo_HIA_HIC_HOC '!$E$8</definedName>
    <definedName name="ATK_MOD_INT">'[1]Resumo_HIA_HIC_HOC '!$F$8</definedName>
    <definedName name="ATK_MOD_MOB">'[1]Resumo_HIA_HIC_HOC '!$G$8</definedName>
    <definedName name="ATK_MOI">'[1]Resumo_HIA_HIC_HOC '!$E$7</definedName>
    <definedName name="ATK_MOI_INT">'[1]Resumo_HIA_HIC_HOC '!$F$7</definedName>
    <definedName name="ATK_MOI_MOB">'[1]Resumo_HIA_HIC_HOC '!$G$7</definedName>
    <definedName name="ATK_periculosidade">'[1]Resumo_HIA_HIC_HOC '!$E$10</definedName>
    <definedName name="ATK_Serviços">'[1]Cockpit Retorno'!$L$2</definedName>
    <definedName name="ATK_SSMA">'[1]Resumo_HIA_HIC_HOC '!$L$11</definedName>
    <definedName name="ATK_Turnover">'[1]Resumo_HIA_HIC_HOC '!$E$9</definedName>
    <definedName name="Base_REAJUSTE_MOD_E_MOI" comment="Fator de reajuste da tabela base da COLUNA QJ">'[1]Custo MO Impostos Obras'!$F$6</definedName>
    <definedName name="BDI" comment="Taxa BDI BENEFICIOS DE DESPESAS INDIRETAS">[1]BDI!$G$24</definedName>
    <definedName name="C_ADM_Geral" comment="Custo administrativo geral. Para emissão de notas , para trabalho interno etc..">0.1</definedName>
    <definedName name="Capital_Giro_ATM" comment="Capital Giro Bancar Fluxo">'[1]Cockpit Retorno'!$C$42</definedName>
    <definedName name="Capital_Giro_Passivo_BNC_Passivo_Tributario_Tarifas_Advogados">'[1]Cockpit Retorno'!$AFR$174</definedName>
    <definedName name="Capital_Giro_Passivo_Custo_Fx">'[1]Cockpit Retorno'!$D$42</definedName>
    <definedName name="Casa_Total_Ocupantes" comment="Numero médio de funcionários">[1]TESTE_LOG_OBRA!$J$38</definedName>
    <definedName name="Cesta_Básica_Total">'[1]Resumo_HIA_HIC_HOC '!$G$23</definedName>
    <definedName name="CODENOME1" hidden="1">#N/A</definedName>
    <definedName name="Cofins__ATK">[1]Impostos_Taxas_ICMs!$I$31</definedName>
    <definedName name="Cofins__Sistema">[1]Impostos_Taxas_ICMs!$H$31</definedName>
    <definedName name="COFINS_lOG_MOB" comment="Logistica ou Mob Lucro Presumido COFINS">[1]Impostos_Taxas_ICMs!$K$25</definedName>
    <definedName name="COFINS_M_S" comment="COFINS Lucro Real Sistema">[1]Impostos_Taxas_ICMs!$H$6</definedName>
    <definedName name="Comercial_Custo_Fx">'[1]Cockpit Retorno'!$AFB$174</definedName>
    <definedName name="Conteiner_Aluguel_Mes" comment="Custo Médio de Locação de Conteiner. Não considerado Transporte">'[1]Calc Eng'!$B$44</definedName>
    <definedName name="Contratação_LOG_Integração_Cliente">[1]HIC_Histograma_Integra_Cliente!$I$51</definedName>
    <definedName name="Contratação_Total__Logística" comment="Custo que o RH tem para contratar para obra. Este custo deve se somar ao custo geral da obra. Na venda deve se estimar isto">[1]HIA_Histograma_Integração_ATM!$J$51</definedName>
    <definedName name="CSLL" comment="CSLL Lucro Presumido ou Real">[1]Impostos_Taxas_ICMs!$H$28</definedName>
    <definedName name="Custo_Comercial__Plus" comment="Custo comercial da Venda, custo extra devido a complexiadade do negocio">'[1]Cockpit Retorno'!$C$38</definedName>
    <definedName name="Custo_comercial_1" comment="Custo comercial direto da Venda padrões. Comissoes e custo comercial do negocio">'[1]Cockpit Retorno'!$C$37</definedName>
    <definedName name="Custo_Contingência" comment="Custo de contingencia da Obra">'[1]Cockpit Retorno'!$C$45</definedName>
    <definedName name="Custo_Financeiro_Exclusivo_do_Contrato" comment="finacanceiro do Contrato">'[1]Cockpit Retorno'!$C$43</definedName>
    <definedName name="Custo_fixo___Administrativo__Cartões__Carros__Manutenção__Custo_Consumo_interno__SSMA_interno__Alugueis__Luz__Água__Internet_Telefone__Material_escritório__Aquisições_Extra_OS__Totvs__Softwares" comment="Parte do custo admnistrativo, carros, que não sejam considerados na venda, material de ssma, telefones, custo de intra estrutura, que não foram considerados na venda">'[1]Cockpit Retorno'!$AFK$174</definedName>
    <definedName name="Custo_fixo_Adminstrativo" comment="Custo admnistrativo interno da OS">'[1]Cockpit Retorno'!$C$41</definedName>
    <definedName name="Custo_Impostos_Credito__Débito" comment="Resumo dos impostos a serem Pagos diretos">'[1]Cockpit Retorno'!$K$32</definedName>
    <definedName name="Custo_Total" comment="Custo total plnilha de retorno">'[1]Cockpit Retorno'!$C$47</definedName>
    <definedName name="Custos_Viagens__Feiras__Marketing__Filiais">'[1]Cockpit Retorno'!$AFB$171</definedName>
    <definedName name="Debito_Impostos" comment="Debito de impostos da Venda . Ja considerando Debito e credito impostos ICM">'[1]Cockpit Retorno'!$K$32</definedName>
    <definedName name="Diária_Casa_Custo_Atendente" comment="Custo por profissional da  Diária considerando ficar  em casa , base  Alugada. Considerado: Aluguel, Roupa Lavada, Luz, Agua e empregada. Não considerado Refeição. (Nota: cada Casa estima-se 5 profissionais). 6 meses minimo">'[1]Calc Eng'!$B$3</definedName>
    <definedName name="Diária_Casa_Geral" comment="Custo Diária casa estimada para no média de 6 atendentes">'[1]Calc Eng'!$B$4</definedName>
    <definedName name="Diária_Completa_Sem_Transporte" comment="Custo de uma diária Completa de um Atendente. Considerado:  Diaria de estadia (Hotel avulso), HH (10h) e Refeições. Sem Translado, sem km">'[1]Calc Eng'!$B$42</definedName>
    <definedName name="Diárias_Hotel_Avulsas_Custo" comment="Custo médio de diárias de hoteis avulsas, temporários.">'[1]Calc Eng'!$B$5</definedName>
    <definedName name="Diárias_Hotel_Negociada_Custo" comment="Custo Diária Hotel negociado em locais de Obras, de startup.">'[1]Calc Eng'!$B$6</definedName>
    <definedName name="Dias_Campo" comment="Padrão de dias fora de STZ. Dias na OBRA Considerado na Proposta">'[1]Calc Eng'!$B$33</definedName>
    <definedName name="Dificuldade_Projeto">'[1]Calc Eng'!$K$68</definedName>
    <definedName name="Distância_Base_PLANTA" comment="Distancia, em KM, da Planta até a cidade, ou local de hospedagem">'[1]Calc Eng'!$B$38</definedName>
    <definedName name="Distância_STZ_BASE" comment="Distancia da Base da ATK , na Cidade até STZ, Matriz">'[1]Calc Eng'!$B$37</definedName>
    <definedName name="Dolar_Referencia" comment="Ref Dolar">'[1]Cockpit Retorno'!$C$48</definedName>
    <definedName name="Domingo_H" comment="Horas Domingo">'[1]Calc Eng'!$B$61</definedName>
    <definedName name="Duração_Comissionamento__Startup" comment="Tempo considerado para Comissionamento, Startup e operação Assistida">'[1]Calc Eng'!$B$43</definedName>
    <definedName name="Duração_da_Obra_Efetiva_Em_Meses" comment="Duraçao efetiva da obra. Estimada para calculo de preposto e apoio">'[1]Calc Eng'!$I$101</definedName>
    <definedName name="Duração_Obra_Mês" comment="Tempo considerado para duração efetiva da Obra.">'[1]Calc Eng'!$B$32</definedName>
    <definedName name="Eficiencia_meta_venda" comment="ESta eficiencia esta correlacionada com valores">'[1]Cockpit Retorno'!$D$62</definedName>
    <definedName name="Equipe_Numero" comment="Equipe estiamda para Comissionamento, Startup e Operação Assistida. ">'[1]Calc Eng'!$B$34</definedName>
    <definedName name="Estimativa_Annual" comment="Estimativa vendas Ano">'[1]Cockpit Retorno'!$D$50</definedName>
    <definedName name="Fator_Venda">'[1]Cockpit Retorno'!$C$35</definedName>
    <definedName name="fill" hidden="1">#REF!</definedName>
    <definedName name="FN_CQ_Fator_Diluido" comment="Fator de custo interno do finceiro e da qualidade, considerando mais um tecnico CQ campo diluido na venda com base fat de 2020.">'[1]Cockpit Retorno'!$E$116</definedName>
    <definedName name="Frete_KM" comment="Custo básico de frete por KM. Multiplicar sempre quantidade estimada de viagem de transporte.">'[1]Calc Eng'!$B$18</definedName>
    <definedName name="HH_Extra_DIA" comment="Horas extras estimadas Dia">'[1]Calc Eng'!$B$63</definedName>
    <definedName name="HH_Histograma_Total" comment="Total de horas consideradas no Histograma Trabalhada, espera e da lei.">[1]HOC_Histograma_Obra!$F$41</definedName>
    <definedName name="HH_Total_Eng_Interna" comment="Total Geral de HH Engenharia interna Prevista">'[1]Calc Eng'!$O$56</definedName>
    <definedName name="Horas_Comissionamento_Startup" comment="Total de Horas previstas para Comissionamento, Startup e Operação Assistida">'[1]Calc Eng'!$B$48</definedName>
    <definedName name="Horas_Instr_Startup" comment="Total de Horas previstas para equipe de Instrumentistas de campo em comissionamento e Startup">'[1]Calc Eng'!$B$50</definedName>
    <definedName name="Horas_Normais_Mês" comment="Horas normais Trabalhadas Mês">'[1]Calc Eng'!$B$62</definedName>
    <definedName name="Horas_Preposto" comment="Total de HH prevista para Todos Prepostos somados na Obra">'[1]Calc Eng'!$L$53</definedName>
    <definedName name="Horas_Senior_Startup" comment="Horas previstas dee Seniores, Diretoria e Auditoria">'[1]Calc Eng'!$B$49</definedName>
    <definedName name="Horas_Sistema_Proj_Startup" comment="Horas Previstas para equipe de Startup Equipe direcionada a Sistema">'[1]Calc Eng'!$B$54</definedName>
    <definedName name="Horas_Trabalho_Média" comment="Quantidade prevista média máxima de Horas diária de Trabalho.">'[1]Calc Eng'!$B$29</definedName>
    <definedName name="ICM_a_ser_Descontado" comment="ICM que usaremos do nosso Crédito">[1]Impostos_Taxas_ICMs!$S$10</definedName>
    <definedName name="ICMS" comment="Venda No cliente">[1]Impostos_Taxas_ICMs!$P$6</definedName>
    <definedName name="ICMs_Mercadoria">[1]Impostos_Taxas_ICMs!$H$4</definedName>
    <definedName name="Imposto_Venda">'[1]Cockpit Retorno'!$I$4</definedName>
    <definedName name="Início_do_projeto">#REF!</definedName>
    <definedName name="IRPJ" comment="Imposto renda Lucro Presumido ou Real">[1]Impostos_Taxas_ICMs!$H$27</definedName>
    <definedName name="ISSQN">[1]Impostos_Taxas_ICMs!$P$3</definedName>
    <definedName name="ISSQN__do_Municipio" comment="ISS no municipo do cliente ou onde pagaremos">[1]Impostos_Taxas_ICMs!$P$3</definedName>
    <definedName name="JBs_Total" comment="Custo Total de JBs- Hart, e ou 4 a 20 ma">'[1]Calc Eng'!$B$25</definedName>
    <definedName name="KM" comment="Custo do quilômetro rodado puro.">'[1]Calc Eng'!$B$8</definedName>
    <definedName name="KM_HH_D_REF_Motorista" comment="Custo por  Quilometro rodado, considerando, Refeição no percurso, horas de (1) UM Atendente, e Estadia necessária. Se multiplicarmos este valor pela hora de viagem teremos custo completo da viagem de um Funcionario+ O custo do KM">'[1]Calc Eng'!$B$9</definedName>
    <definedName name="Lanche" comment="Valor médio de lanches, incluindo café da manhã">'[1]Valores médios Ref_Lanches'!$AI$26</definedName>
    <definedName name="LOG" comment="Custo estimado de Logistica para o projeto">'[1]Calc Eng'!$H$9</definedName>
    <definedName name="LOG_HH_Médio_Obra" comment="Custo médio de LOG, MOB, EPIs, Viagens, Estadia. Acrescentar ao custo hora. Nunca usar para um atendimento exclusivo. Apenas para caso de Obras acima de 3 meses e com no minimo 5 atenendentes, com casa Alugada , van e equipe">'[1]Calc Eng'!$DA$128</definedName>
    <definedName name="Log_In_MOI_Custo_HH" comment="Custo de Logistica e para  ajudantes e montadores. Calculo rápido. Tem de se estudar caso a caso.">'[1]Custos de HH_LOG'!$K$21</definedName>
    <definedName name="LOG_Mão_Obra_Indireta" comment="Custo de logistica equipe de mão obra indireta da obra. Se a Obra For ATM, considere novamente um Histograma e os custod calculados">'[1]Calc Eng'!$Q$44</definedName>
    <definedName name="lOG_MOB_ISSQN" comment="Logistica e Mobilização ISS Presumido Ou real">[1]Impostos_Taxas_ICMs!$H$26</definedName>
    <definedName name="LOG_MOB_PIS" comment="Pis Logistica Real">[1]Impostos_Taxas_ICMs!$H$24</definedName>
    <definedName name="Logistica_Preposto" comment="Custo estimado de Logistica para o Preposto. Tudo considerado">'[1]Calc Eng'!$B$47</definedName>
    <definedName name="Lucro">'[1]Cockpit Retorno'!$GS$6</definedName>
    <definedName name="Marketing_Viagens_Custo_Fx">'[1]Cockpit Retorno'!$D$39</definedName>
    <definedName name="Markup_Bruto__Contribuição" comment="Markup bruto da negociação">'[1]Cockpit Retorno'!$C$58</definedName>
    <definedName name="Média_Dias_de_integração_ATM" comment="Dias médios gastos para integrar o funcionários á empresa. Exames, Treinamentos NRs, Ferramental, Procedimentos e integração.">'[1]Turnover Absenteismo Folgas'!$H$82</definedName>
    <definedName name="Média_km_h">'[1]Calc Eng'!$G$60</definedName>
    <definedName name="MK_Calc" comment="OVER HEAD + LUCRO Calculado">'[1]Cockpit Retorno'!$K$44</definedName>
    <definedName name="MO__Terceiros__Serviços_fixo_não_considerado_OS__RH_SSMA__Fábrica__Administrativo__Terceiros_Operacionais__Compras__Parte_Eng.__Parte_Fabrica__Logística_Interna__Qualidade__Apoio__TI." comment="Mão de obra geral para mantenimanto da empresa. Terceiros adm de softwares, pimtor, manutenção interna, todas valores que não são considerads na venda">'[1]Cockpit Retorno'!$AFD$174</definedName>
    <definedName name="MO_Terceiros_Custo_Fx">'[1]Cockpit Retorno'!$D$40</definedName>
    <definedName name="MOA_C" comment="Mão Obra de Admnsitração, Segurança e serviços básicos">'[1]Calc Eng'!$B$66</definedName>
    <definedName name="MOB" comment="Custo Mobilização Campo. Cerca, Conteiner, Pedras . Enfermeiros, Segurança e Logistica do Preposto">'[1]Calc Eng'!$H$10</definedName>
    <definedName name="Mob_Canteiro" comment="Mobilização do Canteiro. Tudo, inclusive enfermeiros, Segurança.">'[1]Calc Eng'!$O$52</definedName>
    <definedName name="MOC_Atendente_Custo" comment="Custo Médio HH  Atendente Campo">'[1]Calc Eng'!$EZ$245</definedName>
    <definedName name="MOC_C_ST" comment="Custo estimado de Mão de Obra de campo destinado a Startup, comissionamento e operação Assistida.">'[1]Calc Eng'!$H$5</definedName>
    <definedName name="MOC_COFINS_LR" comment="COFINS MOC Lucro Real">[1]Impostos_Taxas_ICMs!$H$16</definedName>
    <definedName name="MOC_PIS_LR" comment="PIS MOC Lucro Real">[1]Impostos_Taxas_ICMs!$H$15</definedName>
    <definedName name="MOE_H" comment="Custo HH Engenharia Senior">'[1]Calc Eng'!$EZ$243</definedName>
    <definedName name="MOE_HM" comment="Hora média da Engenharia. Geral Projeto , Desenvolvimento e Engenharia">'[1]Calc Eng'!$EZ$244</definedName>
    <definedName name="MOE_IRRF_LR">[1]Impostos_Taxas_ICMs!$H$13</definedName>
    <definedName name="MOE_ISSQN_LR_LP" comment="ISS MOE Lucro Reala ou Presumido">[1]Impostos_Taxas_ICMs!$H$14</definedName>
    <definedName name="MOE_M" comment="Custo HH Engenharia Média">'[1]Calc Eng'!$EZ$241</definedName>
    <definedName name="MOE_P">'[1]Calc Eng'!$EZ$242</definedName>
    <definedName name="MOF" comment="Custo estimado para HH Fabrica no Campo">'[1]Calc Eng'!$H$11</definedName>
    <definedName name="MOF_Custo" comment="Custo do HH Fábrica Paineis">'[1]Calc Eng'!$EZ$247</definedName>
    <definedName name="MOF_Total_Campo" comment="Total de Mão de Obra da Fábrica que será utilizada em campo. Prevista">'[1]Calc Eng'!$B$57</definedName>
    <definedName name="MOFC_Fabrica_Campo_Custo" comment="Custo da HH da Fábrica em Campo">'[1]Calc Eng'!$EZ$246</definedName>
    <definedName name="MOI_ISSQN_LR_LP" comment="ISS MOI lucro Real e Presumido">[1]Impostos_Taxas_ICMs!$H$20</definedName>
    <definedName name="MOL_Custo_Instr" comment="Custo Médio HH da equipe de Instrumentação de Campo, para equipamentos, comissionamento, ajustes.">'[1]Calc Eng'!$EZ$248</definedName>
    <definedName name="MOM_MO_Média_Custo" comment="Custo médio da mão de obra geral da empresa. Services, ATK Eng , ADM">'[1]Calc Eng'!$EZ$251</definedName>
    <definedName name="MOS" comment="Custo HH de Enfermeiro, Segurança na Obra, secretária.">'[1]Calc Eng'!$B$45</definedName>
    <definedName name="MOSV__Services_Custo_MO" comment="Custo da Mão Obra Services">'[1]Calc Eng'!$EZ$250</definedName>
    <definedName name="MOTK_Adm_Custo" comment="Custo HH Preposto Turnkey em campo">'[1]Calc Eng'!$EZ$249</definedName>
    <definedName name="Não" comment="Indicador">'[1]Calc Eng'!$A$79</definedName>
    <definedName name="Necesssidade_preposto" comment="Necessidade de Preposto na OBRA">'[1]Calc Eng'!$K$100</definedName>
    <definedName name="Obra_Adm_Profissionais" comment="Numero de profissionais na Obra, Enfermeiro, Segurança. Não considera o Preposto">'[1]Calc Eng'!$B$46</definedName>
    <definedName name="Obra_Certa_MO_CLT_Fee">'[1]Custo Impostos Sobre HH'!$B$35</definedName>
    <definedName name="Operação_Assistida" comment="Total de Horas prevista Para Operação Assistida">'[1]Calc Eng'!$B$55</definedName>
    <definedName name="PAINEL" comment="Custo Mão OBRA PAINEL">'[1]Calc Eng'!$H$13</definedName>
    <definedName name="Parte_Custos_fixo___Docs__RH_e_SSMA" comment="Custos fixos do RH e Documentaçao da OS">'[1]Cockpit Retorno'!$C$40</definedName>
    <definedName name="PercentualConcluído">PercentualConcluídoAlém*PeríodonoPlano</definedName>
    <definedName name="PercentualConcluídoAlém">(#REF!=MEDIAN(#REF!,#REF!,#REF!+#REF!)*(#REF!&gt;0))*((#REF!&lt;(INT(#REF!+#REF!*#REF!)))+(#REF!=#REF!))*(#REF!&gt;0)</definedName>
    <definedName name="PercentualCustofixo" comment="Numero que repreenta % do valor com relacao a espectativa de venda">'[1]Cockpit Retorno'!$D$64</definedName>
    <definedName name="período_selecionado">#REF!</definedName>
    <definedName name="PeríodonoPlano">#REF!=MEDIAN(#REF!,#REF!,#REF!+#REF!-1)</definedName>
    <definedName name="PeríodoReal">#REF!=MEDIAN(#REF!,#REF!,#REF!+#REF!-1)</definedName>
    <definedName name="Pis__ATK">[1]Impostos_Taxas_ICMs!$I$30</definedName>
    <definedName name="Pis__Sistema">[1]Impostos_Taxas_ICMs!$H$30</definedName>
    <definedName name="Plano">PeríodonoPlano*(#REF!&gt;0)</definedName>
    <definedName name="Plano_Saúde">'[1]Resumo_HIA_HIC_HOC '!$E$34</definedName>
    <definedName name="Pontos_Ponderado" comment="Numero de Pontos Ponderados">'[1]Calc Eng'!$B$30</definedName>
    <definedName name="PorcentagemConcluída" comment="Evoluçao">PorcentagemConcluídaPosterior*[0]!PeriodoInPlanejado</definedName>
    <definedName name="Preposto_total" comment="Total e Preposto estimado para Obra">'[1]Calc Eng'!$B$31</definedName>
    <definedName name="Preposto_Viagens_Base_Planta" comment="Numero de  Idas e vindas entre Base e Planta, do Preposto">'[1]Calc Eng'!$B$41</definedName>
    <definedName name="Preposto_Viagens_STZ_Base" comment="Numero de viagens estimadas do Preposto entre Base e Sertãozinho">'[1]Calc Eng'!$B$40</definedName>
    <definedName name="Previsão_FAT_ANUAL_Normalizada">'[1]Cockpit Retorno'!$AEK$166</definedName>
    <definedName name="Prod_MI_PIS_LR" comment="PIS venda MI Lucro real">[1]Impostos_Taxas_ICMs!$H$9</definedName>
    <definedName name="QDTC_Total" comment="Custo Total de QDTC para o projeto">'[1]Calc Eng'!$B$24</definedName>
    <definedName name="Real">(PeríodoReal*(#REF!&gt;0))*PeríodonoPlano</definedName>
    <definedName name="RealAlém">PeríodoReal*(#REF!&gt;0)</definedName>
    <definedName name="Refeição_Cliente_Custo" comment="Custo estimado do valor da Refeição no cliente. Na Obra">'[1]Calc Eng'!$B$23</definedName>
    <definedName name="Refeição_Lanches_DIA__Custo" comment="Custo total de refeições no dia . Lanche, Almoço e Jantar.">'[1]Valores médios Ref_Lanches'!$AJ$30</definedName>
    <definedName name="Refeições_Custo" comment="Custo Médio por refeição, somado ao Lanche diário.">'[1]Calc Eng'!$B$7</definedName>
    <definedName name="RegiãodoTítulo..BO60">#REF!</definedName>
    <definedName name="Sábado_H" comment="Horas Sabado">'[1]Calc Eng'!$B$60</definedName>
    <definedName name="Seguros_e_Garantias" comment="Seguros e garantias">'[1]Cockpit Retorno'!$C$44</definedName>
    <definedName name="Semana_de_exibição">#REF!</definedName>
    <definedName name="Sim">'[1]Calc Eng'!$A$78</definedName>
    <definedName name="Sist_PIS_LR" comment="PIS  sistema LR Lucro Real">[1]Impostos_Taxas_ICMs!$H$5</definedName>
    <definedName name="Sistema_Produto">'[1]Cockpit Retorno'!$J$2</definedName>
    <definedName name="Sistema_Serviços">'[1]Cockpit Retorno'!$J$3</definedName>
    <definedName name="Tarifa_Serviços">'[1]Cockpit Retorno'!$L$1</definedName>
    <definedName name="Tempo_indeterminado_MO_CLT_Fee">'[1]Custo Impostos Sobre HH'!$B$34</definedName>
    <definedName name="Tempo_Preposto__Obra" comment="Estimativa do período que o Preposto deve permanecer na Obra. Desde Mobilização,obra e Desmobilização.">'[1]Calc Eng'!$B$56</definedName>
    <definedName name="Tempo_Total_Paineis" comment="Tempo estimado para montagem dos Paineis">'[1]Calc Eng'!$AB$136</definedName>
    <definedName name="_xlnm.Print_Titles" localSheetId="0">Mestre!$97:$97</definedName>
    <definedName name="Total_Funcionários" comment="Numero de funcionários">'[1]Calc Eng'!$R$14</definedName>
    <definedName name="Total_HH_Mês" comment="Total HH Mês Externo, Considerando Horas Extras e Duas HH extra Dia">'[1]Calc Eng'!$B$59</definedName>
    <definedName name="Total_JBs" comment="Quantidade total de JBs 4 a 20 mA com Bornes Completa">'[1]Calc Eng'!$P$80</definedName>
    <definedName name="Total_Painéis_HD" comment="Total de Painéis com Muitos Pontos">'[1]Calc Eng'!$P$81</definedName>
    <definedName name="Total_Painéis_MD" comment="Total de Painéis de média e baixa Densidade">'[1]Calc Eng'!$P$82</definedName>
    <definedName name="Total_pequenas_caixas" comment="Pequenas (Caixas) apenas Montagem">'[1]Calc Eng'!$P$83</definedName>
    <definedName name="Total_QDTC" comment="Número de QDTCs completos">'[1]Calc Eng'!$P$79</definedName>
    <definedName name="Valor_Liquido_a_Receber" comment="Valor Liquido da Operação - Sem IPI, PIS COFINS, ISSQN e IRPF">'[1]Cockpit Retorno'!$D$55</definedName>
    <definedName name="Valor_Proposta">'[1]Cockpit Retorno'!$C$51</definedName>
    <definedName name="Valor_Venda_Com_IPI" comment="Valor total Proposta Sem IPI">'[1]Cockpit Retorno'!$C$54</definedName>
    <definedName name="Valor_Venda_sem_IPI" comment="Venda sem IPI">'[1]Cockpit Retorno'!$C$53</definedName>
    <definedName name="Valor_Venda_Usando_CREDITO_ICM">'[1]Cockpit Retorno'!$C$55</definedName>
    <definedName name="Viagens_Atendentes__Base_Planta" comment="Total de estimativa de Idas e Vindas entre a BAse e a Planta, dos Atendentes de Comissionamento, Startup e Operação assistida">'[1]Calc Eng'!$B$35</definedName>
    <definedName name="Viagens_Atendentes__Base_STZ" comment="Numero Total de viagens estimadas para equipe de Startup entre, STZ e BASE">'[1]Calc Eng'!$B$36</definedName>
    <definedName name="Z_77A433EC_5B05_41BE_B3B9_F96645848079_.wvu.FilterData" localSheetId="0" hidden="1">Mestre!$E$102:$CD$454</definedName>
    <definedName name="Z_77A433EC_5B05_41BE_B3B9_F96645848079_.wvu.PrintTitles" localSheetId="0" hidden="1">Mestre!$97:$97</definedName>
    <definedName name="Z_77A433EC_5B05_41BE_B3B9_F96645848079_.wvu.Rows" localSheetId="0" hidden="1">Mestre!$1:$101</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V455" i="1" l="1"/>
  <c r="CR454" i="1"/>
  <c r="CC454" i="1"/>
  <c r="BF454" i="1"/>
  <c r="CP454" i="1" s="1"/>
  <c r="AT454" i="1"/>
  <c r="AH454" i="1"/>
  <c r="AM454" i="1" s="1"/>
  <c r="I454" i="1"/>
  <c r="C454" i="1"/>
  <c r="B454" i="1"/>
  <c r="A454" i="1"/>
  <c r="CC453" i="1"/>
  <c r="CB453" i="1"/>
  <c r="CA453" i="1"/>
  <c r="BZ453" i="1"/>
  <c r="BY453" i="1"/>
  <c r="BX453" i="1"/>
  <c r="BW453" i="1"/>
  <c r="BV453" i="1"/>
  <c r="BU453" i="1"/>
  <c r="BT453" i="1"/>
  <c r="BS453" i="1"/>
  <c r="BR453" i="1"/>
  <c r="BQ453" i="1"/>
  <c r="BP453" i="1"/>
  <c r="BO453" i="1"/>
  <c r="BN453" i="1"/>
  <c r="BM453" i="1"/>
  <c r="BL453" i="1"/>
  <c r="BK453" i="1"/>
  <c r="BJ453" i="1"/>
  <c r="BI453" i="1"/>
  <c r="BH453" i="1"/>
  <c r="BG453" i="1"/>
  <c r="AZ453" i="1"/>
  <c r="AY453" i="1"/>
  <c r="AT453" i="1"/>
  <c r="AH453" i="1"/>
  <c r="AM453" i="1" s="1"/>
  <c r="AN453" i="1" s="1"/>
  <c r="I453" i="1"/>
  <c r="AU453" i="1" s="1"/>
  <c r="C453" i="1"/>
  <c r="B453" i="1"/>
  <c r="A453" i="1"/>
  <c r="CC452" i="1"/>
  <c r="CB452" i="1"/>
  <c r="CA452" i="1"/>
  <c r="BZ452" i="1"/>
  <c r="BY452" i="1"/>
  <c r="BX452" i="1"/>
  <c r="BW452" i="1"/>
  <c r="BV452" i="1"/>
  <c r="BU452" i="1"/>
  <c r="BT452" i="1"/>
  <c r="BS452" i="1"/>
  <c r="BR452" i="1"/>
  <c r="BQ452" i="1"/>
  <c r="BP452" i="1"/>
  <c r="BO452" i="1"/>
  <c r="BN452" i="1"/>
  <c r="BM452" i="1"/>
  <c r="BL452" i="1"/>
  <c r="BK452" i="1"/>
  <c r="BJ452" i="1"/>
  <c r="BI452" i="1"/>
  <c r="BH452" i="1"/>
  <c r="BG452" i="1"/>
  <c r="AZ452" i="1"/>
  <c r="AY452" i="1"/>
  <c r="AT452" i="1"/>
  <c r="AM452" i="1"/>
  <c r="AP452" i="1" s="1"/>
  <c r="AQ452" i="1" s="1"/>
  <c r="I452" i="1"/>
  <c r="C452" i="1"/>
  <c r="B452" i="1"/>
  <c r="A452" i="1"/>
  <c r="CC451" i="1"/>
  <c r="CB451" i="1"/>
  <c r="CA451" i="1"/>
  <c r="BZ451" i="1"/>
  <c r="BY451" i="1"/>
  <c r="BX451" i="1"/>
  <c r="BW451" i="1"/>
  <c r="BV451" i="1"/>
  <c r="BU451" i="1"/>
  <c r="BT451" i="1"/>
  <c r="BS451" i="1"/>
  <c r="BR451" i="1"/>
  <c r="BQ451" i="1"/>
  <c r="BP451" i="1"/>
  <c r="BO451" i="1"/>
  <c r="BN451" i="1"/>
  <c r="BM451" i="1"/>
  <c r="BL451" i="1"/>
  <c r="BK451" i="1"/>
  <c r="BJ451" i="1"/>
  <c r="BI451" i="1"/>
  <c r="BH451" i="1"/>
  <c r="BG451" i="1"/>
  <c r="AT451" i="1"/>
  <c r="AM451" i="1"/>
  <c r="AZ451" i="1" s="1"/>
  <c r="I451" i="1"/>
  <c r="C451" i="1"/>
  <c r="B451" i="1"/>
  <c r="A451" i="1"/>
  <c r="CC450" i="1"/>
  <c r="CB450" i="1"/>
  <c r="CA450" i="1"/>
  <c r="BZ450" i="1"/>
  <c r="BY450" i="1"/>
  <c r="BX450" i="1"/>
  <c r="BW450" i="1"/>
  <c r="BV450" i="1"/>
  <c r="BU450" i="1"/>
  <c r="BT450" i="1"/>
  <c r="BS450" i="1"/>
  <c r="BR450" i="1"/>
  <c r="BQ450" i="1"/>
  <c r="BP450" i="1"/>
  <c r="BO450" i="1"/>
  <c r="BN450" i="1"/>
  <c r="BM450" i="1"/>
  <c r="BL450" i="1"/>
  <c r="BK450" i="1"/>
  <c r="BJ450" i="1"/>
  <c r="BI450" i="1"/>
  <c r="BH450" i="1"/>
  <c r="BG450" i="1"/>
  <c r="AT450" i="1"/>
  <c r="AM450" i="1"/>
  <c r="AZ450" i="1" s="1"/>
  <c r="I450" i="1"/>
  <c r="AU450" i="1" s="1"/>
  <c r="C450" i="1"/>
  <c r="B450" i="1"/>
  <c r="A450" i="1"/>
  <c r="CC449" i="1"/>
  <c r="CB449" i="1"/>
  <c r="CA449" i="1"/>
  <c r="BZ449" i="1"/>
  <c r="BY449" i="1"/>
  <c r="BX449" i="1"/>
  <c r="BW449" i="1"/>
  <c r="BV449" i="1"/>
  <c r="BU449" i="1"/>
  <c r="BT449" i="1"/>
  <c r="BS449" i="1"/>
  <c r="BR449" i="1"/>
  <c r="BQ449" i="1"/>
  <c r="BP449" i="1"/>
  <c r="BO449" i="1"/>
  <c r="BN449" i="1"/>
  <c r="BM449" i="1"/>
  <c r="BL449" i="1"/>
  <c r="BK449" i="1"/>
  <c r="BJ449" i="1"/>
  <c r="BI449" i="1"/>
  <c r="BH449" i="1"/>
  <c r="BG449" i="1"/>
  <c r="AT449" i="1"/>
  <c r="AM449" i="1"/>
  <c r="AN449" i="1" s="1"/>
  <c r="AR449" i="1" s="1"/>
  <c r="I449" i="1"/>
  <c r="C449" i="1"/>
  <c r="B449" i="1"/>
  <c r="A449" i="1"/>
  <c r="CC448" i="1"/>
  <c r="CB448" i="1"/>
  <c r="CA448" i="1"/>
  <c r="BZ448" i="1"/>
  <c r="BY448" i="1"/>
  <c r="BX448" i="1"/>
  <c r="BW448" i="1"/>
  <c r="BV448" i="1"/>
  <c r="BU448" i="1"/>
  <c r="BT448" i="1"/>
  <c r="BS448" i="1"/>
  <c r="BR448" i="1"/>
  <c r="BQ448" i="1"/>
  <c r="BP448" i="1"/>
  <c r="BO448" i="1"/>
  <c r="BN448" i="1"/>
  <c r="BM448" i="1"/>
  <c r="BL448" i="1"/>
  <c r="BK448" i="1"/>
  <c r="BJ448" i="1"/>
  <c r="BI448" i="1"/>
  <c r="BH448" i="1"/>
  <c r="BG448" i="1"/>
  <c r="AZ448" i="1"/>
  <c r="AY448" i="1"/>
  <c r="AT448" i="1"/>
  <c r="AM448" i="1"/>
  <c r="I448" i="1"/>
  <c r="AU448" i="1" s="1"/>
  <c r="C448" i="1"/>
  <c r="B448" i="1"/>
  <c r="A448" i="1"/>
  <c r="CC447" i="1"/>
  <c r="CB447" i="1"/>
  <c r="CA447" i="1"/>
  <c r="BZ447" i="1"/>
  <c r="BY447" i="1"/>
  <c r="BX447" i="1"/>
  <c r="BW447" i="1"/>
  <c r="BV447" i="1"/>
  <c r="BU447" i="1"/>
  <c r="BT447" i="1"/>
  <c r="BS447" i="1"/>
  <c r="BR447" i="1"/>
  <c r="BQ447" i="1"/>
  <c r="BP447" i="1"/>
  <c r="BO447" i="1"/>
  <c r="BN447" i="1"/>
  <c r="BM447" i="1"/>
  <c r="BL447" i="1"/>
  <c r="BK447" i="1"/>
  <c r="BJ447" i="1"/>
  <c r="BI447" i="1"/>
  <c r="BH447" i="1"/>
  <c r="BG447" i="1"/>
  <c r="AT447" i="1"/>
  <c r="AM447" i="1"/>
  <c r="I447" i="1"/>
  <c r="C447" i="1"/>
  <c r="B447" i="1"/>
  <c r="A447" i="1"/>
  <c r="CC446" i="1"/>
  <c r="CB446" i="1"/>
  <c r="CA446" i="1"/>
  <c r="BZ446" i="1"/>
  <c r="BY446" i="1"/>
  <c r="BX446" i="1"/>
  <c r="BW446" i="1"/>
  <c r="BV446" i="1"/>
  <c r="BU446" i="1"/>
  <c r="BT446" i="1"/>
  <c r="BS446" i="1"/>
  <c r="BR446" i="1"/>
  <c r="BQ446" i="1"/>
  <c r="BP446" i="1"/>
  <c r="BO446" i="1"/>
  <c r="BN446" i="1"/>
  <c r="BM446" i="1"/>
  <c r="BL446" i="1"/>
  <c r="BK446" i="1"/>
  <c r="BJ446" i="1"/>
  <c r="BI446" i="1"/>
  <c r="BH446" i="1"/>
  <c r="BG446" i="1"/>
  <c r="AT446" i="1"/>
  <c r="AM446" i="1"/>
  <c r="AZ446" i="1" s="1"/>
  <c r="I446" i="1"/>
  <c r="C446" i="1"/>
  <c r="B446" i="1"/>
  <c r="A446" i="1"/>
  <c r="CC445" i="1"/>
  <c r="CB445" i="1"/>
  <c r="CA445" i="1"/>
  <c r="BZ445" i="1"/>
  <c r="BY445" i="1"/>
  <c r="BX445" i="1"/>
  <c r="BW445" i="1"/>
  <c r="BV445" i="1"/>
  <c r="BU445" i="1"/>
  <c r="BT445" i="1"/>
  <c r="BS445" i="1"/>
  <c r="BR445" i="1"/>
  <c r="BQ445" i="1"/>
  <c r="BP445" i="1"/>
  <c r="BO445" i="1"/>
  <c r="BN445" i="1"/>
  <c r="BM445" i="1"/>
  <c r="BL445" i="1"/>
  <c r="BK445" i="1"/>
  <c r="BJ445" i="1"/>
  <c r="BI445" i="1"/>
  <c r="BH445" i="1"/>
  <c r="BG445" i="1"/>
  <c r="AT445" i="1"/>
  <c r="AM445" i="1"/>
  <c r="AN445" i="1" s="1"/>
  <c r="AR445" i="1" s="1"/>
  <c r="I445" i="1"/>
  <c r="CD445" i="1" s="1"/>
  <c r="C445" i="1"/>
  <c r="B445" i="1"/>
  <c r="A445" i="1"/>
  <c r="CC444" i="1"/>
  <c r="CB444" i="1"/>
  <c r="CA444" i="1"/>
  <c r="BZ444" i="1"/>
  <c r="BY444" i="1"/>
  <c r="BX444" i="1"/>
  <c r="BW444" i="1"/>
  <c r="BV444" i="1"/>
  <c r="BU444" i="1"/>
  <c r="BT444" i="1"/>
  <c r="BS444" i="1"/>
  <c r="BR444" i="1"/>
  <c r="BQ444" i="1"/>
  <c r="BP444" i="1"/>
  <c r="BO444" i="1"/>
  <c r="BN444" i="1"/>
  <c r="BM444" i="1"/>
  <c r="BL444" i="1"/>
  <c r="BK444" i="1"/>
  <c r="BJ444" i="1"/>
  <c r="BI444" i="1"/>
  <c r="BH444" i="1"/>
  <c r="BG444" i="1"/>
  <c r="AT444" i="1"/>
  <c r="AM444" i="1"/>
  <c r="I444" i="1"/>
  <c r="C444" i="1"/>
  <c r="B444" i="1"/>
  <c r="A444" i="1"/>
  <c r="CC443" i="1"/>
  <c r="CB443" i="1"/>
  <c r="CA443" i="1"/>
  <c r="BZ443" i="1"/>
  <c r="BY443" i="1"/>
  <c r="BX443" i="1"/>
  <c r="BW443" i="1"/>
  <c r="BV443" i="1"/>
  <c r="BU443" i="1"/>
  <c r="BT443" i="1"/>
  <c r="BS443" i="1"/>
  <c r="BR443" i="1"/>
  <c r="BQ443" i="1"/>
  <c r="BP443" i="1"/>
  <c r="BO443" i="1"/>
  <c r="BN443" i="1"/>
  <c r="BM443" i="1"/>
  <c r="BL443" i="1"/>
  <c r="BK443" i="1"/>
  <c r="BJ443" i="1"/>
  <c r="BI443" i="1"/>
  <c r="BH443" i="1"/>
  <c r="BG443" i="1"/>
  <c r="AT443" i="1"/>
  <c r="AM443" i="1"/>
  <c r="I443" i="1"/>
  <c r="AU443" i="1" s="1"/>
  <c r="C443" i="1"/>
  <c r="B443" i="1"/>
  <c r="A443" i="1"/>
  <c r="CC442" i="1"/>
  <c r="CB442" i="1"/>
  <c r="CA442" i="1"/>
  <c r="BZ442" i="1"/>
  <c r="BY442" i="1"/>
  <c r="BX442" i="1"/>
  <c r="BW442" i="1"/>
  <c r="BV442" i="1"/>
  <c r="BU442" i="1"/>
  <c r="BT442" i="1"/>
  <c r="BS442" i="1"/>
  <c r="BR442" i="1"/>
  <c r="BQ442" i="1"/>
  <c r="BP442" i="1"/>
  <c r="BO442" i="1"/>
  <c r="BN442" i="1"/>
  <c r="BM442" i="1"/>
  <c r="BL442" i="1"/>
  <c r="BK442" i="1"/>
  <c r="BJ442" i="1"/>
  <c r="BI442" i="1"/>
  <c r="BH442" i="1"/>
  <c r="BG442" i="1"/>
  <c r="AT442" i="1"/>
  <c r="AM442" i="1"/>
  <c r="AW442" i="1" s="1"/>
  <c r="I442" i="1"/>
  <c r="AU442" i="1" s="1"/>
  <c r="C442" i="1"/>
  <c r="B442" i="1"/>
  <c r="A442" i="1"/>
  <c r="CC441" i="1"/>
  <c r="CB441" i="1"/>
  <c r="CA441" i="1"/>
  <c r="BZ441" i="1"/>
  <c r="BY441" i="1"/>
  <c r="BX441" i="1"/>
  <c r="BW441" i="1"/>
  <c r="BV441" i="1"/>
  <c r="BU441" i="1"/>
  <c r="BT441" i="1"/>
  <c r="BS441" i="1"/>
  <c r="BR441" i="1"/>
  <c r="BQ441" i="1"/>
  <c r="BP441" i="1"/>
  <c r="BO441" i="1"/>
  <c r="BN441" i="1"/>
  <c r="BM441" i="1"/>
  <c r="BL441" i="1"/>
  <c r="BK441" i="1"/>
  <c r="BJ441" i="1"/>
  <c r="BI441" i="1"/>
  <c r="BH441" i="1"/>
  <c r="BG441" i="1"/>
  <c r="AT441" i="1"/>
  <c r="AM441" i="1"/>
  <c r="AW441" i="1" s="1"/>
  <c r="I441" i="1"/>
  <c r="AU441" i="1" s="1"/>
  <c r="C441" i="1"/>
  <c r="B441" i="1"/>
  <c r="A441" i="1"/>
  <c r="CC440" i="1"/>
  <c r="CB440" i="1"/>
  <c r="CA440" i="1"/>
  <c r="BZ440" i="1"/>
  <c r="BY440" i="1"/>
  <c r="BX440" i="1"/>
  <c r="BW440" i="1"/>
  <c r="BV440" i="1"/>
  <c r="BU440" i="1"/>
  <c r="BT440" i="1"/>
  <c r="BS440" i="1"/>
  <c r="BR440" i="1"/>
  <c r="BQ440" i="1"/>
  <c r="BP440" i="1"/>
  <c r="BO440" i="1"/>
  <c r="BN440" i="1"/>
  <c r="BM440" i="1"/>
  <c r="BL440" i="1"/>
  <c r="BK440" i="1"/>
  <c r="BJ440" i="1"/>
  <c r="BI440" i="1"/>
  <c r="BH440" i="1"/>
  <c r="BG440" i="1"/>
  <c r="AZ440" i="1"/>
  <c r="AY440" i="1"/>
  <c r="AT440" i="1"/>
  <c r="AM440" i="1"/>
  <c r="I440" i="1"/>
  <c r="C440" i="1"/>
  <c r="B440" i="1"/>
  <c r="A440" i="1"/>
  <c r="CC439" i="1"/>
  <c r="CB439" i="1"/>
  <c r="CA439" i="1"/>
  <c r="BZ439" i="1"/>
  <c r="BY439" i="1"/>
  <c r="BX439" i="1"/>
  <c r="BW439" i="1"/>
  <c r="BV439" i="1"/>
  <c r="BU439" i="1"/>
  <c r="BT439" i="1"/>
  <c r="BS439" i="1"/>
  <c r="BR439" i="1"/>
  <c r="BQ439" i="1"/>
  <c r="BP439" i="1"/>
  <c r="BO439" i="1"/>
  <c r="BN439" i="1"/>
  <c r="BM439" i="1"/>
  <c r="BL439" i="1"/>
  <c r="BK439" i="1"/>
  <c r="BJ439" i="1"/>
  <c r="BI439" i="1"/>
  <c r="BH439" i="1"/>
  <c r="BG439" i="1"/>
  <c r="AZ439" i="1"/>
  <c r="AY439" i="1"/>
  <c r="AT439" i="1"/>
  <c r="AM439" i="1"/>
  <c r="I439" i="1"/>
  <c r="AU439" i="1" s="1"/>
  <c r="C439" i="1"/>
  <c r="B439" i="1"/>
  <c r="A439" i="1"/>
  <c r="CC438" i="1"/>
  <c r="CB438" i="1"/>
  <c r="CA438" i="1"/>
  <c r="BZ438" i="1"/>
  <c r="BY438" i="1"/>
  <c r="BX438" i="1"/>
  <c r="BW438" i="1"/>
  <c r="BV438" i="1"/>
  <c r="BU438" i="1"/>
  <c r="BT438" i="1"/>
  <c r="BS438" i="1"/>
  <c r="BR438" i="1"/>
  <c r="BQ438" i="1"/>
  <c r="BP438" i="1"/>
  <c r="BO438" i="1"/>
  <c r="BN438" i="1"/>
  <c r="BM438" i="1"/>
  <c r="BL438" i="1"/>
  <c r="BK438" i="1"/>
  <c r="BJ438" i="1"/>
  <c r="BI438" i="1"/>
  <c r="BH438" i="1"/>
  <c r="BG438" i="1"/>
  <c r="AZ438" i="1"/>
  <c r="AY438" i="1"/>
  <c r="AT438" i="1"/>
  <c r="AM438" i="1"/>
  <c r="I438" i="1"/>
  <c r="AU438" i="1" s="1"/>
  <c r="C438" i="1"/>
  <c r="B438" i="1"/>
  <c r="A438" i="1"/>
  <c r="CC437" i="1"/>
  <c r="CB437" i="1"/>
  <c r="CA437" i="1"/>
  <c r="BZ437" i="1"/>
  <c r="BY437" i="1"/>
  <c r="BX437" i="1"/>
  <c r="BW437" i="1"/>
  <c r="BV437" i="1"/>
  <c r="BU437" i="1"/>
  <c r="BT437" i="1"/>
  <c r="BS437" i="1"/>
  <c r="BR437" i="1"/>
  <c r="BQ437" i="1"/>
  <c r="BP437" i="1"/>
  <c r="BO437" i="1"/>
  <c r="BN437" i="1"/>
  <c r="BM437" i="1"/>
  <c r="BL437" i="1"/>
  <c r="BK437" i="1"/>
  <c r="BJ437" i="1"/>
  <c r="BI437" i="1"/>
  <c r="BH437" i="1"/>
  <c r="BG437" i="1"/>
  <c r="AZ437" i="1"/>
  <c r="AY437" i="1"/>
  <c r="AT437" i="1"/>
  <c r="AM437" i="1"/>
  <c r="I437" i="1"/>
  <c r="C437" i="1"/>
  <c r="B437" i="1"/>
  <c r="A437" i="1"/>
  <c r="CC436" i="1"/>
  <c r="CB436" i="1"/>
  <c r="CA436" i="1"/>
  <c r="BZ436" i="1"/>
  <c r="BY436" i="1"/>
  <c r="BX436" i="1"/>
  <c r="BW436" i="1"/>
  <c r="BV436" i="1"/>
  <c r="BU436" i="1"/>
  <c r="BT436" i="1"/>
  <c r="BS436" i="1"/>
  <c r="BR436" i="1"/>
  <c r="BQ436" i="1"/>
  <c r="BP436" i="1"/>
  <c r="BO436" i="1"/>
  <c r="BN436" i="1"/>
  <c r="BM436" i="1"/>
  <c r="BL436" i="1"/>
  <c r="BK436" i="1"/>
  <c r="BJ436" i="1"/>
  <c r="BI436" i="1"/>
  <c r="BH436" i="1"/>
  <c r="BG436" i="1"/>
  <c r="AZ436" i="1"/>
  <c r="AY436" i="1"/>
  <c r="AT436" i="1"/>
  <c r="AM436" i="1"/>
  <c r="AW436" i="1" s="1"/>
  <c r="I436" i="1"/>
  <c r="CD436" i="1" s="1"/>
  <c r="CI436" i="1" s="1"/>
  <c r="CN436" i="1" s="1"/>
  <c r="C436" i="1"/>
  <c r="B436" i="1"/>
  <c r="A436" i="1"/>
  <c r="CC435" i="1"/>
  <c r="CB435" i="1"/>
  <c r="CA435" i="1"/>
  <c r="BZ435" i="1"/>
  <c r="BY435" i="1"/>
  <c r="BX435" i="1"/>
  <c r="BW435" i="1"/>
  <c r="BV435" i="1"/>
  <c r="BU435" i="1"/>
  <c r="BT435" i="1"/>
  <c r="BS435" i="1"/>
  <c r="BR435" i="1"/>
  <c r="BQ435" i="1"/>
  <c r="BP435" i="1"/>
  <c r="BO435" i="1"/>
  <c r="BN435" i="1"/>
  <c r="BM435" i="1"/>
  <c r="BL435" i="1"/>
  <c r="BK435" i="1"/>
  <c r="BJ435" i="1"/>
  <c r="BI435" i="1"/>
  <c r="BH435" i="1"/>
  <c r="BG435" i="1"/>
  <c r="AZ435" i="1"/>
  <c r="AY435" i="1"/>
  <c r="AT435" i="1"/>
  <c r="AM435" i="1"/>
  <c r="AW435" i="1" s="1"/>
  <c r="I435" i="1"/>
  <c r="AU435" i="1" s="1"/>
  <c r="C435" i="1"/>
  <c r="B435" i="1"/>
  <c r="A435" i="1"/>
  <c r="CC434" i="1"/>
  <c r="CB434" i="1"/>
  <c r="CA434" i="1"/>
  <c r="BZ434" i="1"/>
  <c r="BY434" i="1"/>
  <c r="BX434" i="1"/>
  <c r="BW434" i="1"/>
  <c r="BV434" i="1"/>
  <c r="BU434" i="1"/>
  <c r="BT434" i="1"/>
  <c r="BS434" i="1"/>
  <c r="BR434" i="1"/>
  <c r="BQ434" i="1"/>
  <c r="BP434" i="1"/>
  <c r="BO434" i="1"/>
  <c r="BN434" i="1"/>
  <c r="BM434" i="1"/>
  <c r="BL434" i="1"/>
  <c r="BK434" i="1"/>
  <c r="BJ434" i="1"/>
  <c r="BI434" i="1"/>
  <c r="BH434" i="1"/>
  <c r="BG434" i="1"/>
  <c r="AT434" i="1"/>
  <c r="AM434" i="1"/>
  <c r="I434" i="1"/>
  <c r="CD434" i="1" s="1"/>
  <c r="C434" i="1"/>
  <c r="B434" i="1"/>
  <c r="A434" i="1"/>
  <c r="CC433" i="1"/>
  <c r="CB433" i="1"/>
  <c r="CA433" i="1"/>
  <c r="BZ433" i="1"/>
  <c r="BY433" i="1"/>
  <c r="BX433" i="1"/>
  <c r="BW433" i="1"/>
  <c r="BV433" i="1"/>
  <c r="BU433" i="1"/>
  <c r="BT433" i="1"/>
  <c r="BS433" i="1"/>
  <c r="BR433" i="1"/>
  <c r="BQ433" i="1"/>
  <c r="BP433" i="1"/>
  <c r="BO433" i="1"/>
  <c r="BN433" i="1"/>
  <c r="BM433" i="1"/>
  <c r="BL433" i="1"/>
  <c r="BK433" i="1"/>
  <c r="BJ433" i="1"/>
  <c r="BI433" i="1"/>
  <c r="BH433" i="1"/>
  <c r="BG433" i="1"/>
  <c r="AY433" i="1"/>
  <c r="AT433" i="1"/>
  <c r="AM433" i="1"/>
  <c r="I433" i="1"/>
  <c r="CD433" i="1" s="1"/>
  <c r="C433" i="1"/>
  <c r="B433" i="1"/>
  <c r="A433" i="1"/>
  <c r="CC432" i="1"/>
  <c r="CB432" i="1"/>
  <c r="CA432" i="1"/>
  <c r="BZ432" i="1"/>
  <c r="BY432" i="1"/>
  <c r="BX432" i="1"/>
  <c r="BW432" i="1"/>
  <c r="BV432" i="1"/>
  <c r="BU432" i="1"/>
  <c r="BT432" i="1"/>
  <c r="BS432" i="1"/>
  <c r="BR432" i="1"/>
  <c r="BQ432" i="1"/>
  <c r="BP432" i="1"/>
  <c r="BO432" i="1"/>
  <c r="BN432" i="1"/>
  <c r="BM432" i="1"/>
  <c r="BL432" i="1"/>
  <c r="BK432" i="1"/>
  <c r="BJ432" i="1"/>
  <c r="BI432" i="1"/>
  <c r="BH432" i="1"/>
  <c r="BG432" i="1"/>
  <c r="AZ432" i="1"/>
  <c r="AY432" i="1"/>
  <c r="AT432" i="1"/>
  <c r="AM432" i="1"/>
  <c r="AW432" i="1" s="1"/>
  <c r="I432" i="1"/>
  <c r="CD432" i="1" s="1"/>
  <c r="C432" i="1"/>
  <c r="B432" i="1"/>
  <c r="A432" i="1"/>
  <c r="CC431" i="1"/>
  <c r="CB431" i="1"/>
  <c r="CA431" i="1"/>
  <c r="BZ431" i="1"/>
  <c r="BY431" i="1"/>
  <c r="BX431" i="1"/>
  <c r="BW431" i="1"/>
  <c r="BV431" i="1"/>
  <c r="BU431" i="1"/>
  <c r="BT431" i="1"/>
  <c r="BS431" i="1"/>
  <c r="BR431" i="1"/>
  <c r="BQ431" i="1"/>
  <c r="BP431" i="1"/>
  <c r="BO431" i="1"/>
  <c r="BN431" i="1"/>
  <c r="BM431" i="1"/>
  <c r="BL431" i="1"/>
  <c r="BK431" i="1"/>
  <c r="BJ431" i="1"/>
  <c r="BI431" i="1"/>
  <c r="BH431" i="1"/>
  <c r="BG431" i="1"/>
  <c r="AT431" i="1"/>
  <c r="AM431" i="1"/>
  <c r="AW431" i="1" s="1"/>
  <c r="I431" i="1"/>
  <c r="CD431" i="1" s="1"/>
  <c r="CE431" i="1" s="1"/>
  <c r="CJ431" i="1" s="1"/>
  <c r="CO431" i="1" s="1"/>
  <c r="C431" i="1"/>
  <c r="B431" i="1"/>
  <c r="A431" i="1"/>
  <c r="CC430" i="1"/>
  <c r="CB430" i="1"/>
  <c r="CA430" i="1"/>
  <c r="BZ430" i="1"/>
  <c r="BY430" i="1"/>
  <c r="BX430" i="1"/>
  <c r="BW430" i="1"/>
  <c r="BV430" i="1"/>
  <c r="BU430" i="1"/>
  <c r="BT430" i="1"/>
  <c r="BS430" i="1"/>
  <c r="BR430" i="1"/>
  <c r="BQ430" i="1"/>
  <c r="BP430" i="1"/>
  <c r="BO430" i="1"/>
  <c r="BN430" i="1"/>
  <c r="BM430" i="1"/>
  <c r="BL430" i="1"/>
  <c r="BK430" i="1"/>
  <c r="BJ430" i="1"/>
  <c r="BI430" i="1"/>
  <c r="BH430" i="1"/>
  <c r="BG430" i="1"/>
  <c r="AT430" i="1"/>
  <c r="AM430" i="1"/>
  <c r="AW430" i="1" s="1"/>
  <c r="I430" i="1"/>
  <c r="CD430" i="1" s="1"/>
  <c r="C430" i="1"/>
  <c r="B430" i="1"/>
  <c r="A430" i="1"/>
  <c r="CC429" i="1"/>
  <c r="CB429" i="1"/>
  <c r="CA429" i="1"/>
  <c r="BZ429" i="1"/>
  <c r="BY429" i="1"/>
  <c r="BX429" i="1"/>
  <c r="BW429" i="1"/>
  <c r="BV429" i="1"/>
  <c r="BU429" i="1"/>
  <c r="BT429" i="1"/>
  <c r="BS429" i="1"/>
  <c r="BR429" i="1"/>
  <c r="BQ429" i="1"/>
  <c r="BP429" i="1"/>
  <c r="BO429" i="1"/>
  <c r="BN429" i="1"/>
  <c r="BM429" i="1"/>
  <c r="BL429" i="1"/>
  <c r="BK429" i="1"/>
  <c r="BJ429" i="1"/>
  <c r="BI429" i="1"/>
  <c r="BH429" i="1"/>
  <c r="BG429" i="1"/>
  <c r="AZ429" i="1"/>
  <c r="AY429" i="1"/>
  <c r="AT429" i="1"/>
  <c r="AM429" i="1"/>
  <c r="AW429" i="1" s="1"/>
  <c r="I429" i="1"/>
  <c r="C429" i="1"/>
  <c r="B429" i="1"/>
  <c r="A429" i="1"/>
  <c r="CC428" i="1"/>
  <c r="CB428" i="1"/>
  <c r="CA428" i="1"/>
  <c r="BZ428" i="1"/>
  <c r="BY428" i="1"/>
  <c r="BX428" i="1"/>
  <c r="BW428" i="1"/>
  <c r="BV428" i="1"/>
  <c r="BU428" i="1"/>
  <c r="BT428" i="1"/>
  <c r="BS428" i="1"/>
  <c r="BR428" i="1"/>
  <c r="BQ428" i="1"/>
  <c r="BP428" i="1"/>
  <c r="BO428" i="1"/>
  <c r="BN428" i="1"/>
  <c r="BM428" i="1"/>
  <c r="BL428" i="1"/>
  <c r="BK428" i="1"/>
  <c r="BJ428" i="1"/>
  <c r="BI428" i="1"/>
  <c r="BH428" i="1"/>
  <c r="BG428" i="1"/>
  <c r="AZ428" i="1"/>
  <c r="AY428" i="1"/>
  <c r="AT428" i="1"/>
  <c r="AM428" i="1"/>
  <c r="I428" i="1"/>
  <c r="AU428" i="1" s="1"/>
  <c r="C428" i="1"/>
  <c r="B428" i="1"/>
  <c r="A428" i="1"/>
  <c r="CC427" i="1"/>
  <c r="CB427" i="1"/>
  <c r="CA427" i="1"/>
  <c r="BZ427" i="1"/>
  <c r="BY427" i="1"/>
  <c r="BX427" i="1"/>
  <c r="BW427" i="1"/>
  <c r="BV427" i="1"/>
  <c r="BU427" i="1"/>
  <c r="BT427" i="1"/>
  <c r="BS427" i="1"/>
  <c r="BR427" i="1"/>
  <c r="BQ427" i="1"/>
  <c r="BP427" i="1"/>
  <c r="BO427" i="1"/>
  <c r="BN427" i="1"/>
  <c r="BM427" i="1"/>
  <c r="BL427" i="1"/>
  <c r="BK427" i="1"/>
  <c r="BJ427" i="1"/>
  <c r="BI427" i="1"/>
  <c r="BH427" i="1"/>
  <c r="BG427" i="1"/>
  <c r="AZ427" i="1"/>
  <c r="AY427" i="1"/>
  <c r="AT427" i="1"/>
  <c r="AM427" i="1"/>
  <c r="AW427" i="1" s="1"/>
  <c r="I427" i="1"/>
  <c r="AU427" i="1" s="1"/>
  <c r="C427" i="1"/>
  <c r="B427" i="1"/>
  <c r="A427" i="1"/>
  <c r="CC426" i="1"/>
  <c r="CB426" i="1"/>
  <c r="CA426" i="1"/>
  <c r="BZ426" i="1"/>
  <c r="BY426" i="1"/>
  <c r="BX426" i="1"/>
  <c r="BW426" i="1"/>
  <c r="BV426" i="1"/>
  <c r="BU426" i="1"/>
  <c r="BT426" i="1"/>
  <c r="BS426" i="1"/>
  <c r="BR426" i="1"/>
  <c r="BQ426" i="1"/>
  <c r="BP426" i="1"/>
  <c r="BO426" i="1"/>
  <c r="BN426" i="1"/>
  <c r="BM426" i="1"/>
  <c r="BL426" i="1"/>
  <c r="BK426" i="1"/>
  <c r="BJ426" i="1"/>
  <c r="BI426" i="1"/>
  <c r="BH426" i="1"/>
  <c r="BG426" i="1"/>
  <c r="AZ426" i="1"/>
  <c r="AY426" i="1"/>
  <c r="AT426" i="1"/>
  <c r="AM426" i="1"/>
  <c r="AP426" i="1" s="1"/>
  <c r="AQ426" i="1" s="1"/>
  <c r="I426" i="1"/>
  <c r="AU426" i="1" s="1"/>
  <c r="C426" i="1"/>
  <c r="B426" i="1"/>
  <c r="A426" i="1"/>
  <c r="CC425" i="1"/>
  <c r="CB425" i="1"/>
  <c r="CA425" i="1"/>
  <c r="BZ425" i="1"/>
  <c r="BY425" i="1"/>
  <c r="BX425" i="1"/>
  <c r="BW425" i="1"/>
  <c r="BV425" i="1"/>
  <c r="BU425" i="1"/>
  <c r="BT425" i="1"/>
  <c r="BS425" i="1"/>
  <c r="BR425" i="1"/>
  <c r="BQ425" i="1"/>
  <c r="BP425" i="1"/>
  <c r="BO425" i="1"/>
  <c r="BN425" i="1"/>
  <c r="BM425" i="1"/>
  <c r="BL425" i="1"/>
  <c r="BK425" i="1"/>
  <c r="BJ425" i="1"/>
  <c r="BI425" i="1"/>
  <c r="BH425" i="1"/>
  <c r="BG425" i="1"/>
  <c r="AZ425" i="1"/>
  <c r="AY425" i="1"/>
  <c r="AT425" i="1"/>
  <c r="AM425" i="1"/>
  <c r="AP425" i="1" s="1"/>
  <c r="AQ425" i="1" s="1"/>
  <c r="I425" i="1"/>
  <c r="CD425" i="1" s="1"/>
  <c r="CG425" i="1" s="1"/>
  <c r="C425" i="1"/>
  <c r="B425" i="1"/>
  <c r="A425" i="1"/>
  <c r="CC424" i="1"/>
  <c r="CB424" i="1"/>
  <c r="CA424" i="1"/>
  <c r="BZ424" i="1"/>
  <c r="BY424" i="1"/>
  <c r="BX424" i="1"/>
  <c r="BW424" i="1"/>
  <c r="BV424" i="1"/>
  <c r="BU424" i="1"/>
  <c r="BT424" i="1"/>
  <c r="BS424" i="1"/>
  <c r="BR424" i="1"/>
  <c r="BQ424" i="1"/>
  <c r="BP424" i="1"/>
  <c r="BO424" i="1"/>
  <c r="BN424" i="1"/>
  <c r="BM424" i="1"/>
  <c r="BL424" i="1"/>
  <c r="BK424" i="1"/>
  <c r="BJ424" i="1"/>
  <c r="BI424" i="1"/>
  <c r="BH424" i="1"/>
  <c r="BG424" i="1"/>
  <c r="AT424" i="1"/>
  <c r="AM424" i="1"/>
  <c r="I424" i="1"/>
  <c r="CD424" i="1" s="1"/>
  <c r="C424" i="1"/>
  <c r="B424" i="1"/>
  <c r="A424" i="1"/>
  <c r="CC423" i="1"/>
  <c r="CB423" i="1"/>
  <c r="CA423" i="1"/>
  <c r="BZ423" i="1"/>
  <c r="BY423" i="1"/>
  <c r="BX423" i="1"/>
  <c r="BW423" i="1"/>
  <c r="BV423" i="1"/>
  <c r="BU423" i="1"/>
  <c r="BT423" i="1"/>
  <c r="BS423" i="1"/>
  <c r="BR423" i="1"/>
  <c r="BQ423" i="1"/>
  <c r="BP423" i="1"/>
  <c r="BO423" i="1"/>
  <c r="BN423" i="1"/>
  <c r="BM423" i="1"/>
  <c r="BL423" i="1"/>
  <c r="BK423" i="1"/>
  <c r="BJ423" i="1"/>
  <c r="BI423" i="1"/>
  <c r="BH423" i="1"/>
  <c r="BG423" i="1"/>
  <c r="AZ423" i="1"/>
  <c r="AY423" i="1"/>
  <c r="AT423" i="1"/>
  <c r="AM423" i="1"/>
  <c r="I423" i="1"/>
  <c r="CD423" i="1" s="1"/>
  <c r="C423" i="1"/>
  <c r="B423" i="1"/>
  <c r="A423" i="1"/>
  <c r="CC422" i="1"/>
  <c r="CB422" i="1"/>
  <c r="CA422" i="1"/>
  <c r="BZ422" i="1"/>
  <c r="BY422" i="1"/>
  <c r="BX422" i="1"/>
  <c r="BW422" i="1"/>
  <c r="BV422" i="1"/>
  <c r="BU422" i="1"/>
  <c r="BT422" i="1"/>
  <c r="BS422" i="1"/>
  <c r="BR422" i="1"/>
  <c r="BQ422" i="1"/>
  <c r="BP422" i="1"/>
  <c r="BO422" i="1"/>
  <c r="BN422" i="1"/>
  <c r="BM422" i="1"/>
  <c r="BL422" i="1"/>
  <c r="BK422" i="1"/>
  <c r="BJ422" i="1"/>
  <c r="BI422" i="1"/>
  <c r="BH422" i="1"/>
  <c r="BG422" i="1"/>
  <c r="AT422" i="1"/>
  <c r="AM422" i="1"/>
  <c r="AW422" i="1" s="1"/>
  <c r="I422" i="1"/>
  <c r="CD422" i="1" s="1"/>
  <c r="C422" i="1"/>
  <c r="B422" i="1"/>
  <c r="A422" i="1"/>
  <c r="CC421" i="1"/>
  <c r="CB421" i="1"/>
  <c r="CA421" i="1"/>
  <c r="BZ421" i="1"/>
  <c r="BY421" i="1"/>
  <c r="BX421" i="1"/>
  <c r="BW421" i="1"/>
  <c r="BV421" i="1"/>
  <c r="BU421" i="1"/>
  <c r="BT421" i="1"/>
  <c r="BS421" i="1"/>
  <c r="BR421" i="1"/>
  <c r="BQ421" i="1"/>
  <c r="BP421" i="1"/>
  <c r="BO421" i="1"/>
  <c r="BN421" i="1"/>
  <c r="BM421" i="1"/>
  <c r="BL421" i="1"/>
  <c r="BK421" i="1"/>
  <c r="BJ421" i="1"/>
  <c r="BI421" i="1"/>
  <c r="BH421" i="1"/>
  <c r="BG421" i="1"/>
  <c r="AT421" i="1"/>
  <c r="AM421" i="1"/>
  <c r="AW421" i="1" s="1"/>
  <c r="I421" i="1"/>
  <c r="CD421" i="1" s="1"/>
  <c r="C421" i="1"/>
  <c r="B421" i="1"/>
  <c r="A421" i="1"/>
  <c r="CC420" i="1"/>
  <c r="CB420" i="1"/>
  <c r="CA420" i="1"/>
  <c r="BZ420" i="1"/>
  <c r="BY420" i="1"/>
  <c r="BX420" i="1"/>
  <c r="BW420" i="1"/>
  <c r="BV420" i="1"/>
  <c r="BU420" i="1"/>
  <c r="BT420" i="1"/>
  <c r="BS420" i="1"/>
  <c r="BR420" i="1"/>
  <c r="BQ420" i="1"/>
  <c r="BP420" i="1"/>
  <c r="BO420" i="1"/>
  <c r="BN420" i="1"/>
  <c r="BM420" i="1"/>
  <c r="BL420" i="1"/>
  <c r="BK420" i="1"/>
  <c r="BJ420" i="1"/>
  <c r="BI420" i="1"/>
  <c r="BH420" i="1"/>
  <c r="BG420" i="1"/>
  <c r="AZ420" i="1"/>
  <c r="AY420" i="1"/>
  <c r="AT420" i="1"/>
  <c r="AM420" i="1"/>
  <c r="AW420" i="1" s="1"/>
  <c r="I420" i="1"/>
  <c r="AU420" i="1" s="1"/>
  <c r="C420" i="1"/>
  <c r="B420" i="1"/>
  <c r="A420" i="1"/>
  <c r="CC419" i="1"/>
  <c r="CB419" i="1"/>
  <c r="CA419" i="1"/>
  <c r="BZ419" i="1"/>
  <c r="BY419" i="1"/>
  <c r="BX419" i="1"/>
  <c r="BW419" i="1"/>
  <c r="BV419" i="1"/>
  <c r="BU419" i="1"/>
  <c r="BT419" i="1"/>
  <c r="BS419" i="1"/>
  <c r="BR419" i="1"/>
  <c r="BQ419" i="1"/>
  <c r="BP419" i="1"/>
  <c r="BO419" i="1"/>
  <c r="BN419" i="1"/>
  <c r="BM419" i="1"/>
  <c r="BL419" i="1"/>
  <c r="BK419" i="1"/>
  <c r="BJ419" i="1"/>
  <c r="BI419" i="1"/>
  <c r="BH419" i="1"/>
  <c r="BG419" i="1"/>
  <c r="AZ419" i="1"/>
  <c r="AY419" i="1"/>
  <c r="AT419" i="1"/>
  <c r="AM419" i="1"/>
  <c r="I419" i="1"/>
  <c r="AU419" i="1" s="1"/>
  <c r="C419" i="1"/>
  <c r="B419" i="1"/>
  <c r="A419" i="1"/>
  <c r="CC418" i="1"/>
  <c r="CB418" i="1"/>
  <c r="CA418" i="1"/>
  <c r="BZ418" i="1"/>
  <c r="BY418" i="1"/>
  <c r="BX418" i="1"/>
  <c r="BW418" i="1"/>
  <c r="BV418" i="1"/>
  <c r="BU418" i="1"/>
  <c r="BT418" i="1"/>
  <c r="BS418" i="1"/>
  <c r="BR418" i="1"/>
  <c r="BQ418" i="1"/>
  <c r="BP418" i="1"/>
  <c r="BO418" i="1"/>
  <c r="BN418" i="1"/>
  <c r="BM418" i="1"/>
  <c r="BL418" i="1"/>
  <c r="BK418" i="1"/>
  <c r="BJ418" i="1"/>
  <c r="BI418" i="1"/>
  <c r="BH418" i="1"/>
  <c r="BG418" i="1"/>
  <c r="AZ418" i="1"/>
  <c r="AY418" i="1"/>
  <c r="AX418" i="1"/>
  <c r="AW418" i="1"/>
  <c r="AT418" i="1"/>
  <c r="AM418" i="1"/>
  <c r="AP418" i="1" s="1"/>
  <c r="AQ418" i="1" s="1"/>
  <c r="I418" i="1"/>
  <c r="C418" i="1"/>
  <c r="B418" i="1"/>
  <c r="A418" i="1"/>
  <c r="CC417" i="1"/>
  <c r="CB417" i="1"/>
  <c r="CA417" i="1"/>
  <c r="BZ417" i="1"/>
  <c r="BY417" i="1"/>
  <c r="BX417" i="1"/>
  <c r="BW417" i="1"/>
  <c r="BV417" i="1"/>
  <c r="BU417" i="1"/>
  <c r="BT417" i="1"/>
  <c r="BS417" i="1"/>
  <c r="BR417" i="1"/>
  <c r="BQ417" i="1"/>
  <c r="BP417" i="1"/>
  <c r="BO417" i="1"/>
  <c r="BN417" i="1"/>
  <c r="BM417" i="1"/>
  <c r="BL417" i="1"/>
  <c r="BK417" i="1"/>
  <c r="BJ417" i="1"/>
  <c r="BI417" i="1"/>
  <c r="BH417" i="1"/>
  <c r="BG417" i="1"/>
  <c r="AT417" i="1"/>
  <c r="AM417" i="1"/>
  <c r="I417" i="1"/>
  <c r="C417" i="1"/>
  <c r="B417" i="1"/>
  <c r="A417" i="1"/>
  <c r="CC416" i="1"/>
  <c r="CB416" i="1"/>
  <c r="CA416" i="1"/>
  <c r="BZ416" i="1"/>
  <c r="BY416" i="1"/>
  <c r="BX416" i="1"/>
  <c r="BW416" i="1"/>
  <c r="BV416" i="1"/>
  <c r="BU416" i="1"/>
  <c r="BT416" i="1"/>
  <c r="BS416" i="1"/>
  <c r="BR416" i="1"/>
  <c r="BQ416" i="1"/>
  <c r="BP416" i="1"/>
  <c r="BO416" i="1"/>
  <c r="BN416" i="1"/>
  <c r="BM416" i="1"/>
  <c r="BL416" i="1"/>
  <c r="BK416" i="1"/>
  <c r="BJ416" i="1"/>
  <c r="BI416" i="1"/>
  <c r="BH416" i="1"/>
  <c r="BG416" i="1"/>
  <c r="AT416" i="1"/>
  <c r="AM416" i="1"/>
  <c r="AY416" i="1" s="1"/>
  <c r="I416" i="1"/>
  <c r="AU416" i="1" s="1"/>
  <c r="C416" i="1"/>
  <c r="B416" i="1"/>
  <c r="A416" i="1"/>
  <c r="CC415" i="1"/>
  <c r="CB415" i="1"/>
  <c r="CA415" i="1"/>
  <c r="BZ415" i="1"/>
  <c r="BY415" i="1"/>
  <c r="BX415" i="1"/>
  <c r="BW415" i="1"/>
  <c r="BV415" i="1"/>
  <c r="BU415" i="1"/>
  <c r="BT415" i="1"/>
  <c r="BS415" i="1"/>
  <c r="BR415" i="1"/>
  <c r="BQ415" i="1"/>
  <c r="BP415" i="1"/>
  <c r="BO415" i="1"/>
  <c r="BN415" i="1"/>
  <c r="BM415" i="1"/>
  <c r="BL415" i="1"/>
  <c r="BK415" i="1"/>
  <c r="BJ415" i="1"/>
  <c r="BI415" i="1"/>
  <c r="BH415" i="1"/>
  <c r="BG415" i="1"/>
  <c r="AT415" i="1"/>
  <c r="AM415" i="1"/>
  <c r="I415" i="1"/>
  <c r="AU415" i="1" s="1"/>
  <c r="C415" i="1"/>
  <c r="B415" i="1"/>
  <c r="A415" i="1"/>
  <c r="CC414" i="1"/>
  <c r="CB414" i="1"/>
  <c r="CA414" i="1"/>
  <c r="BZ414" i="1"/>
  <c r="BY414" i="1"/>
  <c r="BX414" i="1"/>
  <c r="BW414" i="1"/>
  <c r="BV414" i="1"/>
  <c r="BU414" i="1"/>
  <c r="BT414" i="1"/>
  <c r="BS414" i="1"/>
  <c r="BR414" i="1"/>
  <c r="BQ414" i="1"/>
  <c r="BP414" i="1"/>
  <c r="BO414" i="1"/>
  <c r="BN414" i="1"/>
  <c r="BM414" i="1"/>
  <c r="BL414" i="1"/>
  <c r="BK414" i="1"/>
  <c r="BJ414" i="1"/>
  <c r="BI414" i="1"/>
  <c r="BH414" i="1"/>
  <c r="BG414" i="1"/>
  <c r="AT414" i="1"/>
  <c r="AM414" i="1"/>
  <c r="AY414" i="1" s="1"/>
  <c r="I414" i="1"/>
  <c r="AU414" i="1" s="1"/>
  <c r="C414" i="1"/>
  <c r="B414" i="1"/>
  <c r="A414" i="1"/>
  <c r="CC413" i="1"/>
  <c r="CB413" i="1"/>
  <c r="CA413" i="1"/>
  <c r="BZ413" i="1"/>
  <c r="BY413" i="1"/>
  <c r="BX413" i="1"/>
  <c r="BW413" i="1"/>
  <c r="BV413" i="1"/>
  <c r="BU413" i="1"/>
  <c r="BT413" i="1"/>
  <c r="BS413" i="1"/>
  <c r="BR413" i="1"/>
  <c r="BQ413" i="1"/>
  <c r="BP413" i="1"/>
  <c r="BO413" i="1"/>
  <c r="BN413" i="1"/>
  <c r="BM413" i="1"/>
  <c r="BL413" i="1"/>
  <c r="BK413" i="1"/>
  <c r="BJ413" i="1"/>
  <c r="BI413" i="1"/>
  <c r="BH413" i="1"/>
  <c r="BG413" i="1"/>
  <c r="AT413" i="1"/>
  <c r="AM413" i="1"/>
  <c r="I413" i="1"/>
  <c r="AU413" i="1" s="1"/>
  <c r="C413" i="1"/>
  <c r="B413" i="1"/>
  <c r="A413" i="1"/>
  <c r="CC412" i="1"/>
  <c r="CB412" i="1"/>
  <c r="CA412" i="1"/>
  <c r="BZ412" i="1"/>
  <c r="BY412" i="1"/>
  <c r="BX412" i="1"/>
  <c r="BW412" i="1"/>
  <c r="BV412" i="1"/>
  <c r="BU412" i="1"/>
  <c r="BT412" i="1"/>
  <c r="BS412" i="1"/>
  <c r="BR412" i="1"/>
  <c r="BQ412" i="1"/>
  <c r="BP412" i="1"/>
  <c r="BO412" i="1"/>
  <c r="BN412" i="1"/>
  <c r="BM412" i="1"/>
  <c r="BL412" i="1"/>
  <c r="BK412" i="1"/>
  <c r="BJ412" i="1"/>
  <c r="BI412" i="1"/>
  <c r="BH412" i="1"/>
  <c r="BG412" i="1"/>
  <c r="AT412" i="1"/>
  <c r="AM412" i="1"/>
  <c r="AY412" i="1" s="1"/>
  <c r="I412" i="1"/>
  <c r="AU412" i="1" s="1"/>
  <c r="C412" i="1"/>
  <c r="B412" i="1"/>
  <c r="A412" i="1"/>
  <c r="CC411" i="1"/>
  <c r="CB411" i="1"/>
  <c r="CA411" i="1"/>
  <c r="BZ411" i="1"/>
  <c r="BY411" i="1"/>
  <c r="BX411" i="1"/>
  <c r="BW411" i="1"/>
  <c r="BV411" i="1"/>
  <c r="BU411" i="1"/>
  <c r="BT411" i="1"/>
  <c r="BS411" i="1"/>
  <c r="BR411" i="1"/>
  <c r="BQ411" i="1"/>
  <c r="BP411" i="1"/>
  <c r="BO411" i="1"/>
  <c r="BN411" i="1"/>
  <c r="BM411" i="1"/>
  <c r="BL411" i="1"/>
  <c r="BK411" i="1"/>
  <c r="BJ411" i="1"/>
  <c r="BI411" i="1"/>
  <c r="BH411" i="1"/>
  <c r="BG411" i="1"/>
  <c r="AT411" i="1"/>
  <c r="AM411" i="1"/>
  <c r="I411" i="1"/>
  <c r="AU411" i="1" s="1"/>
  <c r="C411" i="1"/>
  <c r="B411" i="1"/>
  <c r="A411" i="1"/>
  <c r="CC410" i="1"/>
  <c r="CB410" i="1"/>
  <c r="CA410" i="1"/>
  <c r="BZ410" i="1"/>
  <c r="BY410" i="1"/>
  <c r="BX410" i="1"/>
  <c r="BW410" i="1"/>
  <c r="BV410" i="1"/>
  <c r="BU410" i="1"/>
  <c r="BT410" i="1"/>
  <c r="BS410" i="1"/>
  <c r="BR410" i="1"/>
  <c r="BQ410" i="1"/>
  <c r="BP410" i="1"/>
  <c r="BO410" i="1"/>
  <c r="BN410" i="1"/>
  <c r="BM410" i="1"/>
  <c r="BL410" i="1"/>
  <c r="BK410" i="1"/>
  <c r="BJ410" i="1"/>
  <c r="BI410" i="1"/>
  <c r="BH410" i="1"/>
  <c r="BG410" i="1"/>
  <c r="AT410" i="1"/>
  <c r="AM410" i="1"/>
  <c r="AY410" i="1" s="1"/>
  <c r="I410" i="1"/>
  <c r="CD410" i="1" s="1"/>
  <c r="C410" i="1"/>
  <c r="B410" i="1"/>
  <c r="A410" i="1"/>
  <c r="CC409" i="1"/>
  <c r="CB409" i="1"/>
  <c r="CA409" i="1"/>
  <c r="BZ409" i="1"/>
  <c r="BY409" i="1"/>
  <c r="BX409" i="1"/>
  <c r="BW409" i="1"/>
  <c r="BV409" i="1"/>
  <c r="BU409" i="1"/>
  <c r="BT409" i="1"/>
  <c r="BS409" i="1"/>
  <c r="BR409" i="1"/>
  <c r="BQ409" i="1"/>
  <c r="BP409" i="1"/>
  <c r="BO409" i="1"/>
  <c r="BN409" i="1"/>
  <c r="BM409" i="1"/>
  <c r="BL409" i="1"/>
  <c r="BK409" i="1"/>
  <c r="BJ409" i="1"/>
  <c r="BI409" i="1"/>
  <c r="BH409" i="1"/>
  <c r="BG409" i="1"/>
  <c r="AT409" i="1"/>
  <c r="AM409" i="1"/>
  <c r="I409" i="1"/>
  <c r="CD409" i="1" s="1"/>
  <c r="C409" i="1"/>
  <c r="B409" i="1"/>
  <c r="A409" i="1"/>
  <c r="CC408" i="1"/>
  <c r="CB408" i="1"/>
  <c r="CA408" i="1"/>
  <c r="BZ408" i="1"/>
  <c r="BY408" i="1"/>
  <c r="BX408" i="1"/>
  <c r="BW408" i="1"/>
  <c r="BV408" i="1"/>
  <c r="BU408" i="1"/>
  <c r="BT408" i="1"/>
  <c r="BS408" i="1"/>
  <c r="BR408" i="1"/>
  <c r="BQ408" i="1"/>
  <c r="BP408" i="1"/>
  <c r="BO408" i="1"/>
  <c r="BN408" i="1"/>
  <c r="BM408" i="1"/>
  <c r="BL408" i="1"/>
  <c r="BK408" i="1"/>
  <c r="BJ408" i="1"/>
  <c r="BI408" i="1"/>
  <c r="BH408" i="1"/>
  <c r="BG408" i="1"/>
  <c r="AT408" i="1"/>
  <c r="AM408" i="1"/>
  <c r="AW408" i="1" s="1"/>
  <c r="I408" i="1"/>
  <c r="CD408" i="1" s="1"/>
  <c r="C408" i="1"/>
  <c r="B408" i="1"/>
  <c r="A408" i="1"/>
  <c r="CC407" i="1"/>
  <c r="CB407" i="1"/>
  <c r="CA407" i="1"/>
  <c r="BZ407" i="1"/>
  <c r="BY407" i="1"/>
  <c r="BX407" i="1"/>
  <c r="BW407" i="1"/>
  <c r="BV407" i="1"/>
  <c r="BU407" i="1"/>
  <c r="BT407" i="1"/>
  <c r="BS407" i="1"/>
  <c r="BR407" i="1"/>
  <c r="BQ407" i="1"/>
  <c r="BP407" i="1"/>
  <c r="BO407" i="1"/>
  <c r="BN407" i="1"/>
  <c r="BM407" i="1"/>
  <c r="BL407" i="1"/>
  <c r="BK407" i="1"/>
  <c r="BJ407" i="1"/>
  <c r="BI407" i="1"/>
  <c r="BH407" i="1"/>
  <c r="BG407" i="1"/>
  <c r="AT407" i="1"/>
  <c r="AM407" i="1"/>
  <c r="AW407" i="1" s="1"/>
  <c r="I407" i="1"/>
  <c r="CD407" i="1" s="1"/>
  <c r="C407" i="1"/>
  <c r="B407" i="1"/>
  <c r="A407" i="1"/>
  <c r="CC406" i="1"/>
  <c r="CB406" i="1"/>
  <c r="CA406" i="1"/>
  <c r="BZ406" i="1"/>
  <c r="BY406" i="1"/>
  <c r="BX406" i="1"/>
  <c r="BW406" i="1"/>
  <c r="BV406" i="1"/>
  <c r="BU406" i="1"/>
  <c r="BT406" i="1"/>
  <c r="BS406" i="1"/>
  <c r="BR406" i="1"/>
  <c r="BQ406" i="1"/>
  <c r="BP406" i="1"/>
  <c r="BO406" i="1"/>
  <c r="BN406" i="1"/>
  <c r="BM406" i="1"/>
  <c r="BL406" i="1"/>
  <c r="BK406" i="1"/>
  <c r="BJ406" i="1"/>
  <c r="BI406" i="1"/>
  <c r="BH406" i="1"/>
  <c r="BG406" i="1"/>
  <c r="AT406" i="1"/>
  <c r="AM406" i="1"/>
  <c r="AW406" i="1" s="1"/>
  <c r="I406" i="1"/>
  <c r="CD406" i="1" s="1"/>
  <c r="C406" i="1"/>
  <c r="B406" i="1"/>
  <c r="A406" i="1"/>
  <c r="CC405" i="1"/>
  <c r="CB405" i="1"/>
  <c r="CA405" i="1"/>
  <c r="BZ405" i="1"/>
  <c r="BY405" i="1"/>
  <c r="BX405" i="1"/>
  <c r="BW405" i="1"/>
  <c r="BV405" i="1"/>
  <c r="BU405" i="1"/>
  <c r="BT405" i="1"/>
  <c r="BS405" i="1"/>
  <c r="BR405" i="1"/>
  <c r="BQ405" i="1"/>
  <c r="BP405" i="1"/>
  <c r="BO405" i="1"/>
  <c r="BN405" i="1"/>
  <c r="BM405" i="1"/>
  <c r="BL405" i="1"/>
  <c r="BK405" i="1"/>
  <c r="BJ405" i="1"/>
  <c r="BI405" i="1"/>
  <c r="BH405" i="1"/>
  <c r="BG405" i="1"/>
  <c r="AT405" i="1"/>
  <c r="AM405" i="1"/>
  <c r="I405" i="1"/>
  <c r="AU405" i="1" s="1"/>
  <c r="C405" i="1"/>
  <c r="B405" i="1"/>
  <c r="A405" i="1"/>
  <c r="CC404" i="1"/>
  <c r="CB404" i="1"/>
  <c r="CA404" i="1"/>
  <c r="BZ404" i="1"/>
  <c r="BY404" i="1"/>
  <c r="BX404" i="1"/>
  <c r="BW404" i="1"/>
  <c r="BV404" i="1"/>
  <c r="BU404" i="1"/>
  <c r="BT404" i="1"/>
  <c r="BS404" i="1"/>
  <c r="BR404" i="1"/>
  <c r="BQ404" i="1"/>
  <c r="BP404" i="1"/>
  <c r="BO404" i="1"/>
  <c r="BN404" i="1"/>
  <c r="BM404" i="1"/>
  <c r="BL404" i="1"/>
  <c r="BK404" i="1"/>
  <c r="BJ404" i="1"/>
  <c r="BI404" i="1"/>
  <c r="BH404" i="1"/>
  <c r="BG404" i="1"/>
  <c r="AT404" i="1"/>
  <c r="AM404" i="1"/>
  <c r="AW404" i="1" s="1"/>
  <c r="I404" i="1"/>
  <c r="C404" i="1"/>
  <c r="B404" i="1"/>
  <c r="A404" i="1"/>
  <c r="CC403" i="1"/>
  <c r="CB403" i="1"/>
  <c r="CA403" i="1"/>
  <c r="BZ403" i="1"/>
  <c r="BY403" i="1"/>
  <c r="BX403" i="1"/>
  <c r="BW403" i="1"/>
  <c r="BV403" i="1"/>
  <c r="BU403" i="1"/>
  <c r="BT403" i="1"/>
  <c r="BS403" i="1"/>
  <c r="BR403" i="1"/>
  <c r="BQ403" i="1"/>
  <c r="BP403" i="1"/>
  <c r="BO403" i="1"/>
  <c r="BN403" i="1"/>
  <c r="BM403" i="1"/>
  <c r="BL403" i="1"/>
  <c r="BK403" i="1"/>
  <c r="BJ403" i="1"/>
  <c r="BI403" i="1"/>
  <c r="BH403" i="1"/>
  <c r="BG403" i="1"/>
  <c r="AT403" i="1"/>
  <c r="AM403" i="1"/>
  <c r="AW403" i="1" s="1"/>
  <c r="I403" i="1"/>
  <c r="AU403" i="1" s="1"/>
  <c r="C403" i="1"/>
  <c r="B403" i="1"/>
  <c r="A403" i="1"/>
  <c r="CC402" i="1"/>
  <c r="CB402" i="1"/>
  <c r="CA402" i="1"/>
  <c r="BZ402" i="1"/>
  <c r="BY402" i="1"/>
  <c r="BX402" i="1"/>
  <c r="BW402" i="1"/>
  <c r="BV402" i="1"/>
  <c r="BU402" i="1"/>
  <c r="BT402" i="1"/>
  <c r="BS402" i="1"/>
  <c r="BR402" i="1"/>
  <c r="BQ402" i="1"/>
  <c r="BP402" i="1"/>
  <c r="BO402" i="1"/>
  <c r="BN402" i="1"/>
  <c r="BM402" i="1"/>
  <c r="BL402" i="1"/>
  <c r="BK402" i="1"/>
  <c r="BJ402" i="1"/>
  <c r="BI402" i="1"/>
  <c r="BH402" i="1"/>
  <c r="BG402" i="1"/>
  <c r="AT402" i="1"/>
  <c r="AM402" i="1"/>
  <c r="AW402" i="1" s="1"/>
  <c r="I402" i="1"/>
  <c r="AU402" i="1" s="1"/>
  <c r="C402" i="1"/>
  <c r="B402" i="1"/>
  <c r="A402" i="1"/>
  <c r="CC401" i="1"/>
  <c r="CB401" i="1"/>
  <c r="CA401" i="1"/>
  <c r="BZ401" i="1"/>
  <c r="BY401" i="1"/>
  <c r="BX401" i="1"/>
  <c r="BW401" i="1"/>
  <c r="BV401" i="1"/>
  <c r="BU401" i="1"/>
  <c r="BT401" i="1"/>
  <c r="BS401" i="1"/>
  <c r="BR401" i="1"/>
  <c r="BQ401" i="1"/>
  <c r="BP401" i="1"/>
  <c r="BO401" i="1"/>
  <c r="BN401" i="1"/>
  <c r="BM401" i="1"/>
  <c r="BL401" i="1"/>
  <c r="BK401" i="1"/>
  <c r="BJ401" i="1"/>
  <c r="BI401" i="1"/>
  <c r="BH401" i="1"/>
  <c r="BG401" i="1"/>
  <c r="AT401" i="1"/>
  <c r="AM401" i="1"/>
  <c r="I401" i="1"/>
  <c r="AU401" i="1" s="1"/>
  <c r="C401" i="1"/>
  <c r="B401" i="1"/>
  <c r="A401" i="1"/>
  <c r="CC400" i="1"/>
  <c r="CB400" i="1"/>
  <c r="CA400" i="1"/>
  <c r="BZ400" i="1"/>
  <c r="BY400" i="1"/>
  <c r="BX400" i="1"/>
  <c r="BW400" i="1"/>
  <c r="BV400" i="1"/>
  <c r="BU400" i="1"/>
  <c r="BT400" i="1"/>
  <c r="BS400" i="1"/>
  <c r="BR400" i="1"/>
  <c r="BQ400" i="1"/>
  <c r="BP400" i="1"/>
  <c r="BO400" i="1"/>
  <c r="BN400" i="1"/>
  <c r="BM400" i="1"/>
  <c r="BL400" i="1"/>
  <c r="BK400" i="1"/>
  <c r="BJ400" i="1"/>
  <c r="BI400" i="1"/>
  <c r="BH400" i="1"/>
  <c r="BG400" i="1"/>
  <c r="AT400" i="1"/>
  <c r="AG400" i="1"/>
  <c r="I400" i="1"/>
  <c r="CD400" i="1" s="1"/>
  <c r="C400" i="1"/>
  <c r="B400" i="1"/>
  <c r="A400" i="1"/>
  <c r="CB399" i="1"/>
  <c r="CA399" i="1"/>
  <c r="BZ399" i="1"/>
  <c r="BY399" i="1"/>
  <c r="BX399" i="1"/>
  <c r="BW399" i="1"/>
  <c r="BV399" i="1"/>
  <c r="BU399" i="1"/>
  <c r="BT399" i="1"/>
  <c r="BS399" i="1"/>
  <c r="BR399" i="1"/>
  <c r="BQ399" i="1"/>
  <c r="BP399" i="1"/>
  <c r="BO399" i="1"/>
  <c r="BN399" i="1"/>
  <c r="BM399" i="1"/>
  <c r="BL399" i="1"/>
  <c r="BK399" i="1"/>
  <c r="BJ399" i="1"/>
  <c r="BI399" i="1"/>
  <c r="BH399" i="1"/>
  <c r="BG399" i="1"/>
  <c r="AT399" i="1"/>
  <c r="I399" i="1"/>
  <c r="C399" i="1"/>
  <c r="B399" i="1"/>
  <c r="A399" i="1"/>
  <c r="CC398" i="1"/>
  <c r="CB398" i="1"/>
  <c r="CA398" i="1"/>
  <c r="BZ398" i="1"/>
  <c r="BY398" i="1"/>
  <c r="BX398" i="1"/>
  <c r="BW398" i="1"/>
  <c r="BV398" i="1"/>
  <c r="BU398" i="1"/>
  <c r="BT398" i="1"/>
  <c r="BS398" i="1"/>
  <c r="BR398" i="1"/>
  <c r="BQ398" i="1"/>
  <c r="BP398" i="1"/>
  <c r="BO398" i="1"/>
  <c r="BN398" i="1"/>
  <c r="BM398" i="1"/>
  <c r="BL398" i="1"/>
  <c r="BK398" i="1"/>
  <c r="BJ398" i="1"/>
  <c r="BI398" i="1"/>
  <c r="BH398" i="1"/>
  <c r="BG398" i="1"/>
  <c r="AT398" i="1"/>
  <c r="AM398" i="1"/>
  <c r="AW398" i="1" s="1"/>
  <c r="I398" i="1"/>
  <c r="C398" i="1"/>
  <c r="B398" i="1"/>
  <c r="A398" i="1"/>
  <c r="CB397" i="1"/>
  <c r="CA397" i="1"/>
  <c r="BZ397" i="1"/>
  <c r="BY397" i="1"/>
  <c r="BX397" i="1"/>
  <c r="BW397" i="1"/>
  <c r="BV397" i="1"/>
  <c r="BU397" i="1"/>
  <c r="BT397" i="1"/>
  <c r="BS397" i="1"/>
  <c r="BR397" i="1"/>
  <c r="BQ397" i="1"/>
  <c r="BP397" i="1"/>
  <c r="BO397" i="1"/>
  <c r="BN397" i="1"/>
  <c r="BM397" i="1"/>
  <c r="BL397" i="1"/>
  <c r="BK397" i="1"/>
  <c r="BJ397" i="1"/>
  <c r="BI397" i="1"/>
  <c r="BH397" i="1"/>
  <c r="BG397" i="1"/>
  <c r="AT397" i="1"/>
  <c r="AG397" i="1"/>
  <c r="I397" i="1"/>
  <c r="CD397" i="1" s="1"/>
  <c r="CI397" i="1" s="1"/>
  <c r="CN397" i="1" s="1"/>
  <c r="C397" i="1"/>
  <c r="B397" i="1"/>
  <c r="A397" i="1"/>
  <c r="CC396" i="1"/>
  <c r="CB396" i="1"/>
  <c r="CA396" i="1"/>
  <c r="BZ396" i="1"/>
  <c r="BY396" i="1"/>
  <c r="BX396" i="1"/>
  <c r="BW396" i="1"/>
  <c r="BV396" i="1"/>
  <c r="BU396" i="1"/>
  <c r="BT396" i="1"/>
  <c r="BS396" i="1"/>
  <c r="BR396" i="1"/>
  <c r="BQ396" i="1"/>
  <c r="BP396" i="1"/>
  <c r="BO396" i="1"/>
  <c r="BN396" i="1"/>
  <c r="BM396" i="1"/>
  <c r="BL396" i="1"/>
  <c r="BK396" i="1"/>
  <c r="BJ396" i="1"/>
  <c r="BI396" i="1"/>
  <c r="BH396" i="1"/>
  <c r="BG396" i="1"/>
  <c r="AT396" i="1"/>
  <c r="AM396" i="1"/>
  <c r="I396" i="1"/>
  <c r="AU396" i="1" s="1"/>
  <c r="C396" i="1"/>
  <c r="B396" i="1"/>
  <c r="A396" i="1"/>
  <c r="CC395" i="1"/>
  <c r="CB395" i="1"/>
  <c r="CA395" i="1"/>
  <c r="BZ395" i="1"/>
  <c r="BY395" i="1"/>
  <c r="BX395" i="1"/>
  <c r="BW395" i="1"/>
  <c r="BV395" i="1"/>
  <c r="BU395" i="1"/>
  <c r="BT395" i="1"/>
  <c r="BS395" i="1"/>
  <c r="BR395" i="1"/>
  <c r="BQ395" i="1"/>
  <c r="BP395" i="1"/>
  <c r="BO395" i="1"/>
  <c r="BN395" i="1"/>
  <c r="BM395" i="1"/>
  <c r="BL395" i="1"/>
  <c r="BK395" i="1"/>
  <c r="BJ395" i="1"/>
  <c r="BI395" i="1"/>
  <c r="BH395" i="1"/>
  <c r="BG395" i="1"/>
  <c r="AT395" i="1"/>
  <c r="AM395" i="1"/>
  <c r="AW395" i="1" s="1"/>
  <c r="I395" i="1"/>
  <c r="C395" i="1"/>
  <c r="B395" i="1"/>
  <c r="A395" i="1"/>
  <c r="CC394" i="1"/>
  <c r="CB394" i="1"/>
  <c r="CA394" i="1"/>
  <c r="BZ394" i="1"/>
  <c r="BY394" i="1"/>
  <c r="BX394" i="1"/>
  <c r="BW394" i="1"/>
  <c r="BV394" i="1"/>
  <c r="BU394" i="1"/>
  <c r="BT394" i="1"/>
  <c r="BS394" i="1"/>
  <c r="BR394" i="1"/>
  <c r="BQ394" i="1"/>
  <c r="BP394" i="1"/>
  <c r="BO394" i="1"/>
  <c r="BN394" i="1"/>
  <c r="BM394" i="1"/>
  <c r="BL394" i="1"/>
  <c r="BK394" i="1"/>
  <c r="BJ394" i="1"/>
  <c r="BI394" i="1"/>
  <c r="BH394" i="1"/>
  <c r="BG394" i="1"/>
  <c r="AT394" i="1"/>
  <c r="I394" i="1"/>
  <c r="C394" i="1"/>
  <c r="B394" i="1"/>
  <c r="A394" i="1"/>
  <c r="CC393" i="1"/>
  <c r="CB393" i="1"/>
  <c r="CA393" i="1"/>
  <c r="BZ393" i="1"/>
  <c r="BY393" i="1"/>
  <c r="BX393" i="1"/>
  <c r="BW393" i="1"/>
  <c r="BV393" i="1"/>
  <c r="BU393" i="1"/>
  <c r="BT393" i="1"/>
  <c r="BS393" i="1"/>
  <c r="BR393" i="1"/>
  <c r="BQ393" i="1"/>
  <c r="BP393" i="1"/>
  <c r="BO393" i="1"/>
  <c r="BN393" i="1"/>
  <c r="BM393" i="1"/>
  <c r="BL393" i="1"/>
  <c r="BK393" i="1"/>
  <c r="BJ393" i="1"/>
  <c r="BI393" i="1"/>
  <c r="BH393" i="1"/>
  <c r="BG393" i="1"/>
  <c r="AT393" i="1"/>
  <c r="I393" i="1"/>
  <c r="C393" i="1"/>
  <c r="B393" i="1"/>
  <c r="A393" i="1"/>
  <c r="CC392" i="1"/>
  <c r="CB392" i="1"/>
  <c r="CA392" i="1"/>
  <c r="BZ392" i="1"/>
  <c r="BY392" i="1"/>
  <c r="BX392" i="1"/>
  <c r="BW392" i="1"/>
  <c r="BV392" i="1"/>
  <c r="BU392" i="1"/>
  <c r="BT392" i="1"/>
  <c r="BS392" i="1"/>
  <c r="BR392" i="1"/>
  <c r="BQ392" i="1"/>
  <c r="BP392" i="1"/>
  <c r="BO392" i="1"/>
  <c r="BN392" i="1"/>
  <c r="BM392" i="1"/>
  <c r="BL392" i="1"/>
  <c r="BK392" i="1"/>
  <c r="BJ392" i="1"/>
  <c r="BI392" i="1"/>
  <c r="BH392" i="1"/>
  <c r="BG392" i="1"/>
  <c r="AT392" i="1"/>
  <c r="AM392" i="1"/>
  <c r="AW392" i="1" s="1"/>
  <c r="I392" i="1"/>
  <c r="CD392" i="1" s="1"/>
  <c r="CE392" i="1" s="1"/>
  <c r="CJ392" i="1" s="1"/>
  <c r="CO392" i="1" s="1"/>
  <c r="C392" i="1"/>
  <c r="B392" i="1"/>
  <c r="A392" i="1"/>
  <c r="CC391" i="1"/>
  <c r="CB391" i="1"/>
  <c r="CA391" i="1"/>
  <c r="BZ391" i="1"/>
  <c r="BY391" i="1"/>
  <c r="BX391" i="1"/>
  <c r="BW391" i="1"/>
  <c r="BV391" i="1"/>
  <c r="BU391" i="1"/>
  <c r="BT391" i="1"/>
  <c r="BS391" i="1"/>
  <c r="BR391" i="1"/>
  <c r="BQ391" i="1"/>
  <c r="BP391" i="1"/>
  <c r="BO391" i="1"/>
  <c r="BN391" i="1"/>
  <c r="BM391" i="1"/>
  <c r="BL391" i="1"/>
  <c r="BK391" i="1"/>
  <c r="BJ391" i="1"/>
  <c r="BI391" i="1"/>
  <c r="BH391" i="1"/>
  <c r="BG391" i="1"/>
  <c r="AT391" i="1"/>
  <c r="AM391" i="1"/>
  <c r="AZ391" i="1" s="1"/>
  <c r="I391" i="1"/>
  <c r="CD391" i="1" s="1"/>
  <c r="CI391" i="1" s="1"/>
  <c r="CN391" i="1" s="1"/>
  <c r="C391" i="1"/>
  <c r="B391" i="1"/>
  <c r="A391" i="1"/>
  <c r="CC390" i="1"/>
  <c r="CB390" i="1"/>
  <c r="CA390" i="1"/>
  <c r="BZ390" i="1"/>
  <c r="BY390" i="1"/>
  <c r="BX390" i="1"/>
  <c r="BW390" i="1"/>
  <c r="BV390" i="1"/>
  <c r="BU390" i="1"/>
  <c r="BT390" i="1"/>
  <c r="BS390" i="1"/>
  <c r="BR390" i="1"/>
  <c r="BQ390" i="1"/>
  <c r="BP390" i="1"/>
  <c r="BO390" i="1"/>
  <c r="BN390" i="1"/>
  <c r="BM390" i="1"/>
  <c r="BL390" i="1"/>
  <c r="BK390" i="1"/>
  <c r="BJ390" i="1"/>
  <c r="BI390" i="1"/>
  <c r="BH390" i="1"/>
  <c r="BG390" i="1"/>
  <c r="AT390" i="1"/>
  <c r="AM390" i="1"/>
  <c r="AW390" i="1" s="1"/>
  <c r="I390" i="1"/>
  <c r="AU390" i="1" s="1"/>
  <c r="C390" i="1"/>
  <c r="B390" i="1"/>
  <c r="A390" i="1"/>
  <c r="CC389" i="1"/>
  <c r="CB389" i="1"/>
  <c r="CA389" i="1"/>
  <c r="BZ389" i="1"/>
  <c r="BY389" i="1"/>
  <c r="BX389" i="1"/>
  <c r="BW389" i="1"/>
  <c r="BV389" i="1"/>
  <c r="BU389" i="1"/>
  <c r="BT389" i="1"/>
  <c r="BS389" i="1"/>
  <c r="BR389" i="1"/>
  <c r="BQ389" i="1"/>
  <c r="BP389" i="1"/>
  <c r="BO389" i="1"/>
  <c r="BN389" i="1"/>
  <c r="BM389" i="1"/>
  <c r="BL389" i="1"/>
  <c r="BK389" i="1"/>
  <c r="BJ389" i="1"/>
  <c r="BI389" i="1"/>
  <c r="BH389" i="1"/>
  <c r="BG389" i="1"/>
  <c r="AT389" i="1"/>
  <c r="I389" i="1"/>
  <c r="AU389" i="1" s="1"/>
  <c r="C389" i="1"/>
  <c r="B389" i="1"/>
  <c r="A389" i="1"/>
  <c r="CC388" i="1"/>
  <c r="CB388" i="1"/>
  <c r="CA388" i="1"/>
  <c r="BZ388" i="1"/>
  <c r="BY388" i="1"/>
  <c r="BX388" i="1"/>
  <c r="BW388" i="1"/>
  <c r="BV388" i="1"/>
  <c r="BU388" i="1"/>
  <c r="BT388" i="1"/>
  <c r="BS388" i="1"/>
  <c r="BR388" i="1"/>
  <c r="BQ388" i="1"/>
  <c r="BP388" i="1"/>
  <c r="BO388" i="1"/>
  <c r="BN388" i="1"/>
  <c r="BM388" i="1"/>
  <c r="BL388" i="1"/>
  <c r="BK388" i="1"/>
  <c r="BJ388" i="1"/>
  <c r="BI388" i="1"/>
  <c r="BH388" i="1"/>
  <c r="BG388" i="1"/>
  <c r="AT388" i="1"/>
  <c r="AM388" i="1"/>
  <c r="I388" i="1"/>
  <c r="CD388" i="1" s="1"/>
  <c r="C388" i="1"/>
  <c r="B388" i="1"/>
  <c r="A388" i="1"/>
  <c r="CC387" i="1"/>
  <c r="CB387" i="1"/>
  <c r="CA387" i="1"/>
  <c r="BZ387" i="1"/>
  <c r="BY387" i="1"/>
  <c r="BX387" i="1"/>
  <c r="BW387" i="1"/>
  <c r="BV387" i="1"/>
  <c r="BU387" i="1"/>
  <c r="BT387" i="1"/>
  <c r="BS387" i="1"/>
  <c r="BR387" i="1"/>
  <c r="BQ387" i="1"/>
  <c r="BP387" i="1"/>
  <c r="BO387" i="1"/>
  <c r="BN387" i="1"/>
  <c r="BM387" i="1"/>
  <c r="BL387" i="1"/>
  <c r="BK387" i="1"/>
  <c r="BJ387" i="1"/>
  <c r="BI387" i="1"/>
  <c r="BH387" i="1"/>
  <c r="BG387" i="1"/>
  <c r="AT387" i="1"/>
  <c r="AM387" i="1"/>
  <c r="I387" i="1"/>
  <c r="CD387" i="1" s="1"/>
  <c r="C387" i="1"/>
  <c r="B387" i="1"/>
  <c r="A387" i="1"/>
  <c r="CC386" i="1"/>
  <c r="CB386" i="1"/>
  <c r="CA386" i="1"/>
  <c r="BZ386" i="1"/>
  <c r="BY386" i="1"/>
  <c r="BX386" i="1"/>
  <c r="BW386" i="1"/>
  <c r="BV386" i="1"/>
  <c r="BU386" i="1"/>
  <c r="BT386" i="1"/>
  <c r="BS386" i="1"/>
  <c r="BR386" i="1"/>
  <c r="BQ386" i="1"/>
  <c r="BP386" i="1"/>
  <c r="BO386" i="1"/>
  <c r="BN386" i="1"/>
  <c r="BM386" i="1"/>
  <c r="BL386" i="1"/>
  <c r="BK386" i="1"/>
  <c r="BJ386" i="1"/>
  <c r="BI386" i="1"/>
  <c r="BH386" i="1"/>
  <c r="BG386" i="1"/>
  <c r="AT386" i="1"/>
  <c r="AM386" i="1"/>
  <c r="AY386" i="1" s="1"/>
  <c r="I386" i="1"/>
  <c r="CD386" i="1" s="1"/>
  <c r="C386" i="1"/>
  <c r="B386" i="1"/>
  <c r="A386" i="1"/>
  <c r="CC385" i="1"/>
  <c r="CB385" i="1"/>
  <c r="CA385" i="1"/>
  <c r="BZ385" i="1"/>
  <c r="BY385" i="1"/>
  <c r="BX385" i="1"/>
  <c r="BW385" i="1"/>
  <c r="BV385" i="1"/>
  <c r="BU385" i="1"/>
  <c r="BT385" i="1"/>
  <c r="BS385" i="1"/>
  <c r="BR385" i="1"/>
  <c r="BQ385" i="1"/>
  <c r="BP385" i="1"/>
  <c r="BO385" i="1"/>
  <c r="BN385" i="1"/>
  <c r="BM385" i="1"/>
  <c r="BL385" i="1"/>
  <c r="BK385" i="1"/>
  <c r="BJ385" i="1"/>
  <c r="BI385" i="1"/>
  <c r="BH385" i="1"/>
  <c r="BG385" i="1"/>
  <c r="AT385" i="1"/>
  <c r="AM385" i="1"/>
  <c r="AW385" i="1" s="1"/>
  <c r="I385" i="1"/>
  <c r="CD385" i="1" s="1"/>
  <c r="C385" i="1"/>
  <c r="B385" i="1"/>
  <c r="A385" i="1"/>
  <c r="CC384" i="1"/>
  <c r="CB384" i="1"/>
  <c r="CA384" i="1"/>
  <c r="BZ384" i="1"/>
  <c r="BY384" i="1"/>
  <c r="BX384" i="1"/>
  <c r="BW384" i="1"/>
  <c r="BV384" i="1"/>
  <c r="BU384" i="1"/>
  <c r="BT384" i="1"/>
  <c r="BS384" i="1"/>
  <c r="BR384" i="1"/>
  <c r="BQ384" i="1"/>
  <c r="BP384" i="1"/>
  <c r="BO384" i="1"/>
  <c r="BN384" i="1"/>
  <c r="BM384" i="1"/>
  <c r="BL384" i="1"/>
  <c r="BK384" i="1"/>
  <c r="BJ384" i="1"/>
  <c r="BI384" i="1"/>
  <c r="BH384" i="1"/>
  <c r="BG384" i="1"/>
  <c r="AT384" i="1"/>
  <c r="AM384" i="1"/>
  <c r="AY384" i="1" s="1"/>
  <c r="I384" i="1"/>
  <c r="CD384" i="1" s="1"/>
  <c r="C384" i="1"/>
  <c r="B384" i="1"/>
  <c r="A384" i="1"/>
  <c r="CC383" i="1"/>
  <c r="CB383" i="1"/>
  <c r="CA383" i="1"/>
  <c r="BZ383" i="1"/>
  <c r="BY383" i="1"/>
  <c r="BX383" i="1"/>
  <c r="BW383" i="1"/>
  <c r="BV383" i="1"/>
  <c r="BU383" i="1"/>
  <c r="BT383" i="1"/>
  <c r="BS383" i="1"/>
  <c r="BR383" i="1"/>
  <c r="BQ383" i="1"/>
  <c r="BP383" i="1"/>
  <c r="BO383" i="1"/>
  <c r="BN383" i="1"/>
  <c r="BM383" i="1"/>
  <c r="BL383" i="1"/>
  <c r="BK383" i="1"/>
  <c r="BJ383" i="1"/>
  <c r="BI383" i="1"/>
  <c r="BH383" i="1"/>
  <c r="BG383" i="1"/>
  <c r="AT383" i="1"/>
  <c r="AM383" i="1"/>
  <c r="AW383" i="1" s="1"/>
  <c r="I383" i="1"/>
  <c r="CD383" i="1" s="1"/>
  <c r="C383" i="1"/>
  <c r="B383" i="1"/>
  <c r="A383" i="1"/>
  <c r="CC382" i="1"/>
  <c r="CB382" i="1"/>
  <c r="CA382" i="1"/>
  <c r="BZ382" i="1"/>
  <c r="BY382" i="1"/>
  <c r="BX382" i="1"/>
  <c r="BW382" i="1"/>
  <c r="BV382" i="1"/>
  <c r="BU382" i="1"/>
  <c r="BT382" i="1"/>
  <c r="BS382" i="1"/>
  <c r="BR382" i="1"/>
  <c r="BQ382" i="1"/>
  <c r="BP382" i="1"/>
  <c r="BO382" i="1"/>
  <c r="BN382" i="1"/>
  <c r="BM382" i="1"/>
  <c r="BL382" i="1"/>
  <c r="BK382" i="1"/>
  <c r="BJ382" i="1"/>
  <c r="BI382" i="1"/>
  <c r="BH382" i="1"/>
  <c r="BG382" i="1"/>
  <c r="AT382" i="1"/>
  <c r="AM382" i="1"/>
  <c r="AY382" i="1" s="1"/>
  <c r="I382" i="1"/>
  <c r="CD382" i="1" s="1"/>
  <c r="C382" i="1"/>
  <c r="B382" i="1"/>
  <c r="A382" i="1"/>
  <c r="CC381" i="1"/>
  <c r="CB381" i="1"/>
  <c r="CA381" i="1"/>
  <c r="BZ381" i="1"/>
  <c r="BY381" i="1"/>
  <c r="BX381" i="1"/>
  <c r="BW381" i="1"/>
  <c r="BV381" i="1"/>
  <c r="BU381" i="1"/>
  <c r="BT381" i="1"/>
  <c r="BS381" i="1"/>
  <c r="BR381" i="1"/>
  <c r="BQ381" i="1"/>
  <c r="BP381" i="1"/>
  <c r="BO381" i="1"/>
  <c r="BN381" i="1"/>
  <c r="BM381" i="1"/>
  <c r="BL381" i="1"/>
  <c r="BK381" i="1"/>
  <c r="BJ381" i="1"/>
  <c r="BI381" i="1"/>
  <c r="BH381" i="1"/>
  <c r="BG381" i="1"/>
  <c r="AT381" i="1"/>
  <c r="AM381" i="1"/>
  <c r="AW381" i="1" s="1"/>
  <c r="I381" i="1"/>
  <c r="CD381" i="1" s="1"/>
  <c r="C381" i="1"/>
  <c r="B381" i="1"/>
  <c r="A381" i="1"/>
  <c r="CC380" i="1"/>
  <c r="CB380" i="1"/>
  <c r="CA380" i="1"/>
  <c r="BZ380" i="1"/>
  <c r="BY380" i="1"/>
  <c r="BX380" i="1"/>
  <c r="BW380" i="1"/>
  <c r="BV380" i="1"/>
  <c r="BU380" i="1"/>
  <c r="BT380" i="1"/>
  <c r="BS380" i="1"/>
  <c r="BR380" i="1"/>
  <c r="BQ380" i="1"/>
  <c r="BP380" i="1"/>
  <c r="BO380" i="1"/>
  <c r="BN380" i="1"/>
  <c r="BM380" i="1"/>
  <c r="BL380" i="1"/>
  <c r="BK380" i="1"/>
  <c r="BJ380" i="1"/>
  <c r="BI380" i="1"/>
  <c r="BH380" i="1"/>
  <c r="BG380" i="1"/>
  <c r="AT380" i="1"/>
  <c r="AM380" i="1"/>
  <c r="I380" i="1"/>
  <c r="CD380" i="1" s="1"/>
  <c r="C380" i="1"/>
  <c r="B380" i="1"/>
  <c r="A380" i="1"/>
  <c r="CC379" i="1"/>
  <c r="CB379" i="1"/>
  <c r="CA379" i="1"/>
  <c r="BZ379" i="1"/>
  <c r="BY379" i="1"/>
  <c r="BX379" i="1"/>
  <c r="BW379" i="1"/>
  <c r="BV379" i="1"/>
  <c r="BU379" i="1"/>
  <c r="BT379" i="1"/>
  <c r="BS379" i="1"/>
  <c r="BR379" i="1"/>
  <c r="BQ379" i="1"/>
  <c r="BP379" i="1"/>
  <c r="BO379" i="1"/>
  <c r="BN379" i="1"/>
  <c r="BM379" i="1"/>
  <c r="BL379" i="1"/>
  <c r="BK379" i="1"/>
  <c r="BJ379" i="1"/>
  <c r="BI379" i="1"/>
  <c r="BH379" i="1"/>
  <c r="BG379" i="1"/>
  <c r="AT379" i="1"/>
  <c r="AM379" i="1"/>
  <c r="AW379" i="1" s="1"/>
  <c r="I379" i="1"/>
  <c r="CD379" i="1" s="1"/>
  <c r="C379" i="1"/>
  <c r="B379" i="1"/>
  <c r="A379" i="1"/>
  <c r="CC378" i="1"/>
  <c r="CB378" i="1"/>
  <c r="CA378" i="1"/>
  <c r="BZ378" i="1"/>
  <c r="BY378" i="1"/>
  <c r="BX378" i="1"/>
  <c r="BW378" i="1"/>
  <c r="BV378" i="1"/>
  <c r="BU378" i="1"/>
  <c r="BT378" i="1"/>
  <c r="BS378" i="1"/>
  <c r="BR378" i="1"/>
  <c r="BQ378" i="1"/>
  <c r="BP378" i="1"/>
  <c r="BO378" i="1"/>
  <c r="BN378" i="1"/>
  <c r="BM378" i="1"/>
  <c r="BL378" i="1"/>
  <c r="BK378" i="1"/>
  <c r="BJ378" i="1"/>
  <c r="BI378" i="1"/>
  <c r="BH378" i="1"/>
  <c r="BG378" i="1"/>
  <c r="AT378" i="1"/>
  <c r="AM378" i="1"/>
  <c r="AY378" i="1" s="1"/>
  <c r="I378" i="1"/>
  <c r="CD378" i="1" s="1"/>
  <c r="C378" i="1"/>
  <c r="B378" i="1"/>
  <c r="A378" i="1"/>
  <c r="CC377" i="1"/>
  <c r="CB377" i="1"/>
  <c r="CA377" i="1"/>
  <c r="BZ377" i="1"/>
  <c r="BY377" i="1"/>
  <c r="BX377" i="1"/>
  <c r="BW377" i="1"/>
  <c r="BV377" i="1"/>
  <c r="BU377" i="1"/>
  <c r="BT377" i="1"/>
  <c r="BS377" i="1"/>
  <c r="BR377" i="1"/>
  <c r="BQ377" i="1"/>
  <c r="BP377" i="1"/>
  <c r="BO377" i="1"/>
  <c r="BN377" i="1"/>
  <c r="BM377" i="1"/>
  <c r="BL377" i="1"/>
  <c r="BK377" i="1"/>
  <c r="BJ377" i="1"/>
  <c r="BI377" i="1"/>
  <c r="BH377" i="1"/>
  <c r="BG377" i="1"/>
  <c r="AT377" i="1"/>
  <c r="I377" i="1"/>
  <c r="CD377" i="1" s="1"/>
  <c r="C377" i="1"/>
  <c r="B377" i="1"/>
  <c r="A377" i="1"/>
  <c r="CC376" i="1"/>
  <c r="CB376" i="1"/>
  <c r="CA376" i="1"/>
  <c r="BZ376" i="1"/>
  <c r="BY376" i="1"/>
  <c r="BX376" i="1"/>
  <c r="BW376" i="1"/>
  <c r="BV376" i="1"/>
  <c r="BU376" i="1"/>
  <c r="BT376" i="1"/>
  <c r="BS376" i="1"/>
  <c r="BR376" i="1"/>
  <c r="BQ376" i="1"/>
  <c r="BP376" i="1"/>
  <c r="BO376" i="1"/>
  <c r="BN376" i="1"/>
  <c r="BM376" i="1"/>
  <c r="BL376" i="1"/>
  <c r="BK376" i="1"/>
  <c r="BJ376" i="1"/>
  <c r="BI376" i="1"/>
  <c r="BH376" i="1"/>
  <c r="BG376" i="1"/>
  <c r="AT376" i="1"/>
  <c r="AM376" i="1"/>
  <c r="I376" i="1"/>
  <c r="CD376" i="1" s="1"/>
  <c r="C376" i="1"/>
  <c r="B376" i="1"/>
  <c r="A376" i="1"/>
  <c r="CB375" i="1"/>
  <c r="CA375" i="1"/>
  <c r="BZ375" i="1"/>
  <c r="BY375" i="1"/>
  <c r="BX375" i="1"/>
  <c r="BW375" i="1"/>
  <c r="BV375" i="1"/>
  <c r="BU375" i="1"/>
  <c r="BT375" i="1"/>
  <c r="BS375" i="1"/>
  <c r="BR375" i="1"/>
  <c r="BQ375" i="1"/>
  <c r="BP375" i="1"/>
  <c r="BO375" i="1"/>
  <c r="BN375" i="1"/>
  <c r="BM375" i="1"/>
  <c r="BL375" i="1"/>
  <c r="BK375" i="1"/>
  <c r="BJ375" i="1"/>
  <c r="BI375" i="1"/>
  <c r="BH375" i="1"/>
  <c r="BG375" i="1"/>
  <c r="AT375" i="1"/>
  <c r="AG375" i="1"/>
  <c r="CC375" i="1" s="1"/>
  <c r="I375" i="1"/>
  <c r="C375" i="1"/>
  <c r="B375" i="1"/>
  <c r="A375" i="1"/>
  <c r="CB374" i="1"/>
  <c r="CA374" i="1"/>
  <c r="BZ374" i="1"/>
  <c r="BY374" i="1"/>
  <c r="BX374" i="1"/>
  <c r="BW374" i="1"/>
  <c r="BV374" i="1"/>
  <c r="BU374" i="1"/>
  <c r="BT374" i="1"/>
  <c r="BS374" i="1"/>
  <c r="BR374" i="1"/>
  <c r="BQ374" i="1"/>
  <c r="BP374" i="1"/>
  <c r="BO374" i="1"/>
  <c r="BN374" i="1"/>
  <c r="BM374" i="1"/>
  <c r="BL374" i="1"/>
  <c r="BK374" i="1"/>
  <c r="BJ374" i="1"/>
  <c r="BI374" i="1"/>
  <c r="BH374" i="1"/>
  <c r="BG374" i="1"/>
  <c r="AT374" i="1"/>
  <c r="AG374" i="1"/>
  <c r="I374" i="1"/>
  <c r="C374" i="1"/>
  <c r="B374" i="1"/>
  <c r="A374" i="1"/>
  <c r="CB373" i="1"/>
  <c r="CA373" i="1"/>
  <c r="BZ373" i="1"/>
  <c r="BY373" i="1"/>
  <c r="BX373" i="1"/>
  <c r="BW373" i="1"/>
  <c r="BV373" i="1"/>
  <c r="BU373" i="1"/>
  <c r="BT373" i="1"/>
  <c r="BS373" i="1"/>
  <c r="BR373" i="1"/>
  <c r="BQ373" i="1"/>
  <c r="BP373" i="1"/>
  <c r="BO373" i="1"/>
  <c r="BN373" i="1"/>
  <c r="BM373" i="1"/>
  <c r="BL373" i="1"/>
  <c r="BK373" i="1"/>
  <c r="BJ373" i="1"/>
  <c r="BI373" i="1"/>
  <c r="BH373" i="1"/>
  <c r="BG373" i="1"/>
  <c r="AT373" i="1"/>
  <c r="AG373" i="1"/>
  <c r="CC373" i="1" s="1"/>
  <c r="I373" i="1"/>
  <c r="C373" i="1"/>
  <c r="B373" i="1"/>
  <c r="A373" i="1"/>
  <c r="CB372" i="1"/>
  <c r="CA372" i="1"/>
  <c r="BZ372" i="1"/>
  <c r="BY372" i="1"/>
  <c r="BX372" i="1"/>
  <c r="BW372" i="1"/>
  <c r="BV372" i="1"/>
  <c r="BU372" i="1"/>
  <c r="BT372" i="1"/>
  <c r="BS372" i="1"/>
  <c r="BR372" i="1"/>
  <c r="BQ372" i="1"/>
  <c r="BP372" i="1"/>
  <c r="BO372" i="1"/>
  <c r="BN372" i="1"/>
  <c r="BM372" i="1"/>
  <c r="BL372" i="1"/>
  <c r="BK372" i="1"/>
  <c r="BJ372" i="1"/>
  <c r="BI372" i="1"/>
  <c r="BH372" i="1"/>
  <c r="BG372" i="1"/>
  <c r="AT372" i="1"/>
  <c r="AG372" i="1"/>
  <c r="CC372" i="1" s="1"/>
  <c r="I372" i="1"/>
  <c r="C372" i="1"/>
  <c r="B372" i="1"/>
  <c r="A372" i="1"/>
  <c r="CB371" i="1"/>
  <c r="CA371" i="1"/>
  <c r="BZ371" i="1"/>
  <c r="BY371" i="1"/>
  <c r="BX371" i="1"/>
  <c r="BW371" i="1"/>
  <c r="BV371" i="1"/>
  <c r="BU371" i="1"/>
  <c r="BT371" i="1"/>
  <c r="BS371" i="1"/>
  <c r="BR371" i="1"/>
  <c r="BQ371" i="1"/>
  <c r="BP371" i="1"/>
  <c r="BO371" i="1"/>
  <c r="BN371" i="1"/>
  <c r="BM371" i="1"/>
  <c r="BL371" i="1"/>
  <c r="BK371" i="1"/>
  <c r="BJ371" i="1"/>
  <c r="BI371" i="1"/>
  <c r="BH371" i="1"/>
  <c r="BG371" i="1"/>
  <c r="AT371" i="1"/>
  <c r="AG371" i="1"/>
  <c r="I371" i="1"/>
  <c r="C371" i="1"/>
  <c r="B371" i="1"/>
  <c r="A371" i="1"/>
  <c r="CB370" i="1"/>
  <c r="CA370" i="1"/>
  <c r="BZ370" i="1"/>
  <c r="BY370" i="1"/>
  <c r="BX370" i="1"/>
  <c r="BW370" i="1"/>
  <c r="BV370" i="1"/>
  <c r="BU370" i="1"/>
  <c r="BT370" i="1"/>
  <c r="BS370" i="1"/>
  <c r="BR370" i="1"/>
  <c r="BQ370" i="1"/>
  <c r="BP370" i="1"/>
  <c r="BO370" i="1"/>
  <c r="BN370" i="1"/>
  <c r="BM370" i="1"/>
  <c r="BL370" i="1"/>
  <c r="BK370" i="1"/>
  <c r="BJ370" i="1"/>
  <c r="BI370" i="1"/>
  <c r="BH370" i="1"/>
  <c r="BG370" i="1"/>
  <c r="AT370" i="1"/>
  <c r="AG370" i="1"/>
  <c r="I370" i="1"/>
  <c r="C370" i="1"/>
  <c r="B370" i="1"/>
  <c r="A370" i="1"/>
  <c r="CB369" i="1"/>
  <c r="CA369" i="1"/>
  <c r="BZ369" i="1"/>
  <c r="BY369" i="1"/>
  <c r="BX369" i="1"/>
  <c r="BW369" i="1"/>
  <c r="BV369" i="1"/>
  <c r="BU369" i="1"/>
  <c r="BT369" i="1"/>
  <c r="BS369" i="1"/>
  <c r="BR369" i="1"/>
  <c r="BQ369" i="1"/>
  <c r="BP369" i="1"/>
  <c r="BO369" i="1"/>
  <c r="BN369" i="1"/>
  <c r="BM369" i="1"/>
  <c r="BL369" i="1"/>
  <c r="BK369" i="1"/>
  <c r="BJ369" i="1"/>
  <c r="BI369" i="1"/>
  <c r="BH369" i="1"/>
  <c r="BG369" i="1"/>
  <c r="AT369" i="1"/>
  <c r="AG369" i="1"/>
  <c r="CC369" i="1" s="1"/>
  <c r="I369" i="1"/>
  <c r="AU369" i="1" s="1"/>
  <c r="C369" i="1"/>
  <c r="B369" i="1"/>
  <c r="A369" i="1"/>
  <c r="CB368" i="1"/>
  <c r="CA368" i="1"/>
  <c r="BZ368" i="1"/>
  <c r="BY368" i="1"/>
  <c r="BX368" i="1"/>
  <c r="BW368" i="1"/>
  <c r="BV368" i="1"/>
  <c r="BU368" i="1"/>
  <c r="BT368" i="1"/>
  <c r="BS368" i="1"/>
  <c r="BR368" i="1"/>
  <c r="BQ368" i="1"/>
  <c r="BP368" i="1"/>
  <c r="BO368" i="1"/>
  <c r="BN368" i="1"/>
  <c r="BM368" i="1"/>
  <c r="BL368" i="1"/>
  <c r="BK368" i="1"/>
  <c r="BJ368" i="1"/>
  <c r="BI368" i="1"/>
  <c r="BH368" i="1"/>
  <c r="BG368" i="1"/>
  <c r="AT368" i="1"/>
  <c r="Y368" i="1"/>
  <c r="AG368" i="1" s="1"/>
  <c r="I368" i="1"/>
  <c r="C368" i="1"/>
  <c r="B368" i="1"/>
  <c r="A368" i="1"/>
  <c r="CB367" i="1"/>
  <c r="CA367" i="1"/>
  <c r="BZ367" i="1"/>
  <c r="BY367" i="1"/>
  <c r="BX367" i="1"/>
  <c r="BW367" i="1"/>
  <c r="BV367" i="1"/>
  <c r="BU367" i="1"/>
  <c r="BT367" i="1"/>
  <c r="BS367" i="1"/>
  <c r="BR367" i="1"/>
  <c r="BQ367" i="1"/>
  <c r="BP367" i="1"/>
  <c r="BO367" i="1"/>
  <c r="BN367" i="1"/>
  <c r="BM367" i="1"/>
  <c r="BL367" i="1"/>
  <c r="BK367" i="1"/>
  <c r="BJ367" i="1"/>
  <c r="BI367" i="1"/>
  <c r="BH367" i="1"/>
  <c r="BG367" i="1"/>
  <c r="AT367" i="1"/>
  <c r="Y367" i="1"/>
  <c r="AG367" i="1" s="1"/>
  <c r="I367" i="1"/>
  <c r="CD367" i="1" s="1"/>
  <c r="C367" i="1"/>
  <c r="B367" i="1"/>
  <c r="A367" i="1"/>
  <c r="CB366" i="1"/>
  <c r="CA366" i="1"/>
  <c r="BZ366" i="1"/>
  <c r="BY366" i="1"/>
  <c r="BX366" i="1"/>
  <c r="BW366" i="1"/>
  <c r="BV366" i="1"/>
  <c r="BU366" i="1"/>
  <c r="BT366" i="1"/>
  <c r="BS366" i="1"/>
  <c r="BR366" i="1"/>
  <c r="BQ366" i="1"/>
  <c r="BP366" i="1"/>
  <c r="BO366" i="1"/>
  <c r="BN366" i="1"/>
  <c r="BM366" i="1"/>
  <c r="BL366" i="1"/>
  <c r="BK366" i="1"/>
  <c r="BJ366" i="1"/>
  <c r="BI366" i="1"/>
  <c r="BH366" i="1"/>
  <c r="BG366" i="1"/>
  <c r="AT366" i="1"/>
  <c r="Y366" i="1"/>
  <c r="AG366" i="1" s="1"/>
  <c r="CC366" i="1" s="1"/>
  <c r="I366" i="1"/>
  <c r="CD366" i="1" s="1"/>
  <c r="C366" i="1"/>
  <c r="B366" i="1"/>
  <c r="A366" i="1"/>
  <c r="CB365" i="1"/>
  <c r="CA365" i="1"/>
  <c r="BZ365" i="1"/>
  <c r="BY365" i="1"/>
  <c r="BX365" i="1"/>
  <c r="BW365" i="1"/>
  <c r="BV365" i="1"/>
  <c r="BU365" i="1"/>
  <c r="BT365" i="1"/>
  <c r="BS365" i="1"/>
  <c r="BR365" i="1"/>
  <c r="BQ365" i="1"/>
  <c r="BP365" i="1"/>
  <c r="BO365" i="1"/>
  <c r="BN365" i="1"/>
  <c r="BM365" i="1"/>
  <c r="BL365" i="1"/>
  <c r="BK365" i="1"/>
  <c r="BJ365" i="1"/>
  <c r="BI365" i="1"/>
  <c r="BH365" i="1"/>
  <c r="BG365" i="1"/>
  <c r="AT365" i="1"/>
  <c r="AG365" i="1"/>
  <c r="I365" i="1"/>
  <c r="CD365" i="1" s="1"/>
  <c r="CI365" i="1" s="1"/>
  <c r="CN365" i="1" s="1"/>
  <c r="C365" i="1"/>
  <c r="B365" i="1"/>
  <c r="A365" i="1"/>
  <c r="CB364" i="1"/>
  <c r="CA364" i="1"/>
  <c r="BZ364" i="1"/>
  <c r="BY364" i="1"/>
  <c r="BX364" i="1"/>
  <c r="BW364" i="1"/>
  <c r="BV364" i="1"/>
  <c r="BU364" i="1"/>
  <c r="BT364" i="1"/>
  <c r="BS364" i="1"/>
  <c r="BR364" i="1"/>
  <c r="BQ364" i="1"/>
  <c r="BP364" i="1"/>
  <c r="BO364" i="1"/>
  <c r="BN364" i="1"/>
  <c r="BM364" i="1"/>
  <c r="BL364" i="1"/>
  <c r="BK364" i="1"/>
  <c r="BJ364" i="1"/>
  <c r="BI364" i="1"/>
  <c r="BH364" i="1"/>
  <c r="BG364" i="1"/>
  <c r="AT364" i="1"/>
  <c r="AG364" i="1"/>
  <c r="CC364" i="1" s="1"/>
  <c r="I364" i="1"/>
  <c r="AU364" i="1" s="1"/>
  <c r="C364" i="1"/>
  <c r="B364" i="1"/>
  <c r="A364" i="1"/>
  <c r="CB363" i="1"/>
  <c r="CA363" i="1"/>
  <c r="BZ363" i="1"/>
  <c r="BY363" i="1"/>
  <c r="BX363" i="1"/>
  <c r="BW363" i="1"/>
  <c r="BV363" i="1"/>
  <c r="BU363" i="1"/>
  <c r="BT363" i="1"/>
  <c r="BS363" i="1"/>
  <c r="BR363" i="1"/>
  <c r="BQ363" i="1"/>
  <c r="BP363" i="1"/>
  <c r="BO363" i="1"/>
  <c r="BN363" i="1"/>
  <c r="BM363" i="1"/>
  <c r="BL363" i="1"/>
  <c r="BK363" i="1"/>
  <c r="BJ363" i="1"/>
  <c r="BI363" i="1"/>
  <c r="BH363" i="1"/>
  <c r="BG363" i="1"/>
  <c r="AT363" i="1"/>
  <c r="AG363" i="1"/>
  <c r="CC363" i="1" s="1"/>
  <c r="I363" i="1"/>
  <c r="C363" i="1"/>
  <c r="B363" i="1"/>
  <c r="A363" i="1"/>
  <c r="CB362" i="1"/>
  <c r="CA362" i="1"/>
  <c r="BZ362" i="1"/>
  <c r="BY362" i="1"/>
  <c r="BX362" i="1"/>
  <c r="BW362" i="1"/>
  <c r="BV362" i="1"/>
  <c r="BU362" i="1"/>
  <c r="BT362" i="1"/>
  <c r="BS362" i="1"/>
  <c r="BR362" i="1"/>
  <c r="BQ362" i="1"/>
  <c r="BP362" i="1"/>
  <c r="BO362" i="1"/>
  <c r="BN362" i="1"/>
  <c r="BM362" i="1"/>
  <c r="BL362" i="1"/>
  <c r="BK362" i="1"/>
  <c r="BJ362" i="1"/>
  <c r="BI362" i="1"/>
  <c r="BH362" i="1"/>
  <c r="BG362" i="1"/>
  <c r="AT362" i="1"/>
  <c r="AG362" i="1"/>
  <c r="CC362" i="1" s="1"/>
  <c r="I362" i="1"/>
  <c r="C362" i="1"/>
  <c r="B362" i="1"/>
  <c r="A362" i="1"/>
  <c r="CB361" i="1"/>
  <c r="CA361" i="1"/>
  <c r="BZ361" i="1"/>
  <c r="BY361" i="1"/>
  <c r="BX361" i="1"/>
  <c r="BW361" i="1"/>
  <c r="BV361" i="1"/>
  <c r="BU361" i="1"/>
  <c r="BT361" i="1"/>
  <c r="BS361" i="1"/>
  <c r="BR361" i="1"/>
  <c r="BQ361" i="1"/>
  <c r="BP361" i="1"/>
  <c r="BO361" i="1"/>
  <c r="BN361" i="1"/>
  <c r="BM361" i="1"/>
  <c r="BL361" i="1"/>
  <c r="BK361" i="1"/>
  <c r="BJ361" i="1"/>
  <c r="BI361" i="1"/>
  <c r="BH361" i="1"/>
  <c r="BG361" i="1"/>
  <c r="AT361" i="1"/>
  <c r="AG361" i="1"/>
  <c r="I361" i="1"/>
  <c r="AU361" i="1" s="1"/>
  <c r="C361" i="1"/>
  <c r="B361" i="1"/>
  <c r="A361" i="1"/>
  <c r="CB360" i="1"/>
  <c r="CA360" i="1"/>
  <c r="BZ360" i="1"/>
  <c r="BY360" i="1"/>
  <c r="BX360" i="1"/>
  <c r="BW360" i="1"/>
  <c r="BV360" i="1"/>
  <c r="BU360" i="1"/>
  <c r="BT360" i="1"/>
  <c r="BS360" i="1"/>
  <c r="BR360" i="1"/>
  <c r="BQ360" i="1"/>
  <c r="BP360" i="1"/>
  <c r="BO360" i="1"/>
  <c r="BN360" i="1"/>
  <c r="BM360" i="1"/>
  <c r="BL360" i="1"/>
  <c r="BK360" i="1"/>
  <c r="BJ360" i="1"/>
  <c r="BI360" i="1"/>
  <c r="BH360" i="1"/>
  <c r="BG360" i="1"/>
  <c r="AT360" i="1"/>
  <c r="AG360" i="1"/>
  <c r="I360" i="1"/>
  <c r="AU360" i="1" s="1"/>
  <c r="C360" i="1"/>
  <c r="B360" i="1"/>
  <c r="A360" i="1"/>
  <c r="CB359" i="1"/>
  <c r="CA359" i="1"/>
  <c r="BZ359" i="1"/>
  <c r="BY359" i="1"/>
  <c r="BX359" i="1"/>
  <c r="BW359" i="1"/>
  <c r="BV359" i="1"/>
  <c r="BU359" i="1"/>
  <c r="BT359" i="1"/>
  <c r="BS359" i="1"/>
  <c r="BR359" i="1"/>
  <c r="BQ359" i="1"/>
  <c r="BP359" i="1"/>
  <c r="BO359" i="1"/>
  <c r="BN359" i="1"/>
  <c r="BM359" i="1"/>
  <c r="BL359" i="1"/>
  <c r="BK359" i="1"/>
  <c r="BJ359" i="1"/>
  <c r="BI359" i="1"/>
  <c r="BH359" i="1"/>
  <c r="BG359" i="1"/>
  <c r="AT359" i="1"/>
  <c r="AG359" i="1"/>
  <c r="CC359" i="1" s="1"/>
  <c r="I359" i="1"/>
  <c r="AU359" i="1" s="1"/>
  <c r="C359" i="1"/>
  <c r="B359" i="1"/>
  <c r="A359" i="1"/>
  <c r="CB358" i="1"/>
  <c r="CA358" i="1"/>
  <c r="BZ358" i="1"/>
  <c r="BY358" i="1"/>
  <c r="BX358" i="1"/>
  <c r="BW358" i="1"/>
  <c r="BV358" i="1"/>
  <c r="BU358" i="1"/>
  <c r="BT358" i="1"/>
  <c r="BS358" i="1"/>
  <c r="BR358" i="1"/>
  <c r="BQ358" i="1"/>
  <c r="BP358" i="1"/>
  <c r="BO358" i="1"/>
  <c r="BN358" i="1"/>
  <c r="BM358" i="1"/>
  <c r="BL358" i="1"/>
  <c r="BK358" i="1"/>
  <c r="BJ358" i="1"/>
  <c r="BI358" i="1"/>
  <c r="BH358" i="1"/>
  <c r="BG358" i="1"/>
  <c r="AT358" i="1"/>
  <c r="AG358" i="1"/>
  <c r="CC358" i="1" s="1"/>
  <c r="I358" i="1"/>
  <c r="C358" i="1"/>
  <c r="B358" i="1"/>
  <c r="A358" i="1"/>
  <c r="CB357" i="1"/>
  <c r="CA357" i="1"/>
  <c r="BZ357" i="1"/>
  <c r="BY357" i="1"/>
  <c r="BX357" i="1"/>
  <c r="BW357" i="1"/>
  <c r="BV357" i="1"/>
  <c r="BU357" i="1"/>
  <c r="BT357" i="1"/>
  <c r="BS357" i="1"/>
  <c r="BR357" i="1"/>
  <c r="BQ357" i="1"/>
  <c r="BP357" i="1"/>
  <c r="BO357" i="1"/>
  <c r="BN357" i="1"/>
  <c r="BM357" i="1"/>
  <c r="BL357" i="1"/>
  <c r="BK357" i="1"/>
  <c r="BJ357" i="1"/>
  <c r="BI357" i="1"/>
  <c r="BH357" i="1"/>
  <c r="BG357" i="1"/>
  <c r="AT357" i="1"/>
  <c r="AG357" i="1"/>
  <c r="I357" i="1"/>
  <c r="C357" i="1"/>
  <c r="B357" i="1"/>
  <c r="A357" i="1"/>
  <c r="CB356" i="1"/>
  <c r="CA356" i="1"/>
  <c r="BZ356" i="1"/>
  <c r="BY356" i="1"/>
  <c r="BX356" i="1"/>
  <c r="BW356" i="1"/>
  <c r="BV356" i="1"/>
  <c r="BU356" i="1"/>
  <c r="BT356" i="1"/>
  <c r="BS356" i="1"/>
  <c r="BR356" i="1"/>
  <c r="BQ356" i="1"/>
  <c r="BP356" i="1"/>
  <c r="BO356" i="1"/>
  <c r="BN356" i="1"/>
  <c r="BM356" i="1"/>
  <c r="BL356" i="1"/>
  <c r="BK356" i="1"/>
  <c r="BJ356" i="1"/>
  <c r="BI356" i="1"/>
  <c r="BH356" i="1"/>
  <c r="BG356" i="1"/>
  <c r="AT356" i="1"/>
  <c r="Y356" i="1"/>
  <c r="AG356" i="1" s="1"/>
  <c r="CC356" i="1" s="1"/>
  <c r="I356" i="1"/>
  <c r="AU356" i="1" s="1"/>
  <c r="C356" i="1"/>
  <c r="B356" i="1"/>
  <c r="A356" i="1"/>
  <c r="CB355" i="1"/>
  <c r="CA355" i="1"/>
  <c r="BZ355" i="1"/>
  <c r="BY355" i="1"/>
  <c r="BX355" i="1"/>
  <c r="BW355" i="1"/>
  <c r="BV355" i="1"/>
  <c r="BU355" i="1"/>
  <c r="BT355" i="1"/>
  <c r="BS355" i="1"/>
  <c r="BR355" i="1"/>
  <c r="BQ355" i="1"/>
  <c r="BP355" i="1"/>
  <c r="BO355" i="1"/>
  <c r="BN355" i="1"/>
  <c r="BM355" i="1"/>
  <c r="BL355" i="1"/>
  <c r="BK355" i="1"/>
  <c r="BJ355" i="1"/>
  <c r="BI355" i="1"/>
  <c r="BH355" i="1"/>
  <c r="BG355" i="1"/>
  <c r="AT355" i="1"/>
  <c r="AG355" i="1"/>
  <c r="CC355" i="1" s="1"/>
  <c r="I355" i="1"/>
  <c r="C355" i="1"/>
  <c r="B355" i="1"/>
  <c r="A355" i="1"/>
  <c r="CB354" i="1"/>
  <c r="CA354" i="1"/>
  <c r="BZ354" i="1"/>
  <c r="BY354" i="1"/>
  <c r="BX354" i="1"/>
  <c r="BW354" i="1"/>
  <c r="BV354" i="1"/>
  <c r="BU354" i="1"/>
  <c r="BT354" i="1"/>
  <c r="BS354" i="1"/>
  <c r="BR354" i="1"/>
  <c r="BQ354" i="1"/>
  <c r="BP354" i="1"/>
  <c r="BO354" i="1"/>
  <c r="BN354" i="1"/>
  <c r="BM354" i="1"/>
  <c r="BL354" i="1"/>
  <c r="BK354" i="1"/>
  <c r="BJ354" i="1"/>
  <c r="BI354" i="1"/>
  <c r="BH354" i="1"/>
  <c r="BG354" i="1"/>
  <c r="AT354" i="1"/>
  <c r="AG354" i="1"/>
  <c r="I354" i="1"/>
  <c r="C354" i="1"/>
  <c r="B354" i="1"/>
  <c r="A354" i="1"/>
  <c r="CB353" i="1"/>
  <c r="CA353" i="1"/>
  <c r="BZ353" i="1"/>
  <c r="BY353" i="1"/>
  <c r="BX353" i="1"/>
  <c r="BW353" i="1"/>
  <c r="BV353" i="1"/>
  <c r="BU353" i="1"/>
  <c r="BT353" i="1"/>
  <c r="BS353" i="1"/>
  <c r="BR353" i="1"/>
  <c r="BQ353" i="1"/>
  <c r="BP353" i="1"/>
  <c r="BO353" i="1"/>
  <c r="BN353" i="1"/>
  <c r="BM353" i="1"/>
  <c r="BL353" i="1"/>
  <c r="BK353" i="1"/>
  <c r="BJ353" i="1"/>
  <c r="BI353" i="1"/>
  <c r="BH353" i="1"/>
  <c r="BG353" i="1"/>
  <c r="AT353" i="1"/>
  <c r="AG353" i="1"/>
  <c r="CC353" i="1" s="1"/>
  <c r="I353" i="1"/>
  <c r="AU353" i="1" s="1"/>
  <c r="C353" i="1"/>
  <c r="B353" i="1"/>
  <c r="A353" i="1"/>
  <c r="CB352" i="1"/>
  <c r="CA352" i="1"/>
  <c r="BZ352" i="1"/>
  <c r="BY352" i="1"/>
  <c r="BX352" i="1"/>
  <c r="BW352" i="1"/>
  <c r="BV352" i="1"/>
  <c r="BU352" i="1"/>
  <c r="BT352" i="1"/>
  <c r="BS352" i="1"/>
  <c r="BR352" i="1"/>
  <c r="BQ352" i="1"/>
  <c r="BP352" i="1"/>
  <c r="BO352" i="1"/>
  <c r="BN352" i="1"/>
  <c r="BM352" i="1"/>
  <c r="BL352" i="1"/>
  <c r="BK352" i="1"/>
  <c r="BJ352" i="1"/>
  <c r="BI352" i="1"/>
  <c r="BH352" i="1"/>
  <c r="BG352" i="1"/>
  <c r="AT352" i="1"/>
  <c r="AG352" i="1"/>
  <c r="I352" i="1"/>
  <c r="C352" i="1"/>
  <c r="B352" i="1"/>
  <c r="A352" i="1"/>
  <c r="CB351" i="1"/>
  <c r="CA351" i="1"/>
  <c r="BZ351" i="1"/>
  <c r="BY351" i="1"/>
  <c r="BX351" i="1"/>
  <c r="BW351" i="1"/>
  <c r="BV351" i="1"/>
  <c r="BU351" i="1"/>
  <c r="BT351" i="1"/>
  <c r="BS351" i="1"/>
  <c r="BR351" i="1"/>
  <c r="BQ351" i="1"/>
  <c r="BP351" i="1"/>
  <c r="BO351" i="1"/>
  <c r="BN351" i="1"/>
  <c r="BM351" i="1"/>
  <c r="BL351" i="1"/>
  <c r="BK351" i="1"/>
  <c r="BJ351" i="1"/>
  <c r="BI351" i="1"/>
  <c r="BH351" i="1"/>
  <c r="BG351" i="1"/>
  <c r="AT351" i="1"/>
  <c r="Y351" i="1"/>
  <c r="AG351" i="1" s="1"/>
  <c r="I351" i="1"/>
  <c r="CD351" i="1" s="1"/>
  <c r="CG351" i="1" s="1"/>
  <c r="C351" i="1"/>
  <c r="B351" i="1"/>
  <c r="A351" i="1"/>
  <c r="CC350" i="1"/>
  <c r="CB350" i="1"/>
  <c r="CA350" i="1"/>
  <c r="BZ350" i="1"/>
  <c r="BY350" i="1"/>
  <c r="BX350" i="1"/>
  <c r="BW350" i="1"/>
  <c r="BV350" i="1"/>
  <c r="BU350" i="1"/>
  <c r="BT350" i="1"/>
  <c r="BS350" i="1"/>
  <c r="BR350" i="1"/>
  <c r="BQ350" i="1"/>
  <c r="BP350" i="1"/>
  <c r="BO350" i="1"/>
  <c r="BN350" i="1"/>
  <c r="BM350" i="1"/>
  <c r="BL350" i="1"/>
  <c r="BK350" i="1"/>
  <c r="BJ350" i="1"/>
  <c r="BI350" i="1"/>
  <c r="BH350" i="1"/>
  <c r="BG350" i="1"/>
  <c r="AT350" i="1"/>
  <c r="AM350" i="1"/>
  <c r="AY350" i="1" s="1"/>
  <c r="Y350" i="1"/>
  <c r="I350" i="1"/>
  <c r="C350" i="1"/>
  <c r="B350" i="1"/>
  <c r="A350" i="1"/>
  <c r="CC349" i="1"/>
  <c r="CB349" i="1"/>
  <c r="CA349" i="1"/>
  <c r="BZ349" i="1"/>
  <c r="BY349" i="1"/>
  <c r="BX349" i="1"/>
  <c r="BW349" i="1"/>
  <c r="BV349" i="1"/>
  <c r="BU349" i="1"/>
  <c r="BT349" i="1"/>
  <c r="BS349" i="1"/>
  <c r="BR349" i="1"/>
  <c r="BQ349" i="1"/>
  <c r="BP349" i="1"/>
  <c r="BO349" i="1"/>
  <c r="BN349" i="1"/>
  <c r="BM349" i="1"/>
  <c r="BL349" i="1"/>
  <c r="BK349" i="1"/>
  <c r="BJ349" i="1"/>
  <c r="BI349" i="1"/>
  <c r="BH349" i="1"/>
  <c r="BG349" i="1"/>
  <c r="AT349" i="1"/>
  <c r="AG349" i="1"/>
  <c r="AM349" i="1" s="1"/>
  <c r="I349" i="1"/>
  <c r="CD349" i="1" s="1"/>
  <c r="C349" i="1"/>
  <c r="B349" i="1"/>
  <c r="A349" i="1"/>
  <c r="CC348" i="1"/>
  <c r="CB348" i="1"/>
  <c r="CA348" i="1"/>
  <c r="BZ348" i="1"/>
  <c r="BY348" i="1"/>
  <c r="BX348" i="1"/>
  <c r="BW348" i="1"/>
  <c r="BV348" i="1"/>
  <c r="BU348" i="1"/>
  <c r="BT348" i="1"/>
  <c r="BS348" i="1"/>
  <c r="BR348" i="1"/>
  <c r="BQ348" i="1"/>
  <c r="BP348" i="1"/>
  <c r="BO348" i="1"/>
  <c r="BN348" i="1"/>
  <c r="BM348" i="1"/>
  <c r="BL348" i="1"/>
  <c r="BK348" i="1"/>
  <c r="BJ348" i="1"/>
  <c r="BI348" i="1"/>
  <c r="BH348" i="1"/>
  <c r="BG348" i="1"/>
  <c r="AT348" i="1"/>
  <c r="AM348" i="1"/>
  <c r="I348" i="1"/>
  <c r="CD348" i="1" s="1"/>
  <c r="CI348" i="1" s="1"/>
  <c r="CN348" i="1" s="1"/>
  <c r="C348" i="1"/>
  <c r="B348" i="1"/>
  <c r="A348" i="1"/>
  <c r="CC347" i="1"/>
  <c r="CB347" i="1"/>
  <c r="CA347" i="1"/>
  <c r="BZ347" i="1"/>
  <c r="BY347" i="1"/>
  <c r="BX347" i="1"/>
  <c r="BW347" i="1"/>
  <c r="BV347" i="1"/>
  <c r="BU347" i="1"/>
  <c r="BT347" i="1"/>
  <c r="BS347" i="1"/>
  <c r="BR347" i="1"/>
  <c r="BQ347" i="1"/>
  <c r="BP347" i="1"/>
  <c r="BO347" i="1"/>
  <c r="BN347" i="1"/>
  <c r="BM347" i="1"/>
  <c r="BL347" i="1"/>
  <c r="BK347" i="1"/>
  <c r="BJ347" i="1"/>
  <c r="BI347" i="1"/>
  <c r="BH347" i="1"/>
  <c r="BG347" i="1"/>
  <c r="AT347" i="1"/>
  <c r="AM347" i="1"/>
  <c r="I347" i="1"/>
  <c r="CD347" i="1" s="1"/>
  <c r="C347" i="1"/>
  <c r="B347" i="1"/>
  <c r="A347" i="1"/>
  <c r="CC346" i="1"/>
  <c r="CB346" i="1"/>
  <c r="CA346" i="1"/>
  <c r="BZ346" i="1"/>
  <c r="BY346" i="1"/>
  <c r="BX346" i="1"/>
  <c r="BW346" i="1"/>
  <c r="BV346" i="1"/>
  <c r="BU346" i="1"/>
  <c r="BT346" i="1"/>
  <c r="BS346" i="1"/>
  <c r="BR346" i="1"/>
  <c r="BQ346" i="1"/>
  <c r="BP346" i="1"/>
  <c r="BO346" i="1"/>
  <c r="BN346" i="1"/>
  <c r="BM346" i="1"/>
  <c r="BL346" i="1"/>
  <c r="BK346" i="1"/>
  <c r="BJ346" i="1"/>
  <c r="BI346" i="1"/>
  <c r="BH346" i="1"/>
  <c r="BG346" i="1"/>
  <c r="AT346" i="1"/>
  <c r="AM346" i="1"/>
  <c r="I346" i="1"/>
  <c r="CD346" i="1" s="1"/>
  <c r="CE346" i="1" s="1"/>
  <c r="CJ346" i="1" s="1"/>
  <c r="CO346" i="1" s="1"/>
  <c r="C346" i="1"/>
  <c r="B346" i="1"/>
  <c r="A346" i="1"/>
  <c r="CC345" i="1"/>
  <c r="CB345" i="1"/>
  <c r="CA345" i="1"/>
  <c r="BZ345" i="1"/>
  <c r="BY345" i="1"/>
  <c r="BX345" i="1"/>
  <c r="BW345" i="1"/>
  <c r="BV345" i="1"/>
  <c r="BU345" i="1"/>
  <c r="BT345" i="1"/>
  <c r="BS345" i="1"/>
  <c r="BR345" i="1"/>
  <c r="BQ345" i="1"/>
  <c r="BP345" i="1"/>
  <c r="BO345" i="1"/>
  <c r="BN345" i="1"/>
  <c r="BM345" i="1"/>
  <c r="BL345" i="1"/>
  <c r="BK345" i="1"/>
  <c r="BJ345" i="1"/>
  <c r="BI345" i="1"/>
  <c r="BH345" i="1"/>
  <c r="BG345" i="1"/>
  <c r="AT345" i="1"/>
  <c r="AM345" i="1"/>
  <c r="AP345" i="1" s="1"/>
  <c r="AQ345" i="1" s="1"/>
  <c r="I345" i="1"/>
  <c r="CD345" i="1" s="1"/>
  <c r="CI345" i="1" s="1"/>
  <c r="CN345" i="1" s="1"/>
  <c r="C345" i="1"/>
  <c r="B345" i="1"/>
  <c r="A345" i="1"/>
  <c r="CC344" i="1"/>
  <c r="CB344" i="1"/>
  <c r="CA344" i="1"/>
  <c r="BZ344" i="1"/>
  <c r="BY344" i="1"/>
  <c r="BX344" i="1"/>
  <c r="BW344" i="1"/>
  <c r="BV344" i="1"/>
  <c r="BU344" i="1"/>
  <c r="BT344" i="1"/>
  <c r="BS344" i="1"/>
  <c r="BR344" i="1"/>
  <c r="BQ344" i="1"/>
  <c r="BP344" i="1"/>
  <c r="BO344" i="1"/>
  <c r="BN344" i="1"/>
  <c r="BM344" i="1"/>
  <c r="BL344" i="1"/>
  <c r="BK344" i="1"/>
  <c r="BJ344" i="1"/>
  <c r="BI344" i="1"/>
  <c r="BH344" i="1"/>
  <c r="BG344" i="1"/>
  <c r="AT344" i="1"/>
  <c r="AM344" i="1"/>
  <c r="AY344" i="1" s="1"/>
  <c r="I344" i="1"/>
  <c r="AU344" i="1" s="1"/>
  <c r="C344" i="1"/>
  <c r="B344" i="1"/>
  <c r="A344" i="1"/>
  <c r="CC343" i="1"/>
  <c r="CB343" i="1"/>
  <c r="CA343" i="1"/>
  <c r="BZ343" i="1"/>
  <c r="BY343" i="1"/>
  <c r="BX343" i="1"/>
  <c r="BW343" i="1"/>
  <c r="BV343" i="1"/>
  <c r="BU343" i="1"/>
  <c r="BT343" i="1"/>
  <c r="BS343" i="1"/>
  <c r="BR343" i="1"/>
  <c r="BQ343" i="1"/>
  <c r="BP343" i="1"/>
  <c r="BO343" i="1"/>
  <c r="BN343" i="1"/>
  <c r="BM343" i="1"/>
  <c r="BL343" i="1"/>
  <c r="BK343" i="1"/>
  <c r="BJ343" i="1"/>
  <c r="BI343" i="1"/>
  <c r="BH343" i="1"/>
  <c r="BG343" i="1"/>
  <c r="AT343" i="1"/>
  <c r="AM343" i="1"/>
  <c r="I343" i="1"/>
  <c r="AU343" i="1" s="1"/>
  <c r="C343" i="1"/>
  <c r="B343" i="1"/>
  <c r="A343" i="1"/>
  <c r="CC342" i="1"/>
  <c r="CB342" i="1"/>
  <c r="CA342" i="1"/>
  <c r="BZ342" i="1"/>
  <c r="BY342" i="1"/>
  <c r="BX342" i="1"/>
  <c r="BW342" i="1"/>
  <c r="BV342" i="1"/>
  <c r="BU342" i="1"/>
  <c r="BT342" i="1"/>
  <c r="BS342" i="1"/>
  <c r="BR342" i="1"/>
  <c r="BQ342" i="1"/>
  <c r="BP342" i="1"/>
  <c r="BO342" i="1"/>
  <c r="BN342" i="1"/>
  <c r="BM342" i="1"/>
  <c r="BL342" i="1"/>
  <c r="BK342" i="1"/>
  <c r="BJ342" i="1"/>
  <c r="BI342" i="1"/>
  <c r="BH342" i="1"/>
  <c r="BG342" i="1"/>
  <c r="AT342" i="1"/>
  <c r="AM342" i="1"/>
  <c r="AY342" i="1" s="1"/>
  <c r="I342" i="1"/>
  <c r="AU342" i="1" s="1"/>
  <c r="C342" i="1"/>
  <c r="B342" i="1"/>
  <c r="A342" i="1"/>
  <c r="CC341" i="1"/>
  <c r="CB341" i="1"/>
  <c r="CA341" i="1"/>
  <c r="BZ341" i="1"/>
  <c r="BY341" i="1"/>
  <c r="BX341" i="1"/>
  <c r="BW341" i="1"/>
  <c r="BV341" i="1"/>
  <c r="BU341" i="1"/>
  <c r="BT341" i="1"/>
  <c r="BS341" i="1"/>
  <c r="BR341" i="1"/>
  <c r="BQ341" i="1"/>
  <c r="BP341" i="1"/>
  <c r="BO341" i="1"/>
  <c r="BN341" i="1"/>
  <c r="BM341" i="1"/>
  <c r="BL341" i="1"/>
  <c r="BK341" i="1"/>
  <c r="BJ341" i="1"/>
  <c r="BI341" i="1"/>
  <c r="BH341" i="1"/>
  <c r="BG341" i="1"/>
  <c r="AT341" i="1"/>
  <c r="AG341" i="1"/>
  <c r="AM341" i="1" s="1"/>
  <c r="AW341" i="1" s="1"/>
  <c r="I341" i="1"/>
  <c r="C341" i="1"/>
  <c r="B341" i="1"/>
  <c r="A341" i="1"/>
  <c r="CC340" i="1"/>
  <c r="CB340" i="1"/>
  <c r="CA340" i="1"/>
  <c r="BZ340" i="1"/>
  <c r="BY340" i="1"/>
  <c r="BX340" i="1"/>
  <c r="BW340" i="1"/>
  <c r="BV340" i="1"/>
  <c r="BU340" i="1"/>
  <c r="BT340" i="1"/>
  <c r="BS340" i="1"/>
  <c r="BR340" i="1"/>
  <c r="BQ340" i="1"/>
  <c r="BP340" i="1"/>
  <c r="BO340" i="1"/>
  <c r="BN340" i="1"/>
  <c r="BM340" i="1"/>
  <c r="BL340" i="1"/>
  <c r="BK340" i="1"/>
  <c r="BJ340" i="1"/>
  <c r="BI340" i="1"/>
  <c r="BH340" i="1"/>
  <c r="BG340" i="1"/>
  <c r="AT340" i="1"/>
  <c r="AM340" i="1"/>
  <c r="AW340" i="1" s="1"/>
  <c r="I340" i="1"/>
  <c r="AU340" i="1" s="1"/>
  <c r="C340" i="1"/>
  <c r="B340" i="1"/>
  <c r="A340" i="1"/>
  <c r="CC339" i="1"/>
  <c r="CB339" i="1"/>
  <c r="CA339" i="1"/>
  <c r="BZ339" i="1"/>
  <c r="BY339" i="1"/>
  <c r="BX339" i="1"/>
  <c r="BW339" i="1"/>
  <c r="BV339" i="1"/>
  <c r="BU339" i="1"/>
  <c r="BT339" i="1"/>
  <c r="BS339" i="1"/>
  <c r="BR339" i="1"/>
  <c r="BQ339" i="1"/>
  <c r="BP339" i="1"/>
  <c r="BO339" i="1"/>
  <c r="BN339" i="1"/>
  <c r="BM339" i="1"/>
  <c r="BL339" i="1"/>
  <c r="BK339" i="1"/>
  <c r="BJ339" i="1"/>
  <c r="BI339" i="1"/>
  <c r="BH339" i="1"/>
  <c r="BG339" i="1"/>
  <c r="AT339" i="1"/>
  <c r="AM339" i="1"/>
  <c r="AZ339" i="1" s="1"/>
  <c r="I339" i="1"/>
  <c r="C339" i="1"/>
  <c r="B339" i="1"/>
  <c r="A339" i="1"/>
  <c r="CC338" i="1"/>
  <c r="CB338" i="1"/>
  <c r="CA338" i="1"/>
  <c r="BZ338" i="1"/>
  <c r="BY338" i="1"/>
  <c r="BX338" i="1"/>
  <c r="BW338" i="1"/>
  <c r="BV338" i="1"/>
  <c r="BU338" i="1"/>
  <c r="BT338" i="1"/>
  <c r="BS338" i="1"/>
  <c r="BR338" i="1"/>
  <c r="BQ338" i="1"/>
  <c r="BP338" i="1"/>
  <c r="BO338" i="1"/>
  <c r="BN338" i="1"/>
  <c r="BM338" i="1"/>
  <c r="BL338" i="1"/>
  <c r="BK338" i="1"/>
  <c r="BJ338" i="1"/>
  <c r="BI338" i="1"/>
  <c r="BH338" i="1"/>
  <c r="BG338" i="1"/>
  <c r="AT338" i="1"/>
  <c r="AM338" i="1"/>
  <c r="AW338" i="1" s="1"/>
  <c r="I338" i="1"/>
  <c r="C338" i="1"/>
  <c r="B338" i="1"/>
  <c r="A338" i="1"/>
  <c r="CC337" i="1"/>
  <c r="CB337" i="1"/>
  <c r="CA337" i="1"/>
  <c r="BZ337" i="1"/>
  <c r="BY337" i="1"/>
  <c r="BX337" i="1"/>
  <c r="BW337" i="1"/>
  <c r="BV337" i="1"/>
  <c r="BU337" i="1"/>
  <c r="BT337" i="1"/>
  <c r="BS337" i="1"/>
  <c r="BR337" i="1"/>
  <c r="BQ337" i="1"/>
  <c r="BP337" i="1"/>
  <c r="BO337" i="1"/>
  <c r="BN337" i="1"/>
  <c r="BM337" i="1"/>
  <c r="BL337" i="1"/>
  <c r="BK337" i="1"/>
  <c r="BJ337" i="1"/>
  <c r="BI337" i="1"/>
  <c r="BH337" i="1"/>
  <c r="BG337" i="1"/>
  <c r="AT337" i="1"/>
  <c r="AM337" i="1"/>
  <c r="I337" i="1"/>
  <c r="AU337" i="1" s="1"/>
  <c r="C337" i="1"/>
  <c r="B337" i="1"/>
  <c r="A337" i="1"/>
  <c r="CC336" i="1"/>
  <c r="CB336" i="1"/>
  <c r="CA336" i="1"/>
  <c r="BZ336" i="1"/>
  <c r="BY336" i="1"/>
  <c r="BX336" i="1"/>
  <c r="BW336" i="1"/>
  <c r="BV336" i="1"/>
  <c r="BU336" i="1"/>
  <c r="BT336" i="1"/>
  <c r="BS336" i="1"/>
  <c r="BR336" i="1"/>
  <c r="BQ336" i="1"/>
  <c r="BP336" i="1"/>
  <c r="BO336" i="1"/>
  <c r="BN336" i="1"/>
  <c r="BM336" i="1"/>
  <c r="BL336" i="1"/>
  <c r="BK336" i="1"/>
  <c r="BJ336" i="1"/>
  <c r="BI336" i="1"/>
  <c r="BH336" i="1"/>
  <c r="BG336" i="1"/>
  <c r="AT336" i="1"/>
  <c r="AM336" i="1"/>
  <c r="AW336" i="1" s="1"/>
  <c r="I336" i="1"/>
  <c r="C336" i="1"/>
  <c r="B336" i="1"/>
  <c r="A336" i="1"/>
  <c r="CC335" i="1"/>
  <c r="CB335" i="1"/>
  <c r="CA335" i="1"/>
  <c r="BZ335" i="1"/>
  <c r="BY335" i="1"/>
  <c r="BX335" i="1"/>
  <c r="BW335" i="1"/>
  <c r="BV335" i="1"/>
  <c r="BU335" i="1"/>
  <c r="BT335" i="1"/>
  <c r="BS335" i="1"/>
  <c r="BR335" i="1"/>
  <c r="BQ335" i="1"/>
  <c r="BP335" i="1"/>
  <c r="BO335" i="1"/>
  <c r="BN335" i="1"/>
  <c r="BM335" i="1"/>
  <c r="BL335" i="1"/>
  <c r="BK335" i="1"/>
  <c r="BJ335" i="1"/>
  <c r="BI335" i="1"/>
  <c r="BH335" i="1"/>
  <c r="BG335" i="1"/>
  <c r="AT335" i="1"/>
  <c r="AM335" i="1"/>
  <c r="I335" i="1"/>
  <c r="AU335" i="1" s="1"/>
  <c r="C335" i="1"/>
  <c r="B335" i="1"/>
  <c r="A335" i="1"/>
  <c r="CC334" i="1"/>
  <c r="CB334" i="1"/>
  <c r="CA334" i="1"/>
  <c r="BZ334" i="1"/>
  <c r="BY334" i="1"/>
  <c r="BX334" i="1"/>
  <c r="BW334" i="1"/>
  <c r="BV334" i="1"/>
  <c r="BU334" i="1"/>
  <c r="BT334" i="1"/>
  <c r="BS334" i="1"/>
  <c r="BR334" i="1"/>
  <c r="BQ334" i="1"/>
  <c r="BP334" i="1"/>
  <c r="BO334" i="1"/>
  <c r="BN334" i="1"/>
  <c r="BM334" i="1"/>
  <c r="BL334" i="1"/>
  <c r="BK334" i="1"/>
  <c r="BJ334" i="1"/>
  <c r="BI334" i="1"/>
  <c r="BH334" i="1"/>
  <c r="BG334" i="1"/>
  <c r="AT334" i="1"/>
  <c r="AM334" i="1"/>
  <c r="I334" i="1"/>
  <c r="AU334" i="1" s="1"/>
  <c r="C334" i="1"/>
  <c r="B334" i="1"/>
  <c r="A334" i="1"/>
  <c r="CC333" i="1"/>
  <c r="CB333" i="1"/>
  <c r="CA333" i="1"/>
  <c r="BZ333" i="1"/>
  <c r="BY333" i="1"/>
  <c r="BX333" i="1"/>
  <c r="BW333" i="1"/>
  <c r="BV333" i="1"/>
  <c r="BU333" i="1"/>
  <c r="BT333" i="1"/>
  <c r="BS333" i="1"/>
  <c r="BR333" i="1"/>
  <c r="BQ333" i="1"/>
  <c r="BP333" i="1"/>
  <c r="BO333" i="1"/>
  <c r="BN333" i="1"/>
  <c r="BM333" i="1"/>
  <c r="BL333" i="1"/>
  <c r="BK333" i="1"/>
  <c r="BJ333" i="1"/>
  <c r="BI333" i="1"/>
  <c r="BH333" i="1"/>
  <c r="BG333" i="1"/>
  <c r="AT333" i="1"/>
  <c r="AM333" i="1"/>
  <c r="I333" i="1"/>
  <c r="AU333" i="1" s="1"/>
  <c r="C333" i="1"/>
  <c r="B333" i="1"/>
  <c r="A333" i="1"/>
  <c r="CC332" i="1"/>
  <c r="CB332" i="1"/>
  <c r="CA332" i="1"/>
  <c r="BZ332" i="1"/>
  <c r="BY332" i="1"/>
  <c r="BX332" i="1"/>
  <c r="BW332" i="1"/>
  <c r="BV332" i="1"/>
  <c r="BU332" i="1"/>
  <c r="BT332" i="1"/>
  <c r="BS332" i="1"/>
  <c r="BR332" i="1"/>
  <c r="BQ332" i="1"/>
  <c r="BP332" i="1"/>
  <c r="BO332" i="1"/>
  <c r="BN332" i="1"/>
  <c r="BM332" i="1"/>
  <c r="BL332" i="1"/>
  <c r="BK332" i="1"/>
  <c r="BJ332" i="1"/>
  <c r="BI332" i="1"/>
  <c r="BH332" i="1"/>
  <c r="BG332" i="1"/>
  <c r="AT332" i="1"/>
  <c r="AM332" i="1"/>
  <c r="I332" i="1"/>
  <c r="AU332" i="1" s="1"/>
  <c r="C332" i="1"/>
  <c r="B332" i="1"/>
  <c r="A332" i="1"/>
  <c r="CC331" i="1"/>
  <c r="CB331" i="1"/>
  <c r="CA331" i="1"/>
  <c r="BZ331" i="1"/>
  <c r="BY331" i="1"/>
  <c r="BX331" i="1"/>
  <c r="BW331" i="1"/>
  <c r="BV331" i="1"/>
  <c r="BU331" i="1"/>
  <c r="BT331" i="1"/>
  <c r="BS331" i="1"/>
  <c r="BR331" i="1"/>
  <c r="BQ331" i="1"/>
  <c r="BP331" i="1"/>
  <c r="BO331" i="1"/>
  <c r="BN331" i="1"/>
  <c r="BM331" i="1"/>
  <c r="BL331" i="1"/>
  <c r="BK331" i="1"/>
  <c r="BJ331" i="1"/>
  <c r="BI331" i="1"/>
  <c r="BH331" i="1"/>
  <c r="BG331" i="1"/>
  <c r="AT331" i="1"/>
  <c r="AM331" i="1"/>
  <c r="I331" i="1"/>
  <c r="AU331" i="1" s="1"/>
  <c r="C331" i="1"/>
  <c r="B331" i="1"/>
  <c r="A331" i="1"/>
  <c r="CC330" i="1"/>
  <c r="CB330" i="1"/>
  <c r="CA330" i="1"/>
  <c r="BZ330" i="1"/>
  <c r="BY330" i="1"/>
  <c r="BX330" i="1"/>
  <c r="BW330" i="1"/>
  <c r="BV330" i="1"/>
  <c r="BU330" i="1"/>
  <c r="BT330" i="1"/>
  <c r="BS330" i="1"/>
  <c r="BR330" i="1"/>
  <c r="BQ330" i="1"/>
  <c r="BP330" i="1"/>
  <c r="BO330" i="1"/>
  <c r="BN330" i="1"/>
  <c r="BM330" i="1"/>
  <c r="BL330" i="1"/>
  <c r="BK330" i="1"/>
  <c r="BJ330" i="1"/>
  <c r="BI330" i="1"/>
  <c r="BH330" i="1"/>
  <c r="BG330" i="1"/>
  <c r="AT330" i="1"/>
  <c r="AM330" i="1"/>
  <c r="I330" i="1"/>
  <c r="AU330" i="1" s="1"/>
  <c r="C330" i="1"/>
  <c r="B330" i="1"/>
  <c r="A330" i="1"/>
  <c r="CB329" i="1"/>
  <c r="CA329" i="1"/>
  <c r="BZ329" i="1"/>
  <c r="BY329" i="1"/>
  <c r="BX329" i="1"/>
  <c r="BW329" i="1"/>
  <c r="BV329" i="1"/>
  <c r="BU329" i="1"/>
  <c r="BT329" i="1"/>
  <c r="BS329" i="1"/>
  <c r="BR329" i="1"/>
  <c r="BQ329" i="1"/>
  <c r="BP329" i="1"/>
  <c r="BO329" i="1"/>
  <c r="BN329" i="1"/>
  <c r="BM329" i="1"/>
  <c r="BL329" i="1"/>
  <c r="BK329" i="1"/>
  <c r="BJ329" i="1"/>
  <c r="BI329" i="1"/>
  <c r="BH329" i="1"/>
  <c r="BG329" i="1"/>
  <c r="AT329" i="1"/>
  <c r="AG329" i="1"/>
  <c r="AM329" i="1" s="1"/>
  <c r="I329" i="1"/>
  <c r="CD329" i="1" s="1"/>
  <c r="C329" i="1"/>
  <c r="B329" i="1"/>
  <c r="A329" i="1"/>
  <c r="CB328" i="1"/>
  <c r="CA328" i="1"/>
  <c r="BZ328" i="1"/>
  <c r="BY328" i="1"/>
  <c r="BX328" i="1"/>
  <c r="BW328" i="1"/>
  <c r="BV328" i="1"/>
  <c r="BU328" i="1"/>
  <c r="BT328" i="1"/>
  <c r="BS328" i="1"/>
  <c r="BR328" i="1"/>
  <c r="BQ328" i="1"/>
  <c r="BP328" i="1"/>
  <c r="BO328" i="1"/>
  <c r="BN328" i="1"/>
  <c r="BM328" i="1"/>
  <c r="BL328" i="1"/>
  <c r="BK328" i="1"/>
  <c r="BJ328" i="1"/>
  <c r="BI328" i="1"/>
  <c r="BH328" i="1"/>
  <c r="BG328" i="1"/>
  <c r="AT328" i="1"/>
  <c r="AG328" i="1"/>
  <c r="I328" i="1"/>
  <c r="AU328" i="1" s="1"/>
  <c r="C328" i="1"/>
  <c r="B328" i="1"/>
  <c r="A328" i="1"/>
  <c r="CC327" i="1"/>
  <c r="CB327" i="1"/>
  <c r="CA327" i="1"/>
  <c r="BZ327" i="1"/>
  <c r="BY327" i="1"/>
  <c r="BX327" i="1"/>
  <c r="BW327" i="1"/>
  <c r="BV327" i="1"/>
  <c r="BU327" i="1"/>
  <c r="BT327" i="1"/>
  <c r="BS327" i="1"/>
  <c r="BR327" i="1"/>
  <c r="BQ327" i="1"/>
  <c r="BP327" i="1"/>
  <c r="BO327" i="1"/>
  <c r="BN327" i="1"/>
  <c r="BM327" i="1"/>
  <c r="BL327" i="1"/>
  <c r="BK327" i="1"/>
  <c r="BJ327" i="1"/>
  <c r="BI327" i="1"/>
  <c r="BH327" i="1"/>
  <c r="BG327" i="1"/>
  <c r="AT327" i="1"/>
  <c r="I327" i="1"/>
  <c r="C327" i="1"/>
  <c r="B327" i="1"/>
  <c r="A327" i="1"/>
  <c r="CB326" i="1"/>
  <c r="CA326" i="1"/>
  <c r="BZ326" i="1"/>
  <c r="BY326" i="1"/>
  <c r="BX326" i="1"/>
  <c r="BW326" i="1"/>
  <c r="BV326" i="1"/>
  <c r="BU326" i="1"/>
  <c r="BT326" i="1"/>
  <c r="BS326" i="1"/>
  <c r="BR326" i="1"/>
  <c r="BQ326" i="1"/>
  <c r="BP326" i="1"/>
  <c r="BO326" i="1"/>
  <c r="BN326" i="1"/>
  <c r="BM326" i="1"/>
  <c r="BL326" i="1"/>
  <c r="BK326" i="1"/>
  <c r="BJ326" i="1"/>
  <c r="BI326" i="1"/>
  <c r="BH326" i="1"/>
  <c r="BG326" i="1"/>
  <c r="AT326" i="1"/>
  <c r="AG326" i="1"/>
  <c r="I326" i="1"/>
  <c r="C326" i="1"/>
  <c r="B326" i="1"/>
  <c r="A326" i="1"/>
  <c r="CB325" i="1"/>
  <c r="CA325" i="1"/>
  <c r="BZ325" i="1"/>
  <c r="BY325" i="1"/>
  <c r="BX325" i="1"/>
  <c r="BW325" i="1"/>
  <c r="BV325" i="1"/>
  <c r="BU325" i="1"/>
  <c r="BT325" i="1"/>
  <c r="BS325" i="1"/>
  <c r="BR325" i="1"/>
  <c r="BQ325" i="1"/>
  <c r="BP325" i="1"/>
  <c r="BO325" i="1"/>
  <c r="BN325" i="1"/>
  <c r="BM325" i="1"/>
  <c r="BL325" i="1"/>
  <c r="BK325" i="1"/>
  <c r="BJ325" i="1"/>
  <c r="BI325" i="1"/>
  <c r="BH325" i="1"/>
  <c r="BG325" i="1"/>
  <c r="AT325" i="1"/>
  <c r="AG325" i="1"/>
  <c r="CC325" i="1" s="1"/>
  <c r="I325" i="1"/>
  <c r="CD325" i="1" s="1"/>
  <c r="CG325" i="1" s="1"/>
  <c r="C325" i="1"/>
  <c r="B325" i="1"/>
  <c r="A325" i="1"/>
  <c r="CC324" i="1"/>
  <c r="CB324" i="1"/>
  <c r="CA324" i="1"/>
  <c r="BZ324" i="1"/>
  <c r="BY324" i="1"/>
  <c r="BX324" i="1"/>
  <c r="BW324" i="1"/>
  <c r="BV324" i="1"/>
  <c r="BU324" i="1"/>
  <c r="BT324" i="1"/>
  <c r="BS324" i="1"/>
  <c r="BR324" i="1"/>
  <c r="BQ324" i="1"/>
  <c r="BP324" i="1"/>
  <c r="BO324" i="1"/>
  <c r="BN324" i="1"/>
  <c r="BM324" i="1"/>
  <c r="BL324" i="1"/>
  <c r="BK324" i="1"/>
  <c r="BJ324" i="1"/>
  <c r="BI324" i="1"/>
  <c r="BH324" i="1"/>
  <c r="BG324" i="1"/>
  <c r="AT324" i="1"/>
  <c r="I324" i="1"/>
  <c r="C324" i="1"/>
  <c r="B324" i="1"/>
  <c r="A324" i="1"/>
  <c r="CB323" i="1"/>
  <c r="CA323" i="1"/>
  <c r="BZ323" i="1"/>
  <c r="BY323" i="1"/>
  <c r="BX323" i="1"/>
  <c r="BW323" i="1"/>
  <c r="BV323" i="1"/>
  <c r="BU323" i="1"/>
  <c r="BT323" i="1"/>
  <c r="BS323" i="1"/>
  <c r="BR323" i="1"/>
  <c r="BQ323" i="1"/>
  <c r="BP323" i="1"/>
  <c r="BO323" i="1"/>
  <c r="BN323" i="1"/>
  <c r="BM323" i="1"/>
  <c r="BL323" i="1"/>
  <c r="BK323" i="1"/>
  <c r="BJ323" i="1"/>
  <c r="BI323" i="1"/>
  <c r="BH323" i="1"/>
  <c r="BG323" i="1"/>
  <c r="AT323" i="1"/>
  <c r="AG323" i="1"/>
  <c r="CC323" i="1" s="1"/>
  <c r="I323" i="1"/>
  <c r="C323" i="1"/>
  <c r="B323" i="1"/>
  <c r="A323" i="1"/>
  <c r="CB322" i="1"/>
  <c r="CA322" i="1"/>
  <c r="BZ322" i="1"/>
  <c r="BY322" i="1"/>
  <c r="BX322" i="1"/>
  <c r="BW322" i="1"/>
  <c r="BV322" i="1"/>
  <c r="BU322" i="1"/>
  <c r="BT322" i="1"/>
  <c r="BS322" i="1"/>
  <c r="BR322" i="1"/>
  <c r="BQ322" i="1"/>
  <c r="BP322" i="1"/>
  <c r="BO322" i="1"/>
  <c r="BN322" i="1"/>
  <c r="BM322" i="1"/>
  <c r="BL322" i="1"/>
  <c r="BK322" i="1"/>
  <c r="BJ322" i="1"/>
  <c r="BI322" i="1"/>
  <c r="BH322" i="1"/>
  <c r="BG322" i="1"/>
  <c r="AT322" i="1"/>
  <c r="AG322" i="1"/>
  <c r="I322" i="1"/>
  <c r="CD322" i="1" s="1"/>
  <c r="C322" i="1"/>
  <c r="B322" i="1"/>
  <c r="A322" i="1"/>
  <c r="CC321" i="1"/>
  <c r="CB321" i="1"/>
  <c r="CA321" i="1"/>
  <c r="BZ321" i="1"/>
  <c r="BY321" i="1"/>
  <c r="BX321" i="1"/>
  <c r="BW321" i="1"/>
  <c r="BV321" i="1"/>
  <c r="BU321" i="1"/>
  <c r="BT321" i="1"/>
  <c r="BS321" i="1"/>
  <c r="BR321" i="1"/>
  <c r="BQ321" i="1"/>
  <c r="BP321" i="1"/>
  <c r="BO321" i="1"/>
  <c r="BN321" i="1"/>
  <c r="BM321" i="1"/>
  <c r="BL321" i="1"/>
  <c r="BK321" i="1"/>
  <c r="BJ321" i="1"/>
  <c r="BI321" i="1"/>
  <c r="BH321" i="1"/>
  <c r="BG321" i="1"/>
  <c r="AT321" i="1"/>
  <c r="I321" i="1"/>
  <c r="CD321" i="1" s="1"/>
  <c r="CG321" i="1" s="1"/>
  <c r="C321" i="1"/>
  <c r="B321" i="1"/>
  <c r="A321" i="1"/>
  <c r="CB320" i="1"/>
  <c r="CA320" i="1"/>
  <c r="BZ320" i="1"/>
  <c r="BY320" i="1"/>
  <c r="BX320" i="1"/>
  <c r="BW320" i="1"/>
  <c r="BV320" i="1"/>
  <c r="BU320" i="1"/>
  <c r="BT320" i="1"/>
  <c r="BS320" i="1"/>
  <c r="BR320" i="1"/>
  <c r="BQ320" i="1"/>
  <c r="BP320" i="1"/>
  <c r="BO320" i="1"/>
  <c r="BN320" i="1"/>
  <c r="BM320" i="1"/>
  <c r="BL320" i="1"/>
  <c r="BK320" i="1"/>
  <c r="BJ320" i="1"/>
  <c r="BI320" i="1"/>
  <c r="BH320" i="1"/>
  <c r="BG320" i="1"/>
  <c r="AT320" i="1"/>
  <c r="AG320" i="1"/>
  <c r="AM320" i="1" s="1"/>
  <c r="AW320" i="1" s="1"/>
  <c r="I320" i="1"/>
  <c r="AU320" i="1" s="1"/>
  <c r="C320" i="1"/>
  <c r="B320" i="1"/>
  <c r="A320" i="1"/>
  <c r="CB319" i="1"/>
  <c r="CA319" i="1"/>
  <c r="BZ319" i="1"/>
  <c r="BY319" i="1"/>
  <c r="BX319" i="1"/>
  <c r="BW319" i="1"/>
  <c r="BV319" i="1"/>
  <c r="BU319" i="1"/>
  <c r="BT319" i="1"/>
  <c r="BS319" i="1"/>
  <c r="BR319" i="1"/>
  <c r="BQ319" i="1"/>
  <c r="BP319" i="1"/>
  <c r="BO319" i="1"/>
  <c r="BN319" i="1"/>
  <c r="BM319" i="1"/>
  <c r="BL319" i="1"/>
  <c r="BK319" i="1"/>
  <c r="BJ319" i="1"/>
  <c r="BI319" i="1"/>
  <c r="BH319" i="1"/>
  <c r="BG319" i="1"/>
  <c r="AT319" i="1"/>
  <c r="AG319" i="1"/>
  <c r="CC319" i="1" s="1"/>
  <c r="I319" i="1"/>
  <c r="C319" i="1"/>
  <c r="B319" i="1"/>
  <c r="A319" i="1"/>
  <c r="CC318" i="1"/>
  <c r="CB318" i="1"/>
  <c r="CA318" i="1"/>
  <c r="BZ318" i="1"/>
  <c r="BY318" i="1"/>
  <c r="BX318" i="1"/>
  <c r="BW318" i="1"/>
  <c r="BV318" i="1"/>
  <c r="BU318" i="1"/>
  <c r="BT318" i="1"/>
  <c r="BS318" i="1"/>
  <c r="BR318" i="1"/>
  <c r="BQ318" i="1"/>
  <c r="BP318" i="1"/>
  <c r="BO318" i="1"/>
  <c r="BN318" i="1"/>
  <c r="BM318" i="1"/>
  <c r="BL318" i="1"/>
  <c r="BK318" i="1"/>
  <c r="BJ318" i="1"/>
  <c r="BI318" i="1"/>
  <c r="BH318" i="1"/>
  <c r="BG318" i="1"/>
  <c r="AT318" i="1"/>
  <c r="I318" i="1"/>
  <c r="C318" i="1"/>
  <c r="B318" i="1"/>
  <c r="A318" i="1"/>
  <c r="CB317" i="1"/>
  <c r="CA317" i="1"/>
  <c r="BZ317" i="1"/>
  <c r="BY317" i="1"/>
  <c r="BX317" i="1"/>
  <c r="BW317" i="1"/>
  <c r="BV317" i="1"/>
  <c r="BU317" i="1"/>
  <c r="BT317" i="1"/>
  <c r="BS317" i="1"/>
  <c r="BR317" i="1"/>
  <c r="BQ317" i="1"/>
  <c r="BP317" i="1"/>
  <c r="BO317" i="1"/>
  <c r="BN317" i="1"/>
  <c r="BM317" i="1"/>
  <c r="BL317" i="1"/>
  <c r="BK317" i="1"/>
  <c r="BJ317" i="1"/>
  <c r="BI317" i="1"/>
  <c r="BH317" i="1"/>
  <c r="BG317" i="1"/>
  <c r="AT317" i="1"/>
  <c r="AG317" i="1"/>
  <c r="I317" i="1"/>
  <c r="CD317" i="1" s="1"/>
  <c r="CI317" i="1" s="1"/>
  <c r="CN317" i="1" s="1"/>
  <c r="C317" i="1"/>
  <c r="B317" i="1"/>
  <c r="A317" i="1"/>
  <c r="CB316" i="1"/>
  <c r="CA316" i="1"/>
  <c r="BZ316" i="1"/>
  <c r="BY316" i="1"/>
  <c r="BX316" i="1"/>
  <c r="BW316" i="1"/>
  <c r="BV316" i="1"/>
  <c r="BU316" i="1"/>
  <c r="BT316" i="1"/>
  <c r="BS316" i="1"/>
  <c r="BR316" i="1"/>
  <c r="BQ316" i="1"/>
  <c r="BP316" i="1"/>
  <c r="BO316" i="1"/>
  <c r="BN316" i="1"/>
  <c r="BM316" i="1"/>
  <c r="BL316" i="1"/>
  <c r="BK316" i="1"/>
  <c r="BJ316" i="1"/>
  <c r="BI316" i="1"/>
  <c r="BH316" i="1"/>
  <c r="BG316" i="1"/>
  <c r="AT316" i="1"/>
  <c r="AG316" i="1"/>
  <c r="CC316" i="1" s="1"/>
  <c r="I316" i="1"/>
  <c r="C316" i="1"/>
  <c r="B316" i="1"/>
  <c r="A316" i="1"/>
  <c r="CC315" i="1"/>
  <c r="CB315" i="1"/>
  <c r="CA315" i="1"/>
  <c r="BZ315" i="1"/>
  <c r="BY315" i="1"/>
  <c r="BX315" i="1"/>
  <c r="BW315" i="1"/>
  <c r="BV315" i="1"/>
  <c r="BU315" i="1"/>
  <c r="BT315" i="1"/>
  <c r="BS315" i="1"/>
  <c r="BR315" i="1"/>
  <c r="BQ315" i="1"/>
  <c r="BP315" i="1"/>
  <c r="BO315" i="1"/>
  <c r="BN315" i="1"/>
  <c r="BM315" i="1"/>
  <c r="BL315" i="1"/>
  <c r="BK315" i="1"/>
  <c r="BJ315" i="1"/>
  <c r="BI315" i="1"/>
  <c r="BH315" i="1"/>
  <c r="BG315" i="1"/>
  <c r="AT315" i="1"/>
  <c r="I315" i="1"/>
  <c r="CD315" i="1" s="1"/>
  <c r="C315" i="1"/>
  <c r="B315" i="1"/>
  <c r="A315" i="1"/>
  <c r="CC314" i="1"/>
  <c r="CB314" i="1"/>
  <c r="CA314" i="1"/>
  <c r="BZ314" i="1"/>
  <c r="BY314" i="1"/>
  <c r="BX314" i="1"/>
  <c r="BW314" i="1"/>
  <c r="BV314" i="1"/>
  <c r="BU314" i="1"/>
  <c r="BT314" i="1"/>
  <c r="BS314" i="1"/>
  <c r="BR314" i="1"/>
  <c r="BQ314" i="1"/>
  <c r="BP314" i="1"/>
  <c r="BO314" i="1"/>
  <c r="BN314" i="1"/>
  <c r="BM314" i="1"/>
  <c r="BL314" i="1"/>
  <c r="BK314" i="1"/>
  <c r="BJ314" i="1"/>
  <c r="BI314" i="1"/>
  <c r="BH314" i="1"/>
  <c r="BG314" i="1"/>
  <c r="AT314" i="1"/>
  <c r="AM314" i="1"/>
  <c r="AZ314" i="1" s="1"/>
  <c r="I314" i="1"/>
  <c r="AU314" i="1" s="1"/>
  <c r="C314" i="1"/>
  <c r="B314" i="1"/>
  <c r="A314" i="1"/>
  <c r="CC313" i="1"/>
  <c r="CB313" i="1"/>
  <c r="CA313" i="1"/>
  <c r="BZ313" i="1"/>
  <c r="BY313" i="1"/>
  <c r="BX313" i="1"/>
  <c r="BW313" i="1"/>
  <c r="BV313" i="1"/>
  <c r="BU313" i="1"/>
  <c r="BT313" i="1"/>
  <c r="BS313" i="1"/>
  <c r="BR313" i="1"/>
  <c r="BQ313" i="1"/>
  <c r="BP313" i="1"/>
  <c r="BO313" i="1"/>
  <c r="BN313" i="1"/>
  <c r="BM313" i="1"/>
  <c r="BL313" i="1"/>
  <c r="BK313" i="1"/>
  <c r="BJ313" i="1"/>
  <c r="BI313" i="1"/>
  <c r="BH313" i="1"/>
  <c r="BG313" i="1"/>
  <c r="AT313" i="1"/>
  <c r="AM313" i="1"/>
  <c r="AY313" i="1" s="1"/>
  <c r="I313" i="1"/>
  <c r="AU313" i="1" s="1"/>
  <c r="C313" i="1"/>
  <c r="B313" i="1"/>
  <c r="A313" i="1"/>
  <c r="CC312" i="1"/>
  <c r="CB312" i="1"/>
  <c r="CA312" i="1"/>
  <c r="BZ312" i="1"/>
  <c r="BY312" i="1"/>
  <c r="BX312" i="1"/>
  <c r="BW312" i="1"/>
  <c r="BV312" i="1"/>
  <c r="BU312" i="1"/>
  <c r="BT312" i="1"/>
  <c r="BS312" i="1"/>
  <c r="BR312" i="1"/>
  <c r="BQ312" i="1"/>
  <c r="BP312" i="1"/>
  <c r="BO312" i="1"/>
  <c r="BN312" i="1"/>
  <c r="BM312" i="1"/>
  <c r="BL312" i="1"/>
  <c r="BK312" i="1"/>
  <c r="BJ312" i="1"/>
  <c r="BI312" i="1"/>
  <c r="BH312" i="1"/>
  <c r="BG312" i="1"/>
  <c r="AT312" i="1"/>
  <c r="AM312" i="1"/>
  <c r="AY312" i="1" s="1"/>
  <c r="I312" i="1"/>
  <c r="AU312" i="1" s="1"/>
  <c r="C312" i="1"/>
  <c r="B312" i="1"/>
  <c r="A312" i="1"/>
  <c r="CC311" i="1"/>
  <c r="CB311" i="1"/>
  <c r="CA311" i="1"/>
  <c r="BZ311" i="1"/>
  <c r="BY311" i="1"/>
  <c r="BX311" i="1"/>
  <c r="BW311" i="1"/>
  <c r="BV311" i="1"/>
  <c r="BU311" i="1"/>
  <c r="BT311" i="1"/>
  <c r="BS311" i="1"/>
  <c r="BR311" i="1"/>
  <c r="BQ311" i="1"/>
  <c r="BP311" i="1"/>
  <c r="BO311" i="1"/>
  <c r="BN311" i="1"/>
  <c r="BM311" i="1"/>
  <c r="BL311" i="1"/>
  <c r="BK311" i="1"/>
  <c r="BJ311" i="1"/>
  <c r="BI311" i="1"/>
  <c r="BH311" i="1"/>
  <c r="BG311" i="1"/>
  <c r="AT311" i="1"/>
  <c r="AM311" i="1"/>
  <c r="AZ311" i="1" s="1"/>
  <c r="I311" i="1"/>
  <c r="AU311" i="1" s="1"/>
  <c r="C311" i="1"/>
  <c r="B311" i="1"/>
  <c r="A311" i="1"/>
  <c r="CC310" i="1"/>
  <c r="CB310" i="1"/>
  <c r="CA310" i="1"/>
  <c r="BZ310" i="1"/>
  <c r="BY310" i="1"/>
  <c r="BX310" i="1"/>
  <c r="BW310" i="1"/>
  <c r="BV310" i="1"/>
  <c r="BU310" i="1"/>
  <c r="BT310" i="1"/>
  <c r="BS310" i="1"/>
  <c r="BR310" i="1"/>
  <c r="BQ310" i="1"/>
  <c r="BP310" i="1"/>
  <c r="BO310" i="1"/>
  <c r="BN310" i="1"/>
  <c r="BM310" i="1"/>
  <c r="BL310" i="1"/>
  <c r="BK310" i="1"/>
  <c r="BJ310" i="1"/>
  <c r="BI310" i="1"/>
  <c r="BH310" i="1"/>
  <c r="BG310" i="1"/>
  <c r="AT310" i="1"/>
  <c r="AG310" i="1"/>
  <c r="AM310" i="1" s="1"/>
  <c r="AZ310" i="1" s="1"/>
  <c r="I310" i="1"/>
  <c r="AU310" i="1" s="1"/>
  <c r="C310" i="1"/>
  <c r="B310" i="1"/>
  <c r="A310" i="1"/>
  <c r="CC309" i="1"/>
  <c r="CB309" i="1"/>
  <c r="CA309" i="1"/>
  <c r="BZ309" i="1"/>
  <c r="BY309" i="1"/>
  <c r="BX309" i="1"/>
  <c r="BW309" i="1"/>
  <c r="BV309" i="1"/>
  <c r="BU309" i="1"/>
  <c r="BT309" i="1"/>
  <c r="BS309" i="1"/>
  <c r="BR309" i="1"/>
  <c r="BQ309" i="1"/>
  <c r="BP309" i="1"/>
  <c r="BO309" i="1"/>
  <c r="BN309" i="1"/>
  <c r="BM309" i="1"/>
  <c r="BL309" i="1"/>
  <c r="BK309" i="1"/>
  <c r="BJ309" i="1"/>
  <c r="BI309" i="1"/>
  <c r="BH309" i="1"/>
  <c r="BG309" i="1"/>
  <c r="AT309" i="1"/>
  <c r="AM309" i="1"/>
  <c r="AZ309" i="1" s="1"/>
  <c r="I309" i="1"/>
  <c r="CD309" i="1" s="1"/>
  <c r="CG309" i="1" s="1"/>
  <c r="CF309" i="1" s="1"/>
  <c r="CK309" i="1" s="1"/>
  <c r="C309" i="1"/>
  <c r="B309" i="1"/>
  <c r="A309" i="1"/>
  <c r="CC308" i="1"/>
  <c r="CB308" i="1"/>
  <c r="CA308" i="1"/>
  <c r="BZ308" i="1"/>
  <c r="BY308" i="1"/>
  <c r="BX308" i="1"/>
  <c r="BW308" i="1"/>
  <c r="BV308" i="1"/>
  <c r="BU308" i="1"/>
  <c r="BT308" i="1"/>
  <c r="BS308" i="1"/>
  <c r="BR308" i="1"/>
  <c r="BQ308" i="1"/>
  <c r="BP308" i="1"/>
  <c r="BO308" i="1"/>
  <c r="BN308" i="1"/>
  <c r="BM308" i="1"/>
  <c r="BL308" i="1"/>
  <c r="BK308" i="1"/>
  <c r="BJ308" i="1"/>
  <c r="BI308" i="1"/>
  <c r="BH308" i="1"/>
  <c r="BG308" i="1"/>
  <c r="AT308" i="1"/>
  <c r="AM308" i="1"/>
  <c r="AW308" i="1" s="1"/>
  <c r="I308" i="1"/>
  <c r="AU308" i="1" s="1"/>
  <c r="C308" i="1"/>
  <c r="B308" i="1"/>
  <c r="A308" i="1"/>
  <c r="CC307" i="1"/>
  <c r="CB307" i="1"/>
  <c r="CA307" i="1"/>
  <c r="BZ307" i="1"/>
  <c r="BY307" i="1"/>
  <c r="BX307" i="1"/>
  <c r="BW307" i="1"/>
  <c r="BV307" i="1"/>
  <c r="BU307" i="1"/>
  <c r="BT307" i="1"/>
  <c r="BS307" i="1"/>
  <c r="BR307" i="1"/>
  <c r="BQ307" i="1"/>
  <c r="BP307" i="1"/>
  <c r="BO307" i="1"/>
  <c r="BN307" i="1"/>
  <c r="BM307" i="1"/>
  <c r="BL307" i="1"/>
  <c r="BK307" i="1"/>
  <c r="BJ307" i="1"/>
  <c r="BI307" i="1"/>
  <c r="BH307" i="1"/>
  <c r="BG307" i="1"/>
  <c r="AT307" i="1"/>
  <c r="AM307" i="1"/>
  <c r="AY307" i="1" s="1"/>
  <c r="I307" i="1"/>
  <c r="C307" i="1"/>
  <c r="B307" i="1"/>
  <c r="A307" i="1"/>
  <c r="CC306" i="1"/>
  <c r="CB306" i="1"/>
  <c r="CA306" i="1"/>
  <c r="BZ306" i="1"/>
  <c r="BY306" i="1"/>
  <c r="BX306" i="1"/>
  <c r="BW306" i="1"/>
  <c r="BV306" i="1"/>
  <c r="BU306" i="1"/>
  <c r="BT306" i="1"/>
  <c r="BS306" i="1"/>
  <c r="BR306" i="1"/>
  <c r="BQ306" i="1"/>
  <c r="BP306" i="1"/>
  <c r="BO306" i="1"/>
  <c r="BN306" i="1"/>
  <c r="BM306" i="1"/>
  <c r="BL306" i="1"/>
  <c r="BK306" i="1"/>
  <c r="BJ306" i="1"/>
  <c r="BI306" i="1"/>
  <c r="BH306" i="1"/>
  <c r="BG306" i="1"/>
  <c r="AT306" i="1"/>
  <c r="AM306" i="1"/>
  <c r="AY306" i="1" s="1"/>
  <c r="I306" i="1"/>
  <c r="AU306" i="1" s="1"/>
  <c r="C306" i="1"/>
  <c r="B306" i="1"/>
  <c r="A306" i="1"/>
  <c r="CC305" i="1"/>
  <c r="CB305" i="1"/>
  <c r="CA305" i="1"/>
  <c r="BZ305" i="1"/>
  <c r="BY305" i="1"/>
  <c r="BX305" i="1"/>
  <c r="BW305" i="1"/>
  <c r="BV305" i="1"/>
  <c r="BU305" i="1"/>
  <c r="BT305" i="1"/>
  <c r="BS305" i="1"/>
  <c r="BR305" i="1"/>
  <c r="BQ305" i="1"/>
  <c r="BP305" i="1"/>
  <c r="BO305" i="1"/>
  <c r="BN305" i="1"/>
  <c r="BM305" i="1"/>
  <c r="BL305" i="1"/>
  <c r="BK305" i="1"/>
  <c r="BJ305" i="1"/>
  <c r="BI305" i="1"/>
  <c r="BH305" i="1"/>
  <c r="BG305" i="1"/>
  <c r="AT305" i="1"/>
  <c r="AM305" i="1"/>
  <c r="AZ305" i="1" s="1"/>
  <c r="I305" i="1"/>
  <c r="C305" i="1"/>
  <c r="B305" i="1"/>
  <c r="A305" i="1"/>
  <c r="CC304" i="1"/>
  <c r="CB304" i="1"/>
  <c r="CA304" i="1"/>
  <c r="BZ304" i="1"/>
  <c r="BY304" i="1"/>
  <c r="BX304" i="1"/>
  <c r="BW304" i="1"/>
  <c r="BV304" i="1"/>
  <c r="BU304" i="1"/>
  <c r="BT304" i="1"/>
  <c r="BS304" i="1"/>
  <c r="BR304" i="1"/>
  <c r="BQ304" i="1"/>
  <c r="BP304" i="1"/>
  <c r="BO304" i="1"/>
  <c r="BN304" i="1"/>
  <c r="BM304" i="1"/>
  <c r="BL304" i="1"/>
  <c r="BK304" i="1"/>
  <c r="BJ304" i="1"/>
  <c r="BI304" i="1"/>
  <c r="BH304" i="1"/>
  <c r="BG304" i="1"/>
  <c r="AT304" i="1"/>
  <c r="AM304" i="1"/>
  <c r="I304" i="1"/>
  <c r="AU304" i="1" s="1"/>
  <c r="C304" i="1"/>
  <c r="B304" i="1"/>
  <c r="A304" i="1"/>
  <c r="CC303" i="1"/>
  <c r="CB303" i="1"/>
  <c r="CA303" i="1"/>
  <c r="BZ303" i="1"/>
  <c r="BY303" i="1"/>
  <c r="BX303" i="1"/>
  <c r="BW303" i="1"/>
  <c r="BV303" i="1"/>
  <c r="BU303" i="1"/>
  <c r="BT303" i="1"/>
  <c r="BS303" i="1"/>
  <c r="BR303" i="1"/>
  <c r="BQ303" i="1"/>
  <c r="BP303" i="1"/>
  <c r="BO303" i="1"/>
  <c r="BN303" i="1"/>
  <c r="BM303" i="1"/>
  <c r="BL303" i="1"/>
  <c r="BK303" i="1"/>
  <c r="BJ303" i="1"/>
  <c r="BI303" i="1"/>
  <c r="BH303" i="1"/>
  <c r="BG303" i="1"/>
  <c r="AT303" i="1"/>
  <c r="AM303" i="1"/>
  <c r="AY303" i="1" s="1"/>
  <c r="I303" i="1"/>
  <c r="C303" i="1"/>
  <c r="B303" i="1"/>
  <c r="A303" i="1"/>
  <c r="CC302" i="1"/>
  <c r="CB302" i="1"/>
  <c r="CA302" i="1"/>
  <c r="BZ302" i="1"/>
  <c r="BY302" i="1"/>
  <c r="BX302" i="1"/>
  <c r="BW302" i="1"/>
  <c r="BV302" i="1"/>
  <c r="BU302" i="1"/>
  <c r="BT302" i="1"/>
  <c r="BS302" i="1"/>
  <c r="BR302" i="1"/>
  <c r="BQ302" i="1"/>
  <c r="BP302" i="1"/>
  <c r="BO302" i="1"/>
  <c r="BN302" i="1"/>
  <c r="BM302" i="1"/>
  <c r="BL302" i="1"/>
  <c r="BK302" i="1"/>
  <c r="BJ302" i="1"/>
  <c r="BI302" i="1"/>
  <c r="BH302" i="1"/>
  <c r="BG302" i="1"/>
  <c r="AT302" i="1"/>
  <c r="AM302" i="1"/>
  <c r="I302" i="1"/>
  <c r="AU302" i="1" s="1"/>
  <c r="C302" i="1"/>
  <c r="B302" i="1"/>
  <c r="A302" i="1"/>
  <c r="CB301" i="1"/>
  <c r="CA301" i="1"/>
  <c r="BZ301" i="1"/>
  <c r="BY301" i="1"/>
  <c r="BX301" i="1"/>
  <c r="BW301" i="1"/>
  <c r="BV301" i="1"/>
  <c r="BU301" i="1"/>
  <c r="BT301" i="1"/>
  <c r="BS301" i="1"/>
  <c r="BR301" i="1"/>
  <c r="BQ301" i="1"/>
  <c r="BP301" i="1"/>
  <c r="BO301" i="1"/>
  <c r="BN301" i="1"/>
  <c r="BM301" i="1"/>
  <c r="BL301" i="1"/>
  <c r="BK301" i="1"/>
  <c r="BJ301" i="1"/>
  <c r="BI301" i="1"/>
  <c r="BH301" i="1"/>
  <c r="BG301" i="1"/>
  <c r="AT301" i="1"/>
  <c r="AG301" i="1"/>
  <c r="I301" i="1"/>
  <c r="CD301" i="1" s="1"/>
  <c r="C301" i="1"/>
  <c r="B301" i="1"/>
  <c r="A301" i="1"/>
  <c r="CC300" i="1"/>
  <c r="CB300" i="1"/>
  <c r="CA300" i="1"/>
  <c r="BZ300" i="1"/>
  <c r="BY300" i="1"/>
  <c r="BX300" i="1"/>
  <c r="BW300" i="1"/>
  <c r="BV300" i="1"/>
  <c r="BU300" i="1"/>
  <c r="BT300" i="1"/>
  <c r="BS300" i="1"/>
  <c r="BR300" i="1"/>
  <c r="BQ300" i="1"/>
  <c r="BP300" i="1"/>
  <c r="BO300" i="1"/>
  <c r="BN300" i="1"/>
  <c r="BM300" i="1"/>
  <c r="BL300" i="1"/>
  <c r="BK300" i="1"/>
  <c r="BJ300" i="1"/>
  <c r="BI300" i="1"/>
  <c r="BH300" i="1"/>
  <c r="BG300" i="1"/>
  <c r="AT300" i="1"/>
  <c r="AM300" i="1"/>
  <c r="AW300" i="1" s="1"/>
  <c r="I300" i="1"/>
  <c r="AU300" i="1" s="1"/>
  <c r="C300" i="1"/>
  <c r="B300" i="1"/>
  <c r="A300" i="1"/>
  <c r="CC299" i="1"/>
  <c r="CB299" i="1"/>
  <c r="CA299" i="1"/>
  <c r="BZ299" i="1"/>
  <c r="BY299" i="1"/>
  <c r="BX299" i="1"/>
  <c r="BW299" i="1"/>
  <c r="BV299" i="1"/>
  <c r="BU299" i="1"/>
  <c r="BT299" i="1"/>
  <c r="BS299" i="1"/>
  <c r="BR299" i="1"/>
  <c r="BQ299" i="1"/>
  <c r="BP299" i="1"/>
  <c r="BO299" i="1"/>
  <c r="BN299" i="1"/>
  <c r="BM299" i="1"/>
  <c r="BL299" i="1"/>
  <c r="BK299" i="1"/>
  <c r="BJ299" i="1"/>
  <c r="BI299" i="1"/>
  <c r="BH299" i="1"/>
  <c r="BG299" i="1"/>
  <c r="AT299" i="1"/>
  <c r="AM299" i="1"/>
  <c r="AW299" i="1" s="1"/>
  <c r="I299" i="1"/>
  <c r="AU299" i="1" s="1"/>
  <c r="C299" i="1"/>
  <c r="B299" i="1"/>
  <c r="A299" i="1"/>
  <c r="CC298" i="1"/>
  <c r="CB298" i="1"/>
  <c r="CA298" i="1"/>
  <c r="BZ298" i="1"/>
  <c r="BY298" i="1"/>
  <c r="BX298" i="1"/>
  <c r="BW298" i="1"/>
  <c r="BV298" i="1"/>
  <c r="BU298" i="1"/>
  <c r="BT298" i="1"/>
  <c r="BS298" i="1"/>
  <c r="BR298" i="1"/>
  <c r="BQ298" i="1"/>
  <c r="BP298" i="1"/>
  <c r="BO298" i="1"/>
  <c r="BN298" i="1"/>
  <c r="BM298" i="1"/>
  <c r="BL298" i="1"/>
  <c r="BK298" i="1"/>
  <c r="BJ298" i="1"/>
  <c r="BI298" i="1"/>
  <c r="BH298" i="1"/>
  <c r="BG298" i="1"/>
  <c r="AT298" i="1"/>
  <c r="AM298" i="1"/>
  <c r="AW298" i="1" s="1"/>
  <c r="I298" i="1"/>
  <c r="AU298" i="1" s="1"/>
  <c r="C298" i="1"/>
  <c r="B298" i="1"/>
  <c r="A298" i="1"/>
  <c r="CC297" i="1"/>
  <c r="CB297" i="1"/>
  <c r="CA297" i="1"/>
  <c r="BZ297" i="1"/>
  <c r="BY297" i="1"/>
  <c r="BX297" i="1"/>
  <c r="BW297" i="1"/>
  <c r="BV297" i="1"/>
  <c r="BU297" i="1"/>
  <c r="BT297" i="1"/>
  <c r="BS297" i="1"/>
  <c r="BR297" i="1"/>
  <c r="BQ297" i="1"/>
  <c r="BP297" i="1"/>
  <c r="BO297" i="1"/>
  <c r="BN297" i="1"/>
  <c r="BM297" i="1"/>
  <c r="BL297" i="1"/>
  <c r="BK297" i="1"/>
  <c r="BJ297" i="1"/>
  <c r="BI297" i="1"/>
  <c r="BH297" i="1"/>
  <c r="BG297" i="1"/>
  <c r="AT297" i="1"/>
  <c r="AM297" i="1"/>
  <c r="AW297" i="1" s="1"/>
  <c r="I297" i="1"/>
  <c r="AU297" i="1" s="1"/>
  <c r="C297" i="1"/>
  <c r="B297" i="1"/>
  <c r="A297" i="1"/>
  <c r="CC296" i="1"/>
  <c r="CB296" i="1"/>
  <c r="CA296" i="1"/>
  <c r="BZ296" i="1"/>
  <c r="BY296" i="1"/>
  <c r="BX296" i="1"/>
  <c r="BW296" i="1"/>
  <c r="BV296" i="1"/>
  <c r="BU296" i="1"/>
  <c r="BT296" i="1"/>
  <c r="BS296" i="1"/>
  <c r="BR296" i="1"/>
  <c r="BQ296" i="1"/>
  <c r="BP296" i="1"/>
  <c r="BO296" i="1"/>
  <c r="BN296" i="1"/>
  <c r="BM296" i="1"/>
  <c r="BL296" i="1"/>
  <c r="BK296" i="1"/>
  <c r="BJ296" i="1"/>
  <c r="BI296" i="1"/>
  <c r="BH296" i="1"/>
  <c r="BG296" i="1"/>
  <c r="AT296" i="1"/>
  <c r="AM296" i="1"/>
  <c r="AW296" i="1" s="1"/>
  <c r="I296" i="1"/>
  <c r="AU296" i="1" s="1"/>
  <c r="C296" i="1"/>
  <c r="B296" i="1"/>
  <c r="A296" i="1"/>
  <c r="CC295" i="1"/>
  <c r="CB295" i="1"/>
  <c r="CA295" i="1"/>
  <c r="BZ295" i="1"/>
  <c r="BY295" i="1"/>
  <c r="BX295" i="1"/>
  <c r="BW295" i="1"/>
  <c r="BV295" i="1"/>
  <c r="BU295" i="1"/>
  <c r="BT295" i="1"/>
  <c r="BS295" i="1"/>
  <c r="BR295" i="1"/>
  <c r="BQ295" i="1"/>
  <c r="BP295" i="1"/>
  <c r="BO295" i="1"/>
  <c r="BN295" i="1"/>
  <c r="BM295" i="1"/>
  <c r="BL295" i="1"/>
  <c r="BK295" i="1"/>
  <c r="BJ295" i="1"/>
  <c r="BI295" i="1"/>
  <c r="BH295" i="1"/>
  <c r="BG295" i="1"/>
  <c r="AT295" i="1"/>
  <c r="AM295" i="1"/>
  <c r="AW295" i="1" s="1"/>
  <c r="I295" i="1"/>
  <c r="AU295" i="1" s="1"/>
  <c r="C295" i="1"/>
  <c r="B295" i="1"/>
  <c r="A295" i="1"/>
  <c r="CC294" i="1"/>
  <c r="CB294" i="1"/>
  <c r="CA294" i="1"/>
  <c r="BZ294" i="1"/>
  <c r="BY294" i="1"/>
  <c r="BX294" i="1"/>
  <c r="BW294" i="1"/>
  <c r="BV294" i="1"/>
  <c r="BU294" i="1"/>
  <c r="BT294" i="1"/>
  <c r="BS294" i="1"/>
  <c r="BR294" i="1"/>
  <c r="BQ294" i="1"/>
  <c r="BP294" i="1"/>
  <c r="BO294" i="1"/>
  <c r="BN294" i="1"/>
  <c r="BM294" i="1"/>
  <c r="BL294" i="1"/>
  <c r="BK294" i="1"/>
  <c r="BJ294" i="1"/>
  <c r="BI294" i="1"/>
  <c r="BH294" i="1"/>
  <c r="BG294" i="1"/>
  <c r="AT294" i="1"/>
  <c r="AM294" i="1"/>
  <c r="AW294" i="1" s="1"/>
  <c r="I294" i="1"/>
  <c r="AU294" i="1" s="1"/>
  <c r="C294" i="1"/>
  <c r="B294" i="1"/>
  <c r="A294" i="1"/>
  <c r="CC293" i="1"/>
  <c r="CB293" i="1"/>
  <c r="CA293" i="1"/>
  <c r="BZ293" i="1"/>
  <c r="BY293" i="1"/>
  <c r="BX293" i="1"/>
  <c r="BW293" i="1"/>
  <c r="BV293" i="1"/>
  <c r="BU293" i="1"/>
  <c r="BT293" i="1"/>
  <c r="BS293" i="1"/>
  <c r="BR293" i="1"/>
  <c r="BQ293" i="1"/>
  <c r="BP293" i="1"/>
  <c r="BO293" i="1"/>
  <c r="BN293" i="1"/>
  <c r="BM293" i="1"/>
  <c r="BL293" i="1"/>
  <c r="BK293" i="1"/>
  <c r="BJ293" i="1"/>
  <c r="BI293" i="1"/>
  <c r="BH293" i="1"/>
  <c r="BG293" i="1"/>
  <c r="AT293" i="1"/>
  <c r="AM293" i="1"/>
  <c r="AW293" i="1" s="1"/>
  <c r="I293" i="1"/>
  <c r="C293" i="1"/>
  <c r="B293" i="1"/>
  <c r="A293" i="1"/>
  <c r="CC292" i="1"/>
  <c r="CB292" i="1"/>
  <c r="CA292" i="1"/>
  <c r="BZ292" i="1"/>
  <c r="BY292" i="1"/>
  <c r="BX292" i="1"/>
  <c r="BW292" i="1"/>
  <c r="BV292" i="1"/>
  <c r="BU292" i="1"/>
  <c r="BT292" i="1"/>
  <c r="BS292" i="1"/>
  <c r="BR292" i="1"/>
  <c r="BQ292" i="1"/>
  <c r="BP292" i="1"/>
  <c r="BO292" i="1"/>
  <c r="BN292" i="1"/>
  <c r="BM292" i="1"/>
  <c r="BL292" i="1"/>
  <c r="BK292" i="1"/>
  <c r="BJ292" i="1"/>
  <c r="BI292" i="1"/>
  <c r="BH292" i="1"/>
  <c r="BG292" i="1"/>
  <c r="AT292" i="1"/>
  <c r="AM292" i="1"/>
  <c r="I292" i="1"/>
  <c r="C292" i="1"/>
  <c r="B292" i="1"/>
  <c r="A292" i="1"/>
  <c r="CC291" i="1"/>
  <c r="CB291" i="1"/>
  <c r="CA291" i="1"/>
  <c r="BZ291" i="1"/>
  <c r="BY291" i="1"/>
  <c r="BX291" i="1"/>
  <c r="BW291" i="1"/>
  <c r="BV291" i="1"/>
  <c r="BU291" i="1"/>
  <c r="BT291" i="1"/>
  <c r="BS291" i="1"/>
  <c r="BR291" i="1"/>
  <c r="BQ291" i="1"/>
  <c r="BP291" i="1"/>
  <c r="BO291" i="1"/>
  <c r="BN291" i="1"/>
  <c r="BM291" i="1"/>
  <c r="BL291" i="1"/>
  <c r="BK291" i="1"/>
  <c r="BJ291" i="1"/>
  <c r="BI291" i="1"/>
  <c r="BH291" i="1"/>
  <c r="BG291" i="1"/>
  <c r="AT291" i="1"/>
  <c r="AM291" i="1"/>
  <c r="AW291" i="1" s="1"/>
  <c r="I291" i="1"/>
  <c r="C291" i="1"/>
  <c r="B291" i="1"/>
  <c r="A291" i="1"/>
  <c r="CC290" i="1"/>
  <c r="CB290" i="1"/>
  <c r="CA290" i="1"/>
  <c r="BZ290" i="1"/>
  <c r="BY290" i="1"/>
  <c r="BX290" i="1"/>
  <c r="BW290" i="1"/>
  <c r="BV290" i="1"/>
  <c r="BU290" i="1"/>
  <c r="BT290" i="1"/>
  <c r="BS290" i="1"/>
  <c r="BR290" i="1"/>
  <c r="BQ290" i="1"/>
  <c r="BP290" i="1"/>
  <c r="BO290" i="1"/>
  <c r="BN290" i="1"/>
  <c r="BM290" i="1"/>
  <c r="BL290" i="1"/>
  <c r="BK290" i="1"/>
  <c r="BJ290" i="1"/>
  <c r="BI290" i="1"/>
  <c r="BH290" i="1"/>
  <c r="BG290" i="1"/>
  <c r="AT290" i="1"/>
  <c r="AM290" i="1"/>
  <c r="AW290" i="1" s="1"/>
  <c r="I290" i="1"/>
  <c r="AU290" i="1" s="1"/>
  <c r="C290" i="1"/>
  <c r="B290" i="1"/>
  <c r="A290" i="1"/>
  <c r="CC289" i="1"/>
  <c r="CB289" i="1"/>
  <c r="CA289" i="1"/>
  <c r="BZ289" i="1"/>
  <c r="BY289" i="1"/>
  <c r="BX289" i="1"/>
  <c r="BW289" i="1"/>
  <c r="BV289" i="1"/>
  <c r="BU289" i="1"/>
  <c r="BT289" i="1"/>
  <c r="BS289" i="1"/>
  <c r="BR289" i="1"/>
  <c r="BQ289" i="1"/>
  <c r="BP289" i="1"/>
  <c r="BO289" i="1"/>
  <c r="BN289" i="1"/>
  <c r="BM289" i="1"/>
  <c r="BL289" i="1"/>
  <c r="BK289" i="1"/>
  <c r="BJ289" i="1"/>
  <c r="BI289" i="1"/>
  <c r="BH289" i="1"/>
  <c r="BG289" i="1"/>
  <c r="AT289" i="1"/>
  <c r="AM289" i="1"/>
  <c r="AW289" i="1" s="1"/>
  <c r="I289" i="1"/>
  <c r="AU289" i="1" s="1"/>
  <c r="C289" i="1"/>
  <c r="B289" i="1"/>
  <c r="A289" i="1"/>
  <c r="CC288" i="1"/>
  <c r="CB288" i="1"/>
  <c r="CA288" i="1"/>
  <c r="BZ288" i="1"/>
  <c r="BY288" i="1"/>
  <c r="BX288" i="1"/>
  <c r="BW288" i="1"/>
  <c r="BV288" i="1"/>
  <c r="BU288" i="1"/>
  <c r="BT288" i="1"/>
  <c r="BS288" i="1"/>
  <c r="BR288" i="1"/>
  <c r="BQ288" i="1"/>
  <c r="BP288" i="1"/>
  <c r="BO288" i="1"/>
  <c r="BN288" i="1"/>
  <c r="BM288" i="1"/>
  <c r="BL288" i="1"/>
  <c r="BK288" i="1"/>
  <c r="BJ288" i="1"/>
  <c r="BI288" i="1"/>
  <c r="BH288" i="1"/>
  <c r="BG288" i="1"/>
  <c r="AT288" i="1"/>
  <c r="AM288" i="1"/>
  <c r="I288" i="1"/>
  <c r="C288" i="1"/>
  <c r="B288" i="1"/>
  <c r="A288" i="1"/>
  <c r="CC287" i="1"/>
  <c r="CB287" i="1"/>
  <c r="CA287" i="1"/>
  <c r="BZ287" i="1"/>
  <c r="BY287" i="1"/>
  <c r="BX287" i="1"/>
  <c r="BW287" i="1"/>
  <c r="BV287" i="1"/>
  <c r="BU287" i="1"/>
  <c r="BT287" i="1"/>
  <c r="BS287" i="1"/>
  <c r="BR287" i="1"/>
  <c r="BQ287" i="1"/>
  <c r="BP287" i="1"/>
  <c r="BO287" i="1"/>
  <c r="BN287" i="1"/>
  <c r="BM287" i="1"/>
  <c r="BL287" i="1"/>
  <c r="BK287" i="1"/>
  <c r="BJ287" i="1"/>
  <c r="BI287" i="1"/>
  <c r="BH287" i="1"/>
  <c r="BG287" i="1"/>
  <c r="AT287" i="1"/>
  <c r="AM287" i="1"/>
  <c r="AW287" i="1" s="1"/>
  <c r="I287" i="1"/>
  <c r="AU287" i="1" s="1"/>
  <c r="C287" i="1"/>
  <c r="B287" i="1"/>
  <c r="A287" i="1"/>
  <c r="CC286" i="1"/>
  <c r="CB286" i="1"/>
  <c r="CA286" i="1"/>
  <c r="BZ286" i="1"/>
  <c r="BY286" i="1"/>
  <c r="BX286" i="1"/>
  <c r="BW286" i="1"/>
  <c r="BV286" i="1"/>
  <c r="BU286" i="1"/>
  <c r="BT286" i="1"/>
  <c r="BS286" i="1"/>
  <c r="BR286" i="1"/>
  <c r="BQ286" i="1"/>
  <c r="BP286" i="1"/>
  <c r="BO286" i="1"/>
  <c r="BN286" i="1"/>
  <c r="BM286" i="1"/>
  <c r="BL286" i="1"/>
  <c r="BK286" i="1"/>
  <c r="BJ286" i="1"/>
  <c r="BI286" i="1"/>
  <c r="BH286" i="1"/>
  <c r="BG286" i="1"/>
  <c r="AT286" i="1"/>
  <c r="AM286" i="1"/>
  <c r="AW286" i="1" s="1"/>
  <c r="I286" i="1"/>
  <c r="AU286" i="1" s="1"/>
  <c r="C286" i="1"/>
  <c r="B286" i="1"/>
  <c r="A286" i="1"/>
  <c r="CC285" i="1"/>
  <c r="CB285" i="1"/>
  <c r="CA285" i="1"/>
  <c r="BZ285" i="1"/>
  <c r="BY285" i="1"/>
  <c r="BX285" i="1"/>
  <c r="BW285" i="1"/>
  <c r="BV285" i="1"/>
  <c r="BU285" i="1"/>
  <c r="BT285" i="1"/>
  <c r="BS285" i="1"/>
  <c r="BR285" i="1"/>
  <c r="BQ285" i="1"/>
  <c r="BP285" i="1"/>
  <c r="BO285" i="1"/>
  <c r="BN285" i="1"/>
  <c r="BM285" i="1"/>
  <c r="BL285" i="1"/>
  <c r="BK285" i="1"/>
  <c r="BJ285" i="1"/>
  <c r="BI285" i="1"/>
  <c r="BH285" i="1"/>
  <c r="BG285" i="1"/>
  <c r="AT285" i="1"/>
  <c r="AM285" i="1"/>
  <c r="AW285" i="1" s="1"/>
  <c r="I285" i="1"/>
  <c r="C285" i="1"/>
  <c r="B285" i="1"/>
  <c r="A285" i="1"/>
  <c r="CC284" i="1"/>
  <c r="CB284" i="1"/>
  <c r="CA284" i="1"/>
  <c r="BZ284" i="1"/>
  <c r="BY284" i="1"/>
  <c r="BX284" i="1"/>
  <c r="BW284" i="1"/>
  <c r="BV284" i="1"/>
  <c r="BU284" i="1"/>
  <c r="BT284" i="1"/>
  <c r="BS284" i="1"/>
  <c r="BR284" i="1"/>
  <c r="BQ284" i="1"/>
  <c r="BP284" i="1"/>
  <c r="BO284" i="1"/>
  <c r="BN284" i="1"/>
  <c r="BM284" i="1"/>
  <c r="BL284" i="1"/>
  <c r="BK284" i="1"/>
  <c r="BJ284" i="1"/>
  <c r="BI284" i="1"/>
  <c r="BH284" i="1"/>
  <c r="BG284" i="1"/>
  <c r="AT284" i="1"/>
  <c r="AM284" i="1"/>
  <c r="I284" i="1"/>
  <c r="C284" i="1"/>
  <c r="B284" i="1"/>
  <c r="A284" i="1"/>
  <c r="CC283" i="1"/>
  <c r="CB283" i="1"/>
  <c r="CA283" i="1"/>
  <c r="BZ283" i="1"/>
  <c r="BY283" i="1"/>
  <c r="BX283" i="1"/>
  <c r="BW283" i="1"/>
  <c r="BV283" i="1"/>
  <c r="BU283" i="1"/>
  <c r="BT283" i="1"/>
  <c r="BS283" i="1"/>
  <c r="BR283" i="1"/>
  <c r="BQ283" i="1"/>
  <c r="BP283" i="1"/>
  <c r="BO283" i="1"/>
  <c r="BN283" i="1"/>
  <c r="BM283" i="1"/>
  <c r="BL283" i="1"/>
  <c r="BK283" i="1"/>
  <c r="BJ283" i="1"/>
  <c r="BI283" i="1"/>
  <c r="BH283" i="1"/>
  <c r="BG283" i="1"/>
  <c r="AT283" i="1"/>
  <c r="AM283" i="1"/>
  <c r="AW283" i="1" s="1"/>
  <c r="I283" i="1"/>
  <c r="C283" i="1"/>
  <c r="B283" i="1"/>
  <c r="A283" i="1"/>
  <c r="CC282" i="1"/>
  <c r="CB282" i="1"/>
  <c r="CA282" i="1"/>
  <c r="BZ282" i="1"/>
  <c r="BY282" i="1"/>
  <c r="BX282" i="1"/>
  <c r="BW282" i="1"/>
  <c r="BV282" i="1"/>
  <c r="BU282" i="1"/>
  <c r="BT282" i="1"/>
  <c r="BS282" i="1"/>
  <c r="BR282" i="1"/>
  <c r="BQ282" i="1"/>
  <c r="BP282" i="1"/>
  <c r="BO282" i="1"/>
  <c r="BN282" i="1"/>
  <c r="BM282" i="1"/>
  <c r="BL282" i="1"/>
  <c r="BK282" i="1"/>
  <c r="BJ282" i="1"/>
  <c r="BI282" i="1"/>
  <c r="BH282" i="1"/>
  <c r="BG282" i="1"/>
  <c r="AT282" i="1"/>
  <c r="AM282" i="1"/>
  <c r="AW282" i="1" s="1"/>
  <c r="I282" i="1"/>
  <c r="AU282" i="1" s="1"/>
  <c r="C282" i="1"/>
  <c r="B282" i="1"/>
  <c r="A282" i="1"/>
  <c r="CC281" i="1"/>
  <c r="CB281" i="1"/>
  <c r="CA281" i="1"/>
  <c r="BZ281" i="1"/>
  <c r="BY281" i="1"/>
  <c r="BX281" i="1"/>
  <c r="BW281" i="1"/>
  <c r="BV281" i="1"/>
  <c r="BU281" i="1"/>
  <c r="BT281" i="1"/>
  <c r="BS281" i="1"/>
  <c r="BR281" i="1"/>
  <c r="BQ281" i="1"/>
  <c r="BP281" i="1"/>
  <c r="BO281" i="1"/>
  <c r="BN281" i="1"/>
  <c r="BM281" i="1"/>
  <c r="BL281" i="1"/>
  <c r="BK281" i="1"/>
  <c r="BJ281" i="1"/>
  <c r="BI281" i="1"/>
  <c r="BH281" i="1"/>
  <c r="BG281" i="1"/>
  <c r="AT281" i="1"/>
  <c r="AM281" i="1"/>
  <c r="AW281" i="1" s="1"/>
  <c r="I281" i="1"/>
  <c r="C281" i="1"/>
  <c r="B281" i="1"/>
  <c r="A281" i="1"/>
  <c r="CC280" i="1"/>
  <c r="CB280" i="1"/>
  <c r="CA280" i="1"/>
  <c r="BZ280" i="1"/>
  <c r="BY280" i="1"/>
  <c r="BX280" i="1"/>
  <c r="BW280" i="1"/>
  <c r="BV280" i="1"/>
  <c r="BU280" i="1"/>
  <c r="BT280" i="1"/>
  <c r="BS280" i="1"/>
  <c r="BR280" i="1"/>
  <c r="BQ280" i="1"/>
  <c r="BP280" i="1"/>
  <c r="BO280" i="1"/>
  <c r="BN280" i="1"/>
  <c r="BM280" i="1"/>
  <c r="BL280" i="1"/>
  <c r="BK280" i="1"/>
  <c r="BJ280" i="1"/>
  <c r="BI280" i="1"/>
  <c r="BH280" i="1"/>
  <c r="BG280" i="1"/>
  <c r="AT280" i="1"/>
  <c r="AM280" i="1"/>
  <c r="I280" i="1"/>
  <c r="AU280" i="1" s="1"/>
  <c r="C280" i="1"/>
  <c r="B280" i="1"/>
  <c r="A280" i="1"/>
  <c r="CC279" i="1"/>
  <c r="CB279" i="1"/>
  <c r="CA279" i="1"/>
  <c r="BZ279" i="1"/>
  <c r="BY279" i="1"/>
  <c r="BX279" i="1"/>
  <c r="BW279" i="1"/>
  <c r="BV279" i="1"/>
  <c r="BU279" i="1"/>
  <c r="BT279" i="1"/>
  <c r="BS279" i="1"/>
  <c r="BR279" i="1"/>
  <c r="BQ279" i="1"/>
  <c r="BP279" i="1"/>
  <c r="BO279" i="1"/>
  <c r="BN279" i="1"/>
  <c r="BM279" i="1"/>
  <c r="BL279" i="1"/>
  <c r="BK279" i="1"/>
  <c r="BJ279" i="1"/>
  <c r="BI279" i="1"/>
  <c r="BH279" i="1"/>
  <c r="BG279" i="1"/>
  <c r="AT279" i="1"/>
  <c r="AM279" i="1"/>
  <c r="AW279" i="1" s="1"/>
  <c r="I279" i="1"/>
  <c r="AU279" i="1" s="1"/>
  <c r="C279" i="1"/>
  <c r="B279" i="1"/>
  <c r="A279" i="1"/>
  <c r="CC278" i="1"/>
  <c r="CB278" i="1"/>
  <c r="CA278" i="1"/>
  <c r="BZ278" i="1"/>
  <c r="BY278" i="1"/>
  <c r="BX278" i="1"/>
  <c r="BW278" i="1"/>
  <c r="BV278" i="1"/>
  <c r="BU278" i="1"/>
  <c r="BT278" i="1"/>
  <c r="BS278" i="1"/>
  <c r="BR278" i="1"/>
  <c r="BQ278" i="1"/>
  <c r="BP278" i="1"/>
  <c r="BO278" i="1"/>
  <c r="BN278" i="1"/>
  <c r="BM278" i="1"/>
  <c r="BL278" i="1"/>
  <c r="BK278" i="1"/>
  <c r="BJ278" i="1"/>
  <c r="BI278" i="1"/>
  <c r="BH278" i="1"/>
  <c r="BG278" i="1"/>
  <c r="AT278" i="1"/>
  <c r="AM278" i="1"/>
  <c r="AW278" i="1" s="1"/>
  <c r="I278" i="1"/>
  <c r="AU278" i="1" s="1"/>
  <c r="C278" i="1"/>
  <c r="B278" i="1"/>
  <c r="A278" i="1"/>
  <c r="CC277" i="1"/>
  <c r="CB277" i="1"/>
  <c r="CA277" i="1"/>
  <c r="BZ277" i="1"/>
  <c r="BY277" i="1"/>
  <c r="BX277" i="1"/>
  <c r="BW277" i="1"/>
  <c r="BV277" i="1"/>
  <c r="BU277" i="1"/>
  <c r="BT277" i="1"/>
  <c r="BS277" i="1"/>
  <c r="BR277" i="1"/>
  <c r="BQ277" i="1"/>
  <c r="BP277" i="1"/>
  <c r="BO277" i="1"/>
  <c r="BN277" i="1"/>
  <c r="BM277" i="1"/>
  <c r="BL277" i="1"/>
  <c r="BK277" i="1"/>
  <c r="BJ277" i="1"/>
  <c r="BI277" i="1"/>
  <c r="BH277" i="1"/>
  <c r="BG277" i="1"/>
  <c r="AT277" i="1"/>
  <c r="AM277" i="1"/>
  <c r="I277" i="1"/>
  <c r="CC276" i="1"/>
  <c r="CB276" i="1"/>
  <c r="CA276" i="1"/>
  <c r="BZ276" i="1"/>
  <c r="BY276" i="1"/>
  <c r="BX276" i="1"/>
  <c r="BW276" i="1"/>
  <c r="BV276" i="1"/>
  <c r="BU276" i="1"/>
  <c r="BT276" i="1"/>
  <c r="BS276" i="1"/>
  <c r="BR276" i="1"/>
  <c r="BQ276" i="1"/>
  <c r="BP276" i="1"/>
  <c r="BO276" i="1"/>
  <c r="BN276" i="1"/>
  <c r="BM276" i="1"/>
  <c r="BL276" i="1"/>
  <c r="BK276" i="1"/>
  <c r="BJ276" i="1"/>
  <c r="BI276" i="1"/>
  <c r="BH276" i="1"/>
  <c r="BG276" i="1"/>
  <c r="AT276" i="1"/>
  <c r="AM276" i="1"/>
  <c r="I276" i="1"/>
  <c r="CC275" i="1"/>
  <c r="CB275" i="1"/>
  <c r="CA275" i="1"/>
  <c r="BZ275" i="1"/>
  <c r="BY275" i="1"/>
  <c r="BX275" i="1"/>
  <c r="BW275" i="1"/>
  <c r="BV275" i="1"/>
  <c r="BU275" i="1"/>
  <c r="BT275" i="1"/>
  <c r="BS275" i="1"/>
  <c r="BR275" i="1"/>
  <c r="BQ275" i="1"/>
  <c r="BP275" i="1"/>
  <c r="BO275" i="1"/>
  <c r="BN275" i="1"/>
  <c r="BM275" i="1"/>
  <c r="BL275" i="1"/>
  <c r="BK275" i="1"/>
  <c r="BJ275" i="1"/>
  <c r="BI275" i="1"/>
  <c r="BH275" i="1"/>
  <c r="BG275" i="1"/>
  <c r="AT275" i="1"/>
  <c r="AM275" i="1"/>
  <c r="AZ275" i="1" s="1"/>
  <c r="I275" i="1"/>
  <c r="CC274" i="1"/>
  <c r="CB274" i="1"/>
  <c r="CA274" i="1"/>
  <c r="BZ274" i="1"/>
  <c r="BY274" i="1"/>
  <c r="BX274" i="1"/>
  <c r="BW274" i="1"/>
  <c r="BV274" i="1"/>
  <c r="BU274" i="1"/>
  <c r="BT274" i="1"/>
  <c r="BS274" i="1"/>
  <c r="BR274" i="1"/>
  <c r="BQ274" i="1"/>
  <c r="BP274" i="1"/>
  <c r="BO274" i="1"/>
  <c r="BN274" i="1"/>
  <c r="BM274" i="1"/>
  <c r="BL274" i="1"/>
  <c r="BK274" i="1"/>
  <c r="BJ274" i="1"/>
  <c r="BI274" i="1"/>
  <c r="BH274" i="1"/>
  <c r="BG274" i="1"/>
  <c r="AT274" i="1"/>
  <c r="AM274" i="1"/>
  <c r="I274" i="1"/>
  <c r="CC273" i="1"/>
  <c r="CB273" i="1"/>
  <c r="CA273" i="1"/>
  <c r="BZ273" i="1"/>
  <c r="BY273" i="1"/>
  <c r="BX273" i="1"/>
  <c r="BW273" i="1"/>
  <c r="BV273" i="1"/>
  <c r="BU273" i="1"/>
  <c r="BT273" i="1"/>
  <c r="BS273" i="1"/>
  <c r="BR273" i="1"/>
  <c r="BQ273" i="1"/>
  <c r="BP273" i="1"/>
  <c r="BO273" i="1"/>
  <c r="BN273" i="1"/>
  <c r="BM273" i="1"/>
  <c r="BL273" i="1"/>
  <c r="BK273" i="1"/>
  <c r="BJ273" i="1"/>
  <c r="BI273" i="1"/>
  <c r="BH273" i="1"/>
  <c r="BG273" i="1"/>
  <c r="AT273" i="1"/>
  <c r="AM273" i="1"/>
  <c r="AW273" i="1" s="1"/>
  <c r="I273" i="1"/>
  <c r="CC272" i="1"/>
  <c r="CB272" i="1"/>
  <c r="CA272" i="1"/>
  <c r="BZ272" i="1"/>
  <c r="BY272" i="1"/>
  <c r="BX272" i="1"/>
  <c r="BW272" i="1"/>
  <c r="BV272" i="1"/>
  <c r="BU272" i="1"/>
  <c r="BT272" i="1"/>
  <c r="BS272" i="1"/>
  <c r="BR272" i="1"/>
  <c r="BQ272" i="1"/>
  <c r="BP272" i="1"/>
  <c r="BO272" i="1"/>
  <c r="BN272" i="1"/>
  <c r="BM272" i="1"/>
  <c r="BL272" i="1"/>
  <c r="BK272" i="1"/>
  <c r="BJ272" i="1"/>
  <c r="BI272" i="1"/>
  <c r="BH272" i="1"/>
  <c r="BG272" i="1"/>
  <c r="AT272" i="1"/>
  <c r="AM272" i="1"/>
  <c r="I272" i="1"/>
  <c r="AU272" i="1" s="1"/>
  <c r="CC271" i="1"/>
  <c r="CB271" i="1"/>
  <c r="CA271" i="1"/>
  <c r="BZ271" i="1"/>
  <c r="BY271" i="1"/>
  <c r="BX271" i="1"/>
  <c r="BW271" i="1"/>
  <c r="BV271" i="1"/>
  <c r="BU271" i="1"/>
  <c r="BT271" i="1"/>
  <c r="BS271" i="1"/>
  <c r="BR271" i="1"/>
  <c r="BQ271" i="1"/>
  <c r="BP271" i="1"/>
  <c r="BO271" i="1"/>
  <c r="BN271" i="1"/>
  <c r="BM271" i="1"/>
  <c r="BL271" i="1"/>
  <c r="BK271" i="1"/>
  <c r="BJ271" i="1"/>
  <c r="BI271" i="1"/>
  <c r="BH271" i="1"/>
  <c r="BG271" i="1"/>
  <c r="AT271" i="1"/>
  <c r="AM271" i="1"/>
  <c r="I271" i="1"/>
  <c r="AU271" i="1" s="1"/>
  <c r="CC270" i="1"/>
  <c r="CB270" i="1"/>
  <c r="CA270" i="1"/>
  <c r="BZ270" i="1"/>
  <c r="BY270" i="1"/>
  <c r="BX270" i="1"/>
  <c r="BW270" i="1"/>
  <c r="BV270" i="1"/>
  <c r="BU270" i="1"/>
  <c r="BT270" i="1"/>
  <c r="BS270" i="1"/>
  <c r="BR270" i="1"/>
  <c r="BQ270" i="1"/>
  <c r="BP270" i="1"/>
  <c r="BO270" i="1"/>
  <c r="BN270" i="1"/>
  <c r="BM270" i="1"/>
  <c r="BL270" i="1"/>
  <c r="BK270" i="1"/>
  <c r="BJ270" i="1"/>
  <c r="BI270" i="1"/>
  <c r="BH270" i="1"/>
  <c r="BG270" i="1"/>
  <c r="AT270" i="1"/>
  <c r="AM270" i="1"/>
  <c r="AZ270" i="1" s="1"/>
  <c r="I270" i="1"/>
  <c r="CC269" i="1"/>
  <c r="CB269" i="1"/>
  <c r="CA269" i="1"/>
  <c r="BZ269" i="1"/>
  <c r="BY269" i="1"/>
  <c r="BX269" i="1"/>
  <c r="BW269" i="1"/>
  <c r="BV269" i="1"/>
  <c r="BU269" i="1"/>
  <c r="BT269" i="1"/>
  <c r="BS269" i="1"/>
  <c r="BR269" i="1"/>
  <c r="BQ269" i="1"/>
  <c r="BP269" i="1"/>
  <c r="BO269" i="1"/>
  <c r="BN269" i="1"/>
  <c r="BM269" i="1"/>
  <c r="BL269" i="1"/>
  <c r="BK269" i="1"/>
  <c r="BJ269" i="1"/>
  <c r="BI269" i="1"/>
  <c r="BH269" i="1"/>
  <c r="BG269" i="1"/>
  <c r="AT269" i="1"/>
  <c r="AM269" i="1"/>
  <c r="I269" i="1"/>
  <c r="AU269" i="1" s="1"/>
  <c r="CC268" i="1"/>
  <c r="CB268" i="1"/>
  <c r="CA268" i="1"/>
  <c r="BZ268" i="1"/>
  <c r="BY268" i="1"/>
  <c r="BX268" i="1"/>
  <c r="BW268" i="1"/>
  <c r="BV268" i="1"/>
  <c r="BU268" i="1"/>
  <c r="BT268" i="1"/>
  <c r="BS268" i="1"/>
  <c r="BR268" i="1"/>
  <c r="BQ268" i="1"/>
  <c r="BP268" i="1"/>
  <c r="BO268" i="1"/>
  <c r="BN268" i="1"/>
  <c r="BM268" i="1"/>
  <c r="BL268" i="1"/>
  <c r="BK268" i="1"/>
  <c r="BJ268" i="1"/>
  <c r="BI268" i="1"/>
  <c r="BH268" i="1"/>
  <c r="BG268" i="1"/>
  <c r="AT268" i="1"/>
  <c r="AM268" i="1"/>
  <c r="AZ268" i="1" s="1"/>
  <c r="I268" i="1"/>
  <c r="CC267" i="1"/>
  <c r="CB267" i="1"/>
  <c r="CA267" i="1"/>
  <c r="BZ267" i="1"/>
  <c r="BY267" i="1"/>
  <c r="BX267" i="1"/>
  <c r="BW267" i="1"/>
  <c r="BV267" i="1"/>
  <c r="BU267" i="1"/>
  <c r="BT267" i="1"/>
  <c r="BS267" i="1"/>
  <c r="BR267" i="1"/>
  <c r="BQ267" i="1"/>
  <c r="BP267" i="1"/>
  <c r="BO267" i="1"/>
  <c r="BN267" i="1"/>
  <c r="BM267" i="1"/>
  <c r="BL267" i="1"/>
  <c r="BK267" i="1"/>
  <c r="BJ267" i="1"/>
  <c r="BI267" i="1"/>
  <c r="BH267" i="1"/>
  <c r="BG267" i="1"/>
  <c r="AT267" i="1"/>
  <c r="AM267" i="1"/>
  <c r="I267" i="1"/>
  <c r="AU267" i="1" s="1"/>
  <c r="CC266" i="1"/>
  <c r="CB266" i="1"/>
  <c r="CA266" i="1"/>
  <c r="BZ266" i="1"/>
  <c r="BY266" i="1"/>
  <c r="BX266" i="1"/>
  <c r="BW266" i="1"/>
  <c r="BV266" i="1"/>
  <c r="BU266" i="1"/>
  <c r="BT266" i="1"/>
  <c r="BS266" i="1"/>
  <c r="BR266" i="1"/>
  <c r="BQ266" i="1"/>
  <c r="BP266" i="1"/>
  <c r="BO266" i="1"/>
  <c r="BN266" i="1"/>
  <c r="BM266" i="1"/>
  <c r="BL266" i="1"/>
  <c r="BK266" i="1"/>
  <c r="BJ266" i="1"/>
  <c r="BI266" i="1"/>
  <c r="BH266" i="1"/>
  <c r="BG266" i="1"/>
  <c r="AT266" i="1"/>
  <c r="AM266" i="1"/>
  <c r="AP266" i="1" s="1"/>
  <c r="AQ266" i="1" s="1"/>
  <c r="I266" i="1"/>
  <c r="CC265" i="1"/>
  <c r="CB265" i="1"/>
  <c r="CA265" i="1"/>
  <c r="BZ265" i="1"/>
  <c r="BY265" i="1"/>
  <c r="BX265" i="1"/>
  <c r="BW265" i="1"/>
  <c r="BV265" i="1"/>
  <c r="BU265" i="1"/>
  <c r="BT265" i="1"/>
  <c r="BS265" i="1"/>
  <c r="BR265" i="1"/>
  <c r="BQ265" i="1"/>
  <c r="BP265" i="1"/>
  <c r="BO265" i="1"/>
  <c r="BN265" i="1"/>
  <c r="BM265" i="1"/>
  <c r="BL265" i="1"/>
  <c r="BK265" i="1"/>
  <c r="BJ265" i="1"/>
  <c r="BI265" i="1"/>
  <c r="BH265" i="1"/>
  <c r="BG265" i="1"/>
  <c r="AT265" i="1"/>
  <c r="AM265" i="1"/>
  <c r="AN265" i="1" s="1"/>
  <c r="AR265" i="1" s="1"/>
  <c r="I265" i="1"/>
  <c r="AU265" i="1" s="1"/>
  <c r="CC264" i="1"/>
  <c r="CB264" i="1"/>
  <c r="CA264" i="1"/>
  <c r="BZ264" i="1"/>
  <c r="BY264" i="1"/>
  <c r="BX264" i="1"/>
  <c r="BW264" i="1"/>
  <c r="BV264" i="1"/>
  <c r="BU264" i="1"/>
  <c r="BT264" i="1"/>
  <c r="BS264" i="1"/>
  <c r="BR264" i="1"/>
  <c r="BQ264" i="1"/>
  <c r="BP264" i="1"/>
  <c r="BO264" i="1"/>
  <c r="BN264" i="1"/>
  <c r="BM264" i="1"/>
  <c r="BL264" i="1"/>
  <c r="BK264" i="1"/>
  <c r="BJ264" i="1"/>
  <c r="BI264" i="1"/>
  <c r="BH264" i="1"/>
  <c r="BG264" i="1"/>
  <c r="AT264" i="1"/>
  <c r="AM264" i="1"/>
  <c r="AY264" i="1" s="1"/>
  <c r="I264" i="1"/>
  <c r="CC263" i="1"/>
  <c r="CB263" i="1"/>
  <c r="CA263" i="1"/>
  <c r="BZ263" i="1"/>
  <c r="BY263" i="1"/>
  <c r="BX263" i="1"/>
  <c r="BW263" i="1"/>
  <c r="BV263" i="1"/>
  <c r="BU263" i="1"/>
  <c r="BT263" i="1"/>
  <c r="BS263" i="1"/>
  <c r="BR263" i="1"/>
  <c r="BQ263" i="1"/>
  <c r="BP263" i="1"/>
  <c r="BO263" i="1"/>
  <c r="BN263" i="1"/>
  <c r="BM263" i="1"/>
  <c r="BL263" i="1"/>
  <c r="BK263" i="1"/>
  <c r="BJ263" i="1"/>
  <c r="BI263" i="1"/>
  <c r="BH263" i="1"/>
  <c r="BG263" i="1"/>
  <c r="AT263" i="1"/>
  <c r="AM263" i="1"/>
  <c r="AZ263" i="1" s="1"/>
  <c r="I263" i="1"/>
  <c r="AU263" i="1" s="1"/>
  <c r="CC262" i="1"/>
  <c r="CB262" i="1"/>
  <c r="CA262" i="1"/>
  <c r="BZ262" i="1"/>
  <c r="BY262" i="1"/>
  <c r="BX262" i="1"/>
  <c r="BW262" i="1"/>
  <c r="BV262" i="1"/>
  <c r="BU262" i="1"/>
  <c r="BT262" i="1"/>
  <c r="BS262" i="1"/>
  <c r="BR262" i="1"/>
  <c r="BQ262" i="1"/>
  <c r="BP262" i="1"/>
  <c r="BO262" i="1"/>
  <c r="BN262" i="1"/>
  <c r="BM262" i="1"/>
  <c r="BL262" i="1"/>
  <c r="BK262" i="1"/>
  <c r="BJ262" i="1"/>
  <c r="BI262" i="1"/>
  <c r="BH262" i="1"/>
  <c r="BG262" i="1"/>
  <c r="AT262" i="1"/>
  <c r="AM262" i="1"/>
  <c r="AY262" i="1" s="1"/>
  <c r="I262" i="1"/>
  <c r="AU262" i="1" s="1"/>
  <c r="CC261" i="1"/>
  <c r="CB261" i="1"/>
  <c r="CA261" i="1"/>
  <c r="BZ261" i="1"/>
  <c r="BY261" i="1"/>
  <c r="BX261" i="1"/>
  <c r="BW261" i="1"/>
  <c r="BV261" i="1"/>
  <c r="BU261" i="1"/>
  <c r="BT261" i="1"/>
  <c r="BS261" i="1"/>
  <c r="BR261" i="1"/>
  <c r="BQ261" i="1"/>
  <c r="BP261" i="1"/>
  <c r="BO261" i="1"/>
  <c r="BN261" i="1"/>
  <c r="BM261" i="1"/>
  <c r="BL261" i="1"/>
  <c r="BK261" i="1"/>
  <c r="BJ261" i="1"/>
  <c r="BI261" i="1"/>
  <c r="BH261" i="1"/>
  <c r="BG261" i="1"/>
  <c r="AT261" i="1"/>
  <c r="AM261" i="1"/>
  <c r="AY261" i="1" s="1"/>
  <c r="I261" i="1"/>
  <c r="AU261" i="1" s="1"/>
  <c r="CC260" i="1"/>
  <c r="CB260" i="1"/>
  <c r="CA260" i="1"/>
  <c r="BZ260" i="1"/>
  <c r="BY260" i="1"/>
  <c r="BX260" i="1"/>
  <c r="BW260" i="1"/>
  <c r="BV260" i="1"/>
  <c r="BU260" i="1"/>
  <c r="BT260" i="1"/>
  <c r="BS260" i="1"/>
  <c r="BR260" i="1"/>
  <c r="BQ260" i="1"/>
  <c r="BP260" i="1"/>
  <c r="BO260" i="1"/>
  <c r="BN260" i="1"/>
  <c r="BM260" i="1"/>
  <c r="BL260" i="1"/>
  <c r="BK260" i="1"/>
  <c r="BJ260" i="1"/>
  <c r="BI260" i="1"/>
  <c r="BH260" i="1"/>
  <c r="BG260" i="1"/>
  <c r="AT260" i="1"/>
  <c r="AM260" i="1"/>
  <c r="I260" i="1"/>
  <c r="AU260" i="1" s="1"/>
  <c r="CC259" i="1"/>
  <c r="CB259" i="1"/>
  <c r="CA259" i="1"/>
  <c r="BZ259" i="1"/>
  <c r="BY259" i="1"/>
  <c r="BX259" i="1"/>
  <c r="BW259" i="1"/>
  <c r="BV259" i="1"/>
  <c r="BU259" i="1"/>
  <c r="BT259" i="1"/>
  <c r="BS259" i="1"/>
  <c r="BR259" i="1"/>
  <c r="BQ259" i="1"/>
  <c r="BP259" i="1"/>
  <c r="BO259" i="1"/>
  <c r="BN259" i="1"/>
  <c r="BM259" i="1"/>
  <c r="BL259" i="1"/>
  <c r="BK259" i="1"/>
  <c r="BJ259" i="1"/>
  <c r="BI259" i="1"/>
  <c r="BH259" i="1"/>
  <c r="BG259" i="1"/>
  <c r="AT259" i="1"/>
  <c r="AM259" i="1"/>
  <c r="AZ259" i="1" s="1"/>
  <c r="I259" i="1"/>
  <c r="AU259" i="1" s="1"/>
  <c r="CC258" i="1"/>
  <c r="CB258" i="1"/>
  <c r="CA258" i="1"/>
  <c r="BZ258" i="1"/>
  <c r="BY258" i="1"/>
  <c r="BX258" i="1"/>
  <c r="BW258" i="1"/>
  <c r="BV258" i="1"/>
  <c r="BU258" i="1"/>
  <c r="BT258" i="1"/>
  <c r="BS258" i="1"/>
  <c r="BR258" i="1"/>
  <c r="BQ258" i="1"/>
  <c r="BP258" i="1"/>
  <c r="BO258" i="1"/>
  <c r="BN258" i="1"/>
  <c r="BM258" i="1"/>
  <c r="BL258" i="1"/>
  <c r="BK258" i="1"/>
  <c r="BJ258" i="1"/>
  <c r="BI258" i="1"/>
  <c r="BH258" i="1"/>
  <c r="BG258" i="1"/>
  <c r="AT258" i="1"/>
  <c r="AM258" i="1"/>
  <c r="I258" i="1"/>
  <c r="AU258" i="1" s="1"/>
  <c r="CB257" i="1"/>
  <c r="CA257" i="1"/>
  <c r="BZ257" i="1"/>
  <c r="BY257" i="1"/>
  <c r="BX257" i="1"/>
  <c r="BW257" i="1"/>
  <c r="BV257" i="1"/>
  <c r="BU257" i="1"/>
  <c r="BT257" i="1"/>
  <c r="BS257" i="1"/>
  <c r="BR257" i="1"/>
  <c r="BQ257" i="1"/>
  <c r="BP257" i="1"/>
  <c r="BO257" i="1"/>
  <c r="BN257" i="1"/>
  <c r="BM257" i="1"/>
  <c r="BL257" i="1"/>
  <c r="BK257" i="1"/>
  <c r="BJ257" i="1"/>
  <c r="BI257" i="1"/>
  <c r="BH257" i="1"/>
  <c r="BG257" i="1"/>
  <c r="AT257" i="1"/>
  <c r="AM257" i="1"/>
  <c r="AN257" i="1" s="1"/>
  <c r="AR257" i="1" s="1"/>
  <c r="I257" i="1"/>
  <c r="CB256" i="1"/>
  <c r="CA256" i="1"/>
  <c r="BZ256" i="1"/>
  <c r="BY256" i="1"/>
  <c r="BX256" i="1"/>
  <c r="BW256" i="1"/>
  <c r="BV256" i="1"/>
  <c r="BU256" i="1"/>
  <c r="BT256" i="1"/>
  <c r="BS256" i="1"/>
  <c r="BR256" i="1"/>
  <c r="BQ256" i="1"/>
  <c r="BP256" i="1"/>
  <c r="BO256" i="1"/>
  <c r="BN256" i="1"/>
  <c r="BM256" i="1"/>
  <c r="BL256" i="1"/>
  <c r="BK256" i="1"/>
  <c r="BJ256" i="1"/>
  <c r="BI256" i="1"/>
  <c r="BH256" i="1"/>
  <c r="BG256" i="1"/>
  <c r="AT256" i="1"/>
  <c r="AM256" i="1"/>
  <c r="I256" i="1"/>
  <c r="AU256" i="1" s="1"/>
  <c r="CB255" i="1"/>
  <c r="CA255" i="1"/>
  <c r="BZ255" i="1"/>
  <c r="BY255" i="1"/>
  <c r="BX255" i="1"/>
  <c r="BW255" i="1"/>
  <c r="BV255" i="1"/>
  <c r="BU255" i="1"/>
  <c r="BT255" i="1"/>
  <c r="BS255" i="1"/>
  <c r="BR255" i="1"/>
  <c r="BQ255" i="1"/>
  <c r="BP255" i="1"/>
  <c r="BO255" i="1"/>
  <c r="BN255" i="1"/>
  <c r="BM255" i="1"/>
  <c r="BL255" i="1"/>
  <c r="BK255" i="1"/>
  <c r="BJ255" i="1"/>
  <c r="BI255" i="1"/>
  <c r="BH255" i="1"/>
  <c r="BG255" i="1"/>
  <c r="AT255" i="1"/>
  <c r="CC255" i="1"/>
  <c r="I255" i="1"/>
  <c r="AU255" i="1" s="1"/>
  <c r="CB254" i="1"/>
  <c r="CA254" i="1"/>
  <c r="BZ254" i="1"/>
  <c r="BY254" i="1"/>
  <c r="BX254" i="1"/>
  <c r="BW254" i="1"/>
  <c r="BV254" i="1"/>
  <c r="BU254" i="1"/>
  <c r="BT254" i="1"/>
  <c r="BS254" i="1"/>
  <c r="BR254" i="1"/>
  <c r="BQ254" i="1"/>
  <c r="BP254" i="1"/>
  <c r="BO254" i="1"/>
  <c r="BN254" i="1"/>
  <c r="BM254" i="1"/>
  <c r="BL254" i="1"/>
  <c r="BK254" i="1"/>
  <c r="BJ254" i="1"/>
  <c r="BI254" i="1"/>
  <c r="BH254" i="1"/>
  <c r="BG254" i="1"/>
  <c r="AT254" i="1"/>
  <c r="I254" i="1"/>
  <c r="AU254" i="1" s="1"/>
  <c r="CB253" i="1"/>
  <c r="CA253" i="1"/>
  <c r="BZ253" i="1"/>
  <c r="BY253" i="1"/>
  <c r="BX253" i="1"/>
  <c r="BW253" i="1"/>
  <c r="BV253" i="1"/>
  <c r="BU253" i="1"/>
  <c r="BT253" i="1"/>
  <c r="BS253" i="1"/>
  <c r="BR253" i="1"/>
  <c r="BQ253" i="1"/>
  <c r="BP253" i="1"/>
  <c r="BO253" i="1"/>
  <c r="BN253" i="1"/>
  <c r="BM253" i="1"/>
  <c r="BL253" i="1"/>
  <c r="BK253" i="1"/>
  <c r="BJ253" i="1"/>
  <c r="BI253" i="1"/>
  <c r="BH253" i="1"/>
  <c r="BG253" i="1"/>
  <c r="AT253" i="1"/>
  <c r="I253" i="1"/>
  <c r="AU253" i="1" s="1"/>
  <c r="CB252" i="1"/>
  <c r="CA252" i="1"/>
  <c r="BZ252" i="1"/>
  <c r="BY252" i="1"/>
  <c r="BX252" i="1"/>
  <c r="BW252" i="1"/>
  <c r="BV252" i="1"/>
  <c r="BU252" i="1"/>
  <c r="BT252" i="1"/>
  <c r="BS252" i="1"/>
  <c r="BR252" i="1"/>
  <c r="BQ252" i="1"/>
  <c r="BP252" i="1"/>
  <c r="BO252" i="1"/>
  <c r="BN252" i="1"/>
  <c r="BM252" i="1"/>
  <c r="BL252" i="1"/>
  <c r="BK252" i="1"/>
  <c r="BJ252" i="1"/>
  <c r="BI252" i="1"/>
  <c r="BH252" i="1"/>
  <c r="BG252" i="1"/>
  <c r="AT252" i="1"/>
  <c r="CC252" i="1"/>
  <c r="I252" i="1"/>
  <c r="CB251" i="1"/>
  <c r="CA251" i="1"/>
  <c r="BZ251" i="1"/>
  <c r="BY251" i="1"/>
  <c r="BX251" i="1"/>
  <c r="BW251" i="1"/>
  <c r="BV251" i="1"/>
  <c r="BU251" i="1"/>
  <c r="BT251" i="1"/>
  <c r="BS251" i="1"/>
  <c r="BR251" i="1"/>
  <c r="BQ251" i="1"/>
  <c r="BP251" i="1"/>
  <c r="BO251" i="1"/>
  <c r="BN251" i="1"/>
  <c r="BM251" i="1"/>
  <c r="BL251" i="1"/>
  <c r="BK251" i="1"/>
  <c r="BJ251" i="1"/>
  <c r="BI251" i="1"/>
  <c r="BH251" i="1"/>
  <c r="BG251" i="1"/>
  <c r="AT251" i="1"/>
  <c r="CC251" i="1"/>
  <c r="I251" i="1"/>
  <c r="AU251" i="1" s="1"/>
  <c r="CB250" i="1"/>
  <c r="CA250" i="1"/>
  <c r="BZ250" i="1"/>
  <c r="BY250" i="1"/>
  <c r="BX250" i="1"/>
  <c r="BW250" i="1"/>
  <c r="BV250" i="1"/>
  <c r="BU250" i="1"/>
  <c r="BT250" i="1"/>
  <c r="BS250" i="1"/>
  <c r="BR250" i="1"/>
  <c r="BQ250" i="1"/>
  <c r="BP250" i="1"/>
  <c r="BO250" i="1"/>
  <c r="BN250" i="1"/>
  <c r="BM250" i="1"/>
  <c r="BL250" i="1"/>
  <c r="BK250" i="1"/>
  <c r="BJ250" i="1"/>
  <c r="BI250" i="1"/>
  <c r="BH250" i="1"/>
  <c r="BG250" i="1"/>
  <c r="AT250" i="1"/>
  <c r="CC250" i="1"/>
  <c r="I250" i="1"/>
  <c r="AU250" i="1" s="1"/>
  <c r="CB249" i="1"/>
  <c r="CA249" i="1"/>
  <c r="BZ249" i="1"/>
  <c r="BY249" i="1"/>
  <c r="BX249" i="1"/>
  <c r="BW249" i="1"/>
  <c r="BV249" i="1"/>
  <c r="BU249" i="1"/>
  <c r="BT249" i="1"/>
  <c r="BS249" i="1"/>
  <c r="BR249" i="1"/>
  <c r="BQ249" i="1"/>
  <c r="BP249" i="1"/>
  <c r="BO249" i="1"/>
  <c r="BN249" i="1"/>
  <c r="BM249" i="1"/>
  <c r="BL249" i="1"/>
  <c r="BK249" i="1"/>
  <c r="BJ249" i="1"/>
  <c r="BI249" i="1"/>
  <c r="BH249" i="1"/>
  <c r="BG249" i="1"/>
  <c r="AT249" i="1"/>
  <c r="I249" i="1"/>
  <c r="AU249" i="1" s="1"/>
  <c r="CB248" i="1"/>
  <c r="CA248" i="1"/>
  <c r="BZ248" i="1"/>
  <c r="BY248" i="1"/>
  <c r="BX248" i="1"/>
  <c r="BW248" i="1"/>
  <c r="BV248" i="1"/>
  <c r="BU248" i="1"/>
  <c r="BT248" i="1"/>
  <c r="BS248" i="1"/>
  <c r="BR248" i="1"/>
  <c r="BQ248" i="1"/>
  <c r="BP248" i="1"/>
  <c r="BO248" i="1"/>
  <c r="BN248" i="1"/>
  <c r="BM248" i="1"/>
  <c r="BL248" i="1"/>
  <c r="BK248" i="1"/>
  <c r="BJ248" i="1"/>
  <c r="BI248" i="1"/>
  <c r="BH248" i="1"/>
  <c r="BG248" i="1"/>
  <c r="AT248" i="1"/>
  <c r="CC248" i="1"/>
  <c r="I248" i="1"/>
  <c r="CB247" i="1"/>
  <c r="CA247" i="1"/>
  <c r="BZ247" i="1"/>
  <c r="BY247" i="1"/>
  <c r="BX247" i="1"/>
  <c r="BW247" i="1"/>
  <c r="BV247" i="1"/>
  <c r="BU247" i="1"/>
  <c r="BT247" i="1"/>
  <c r="BS247" i="1"/>
  <c r="BR247" i="1"/>
  <c r="BQ247" i="1"/>
  <c r="BP247" i="1"/>
  <c r="BO247" i="1"/>
  <c r="BN247" i="1"/>
  <c r="BM247" i="1"/>
  <c r="BL247" i="1"/>
  <c r="BK247" i="1"/>
  <c r="BJ247" i="1"/>
  <c r="BI247" i="1"/>
  <c r="BH247" i="1"/>
  <c r="BG247" i="1"/>
  <c r="AT247" i="1"/>
  <c r="I247" i="1"/>
  <c r="AU247" i="1" s="1"/>
  <c r="CB246" i="1"/>
  <c r="CA246" i="1"/>
  <c r="BZ246" i="1"/>
  <c r="BY246" i="1"/>
  <c r="BX246" i="1"/>
  <c r="BW246" i="1"/>
  <c r="BV246" i="1"/>
  <c r="BU246" i="1"/>
  <c r="BT246" i="1"/>
  <c r="BS246" i="1"/>
  <c r="BR246" i="1"/>
  <c r="BQ246" i="1"/>
  <c r="BP246" i="1"/>
  <c r="BO246" i="1"/>
  <c r="BN246" i="1"/>
  <c r="BM246" i="1"/>
  <c r="BL246" i="1"/>
  <c r="BK246" i="1"/>
  <c r="BJ246" i="1"/>
  <c r="BI246" i="1"/>
  <c r="BH246" i="1"/>
  <c r="BG246" i="1"/>
  <c r="AT246" i="1"/>
  <c r="CC246" i="1"/>
  <c r="I246" i="1"/>
  <c r="AU246" i="1" s="1"/>
  <c r="CB245" i="1"/>
  <c r="CA245" i="1"/>
  <c r="BZ245" i="1"/>
  <c r="BY245" i="1"/>
  <c r="BX245" i="1"/>
  <c r="BW245" i="1"/>
  <c r="BV245" i="1"/>
  <c r="BU245" i="1"/>
  <c r="BT245" i="1"/>
  <c r="BS245" i="1"/>
  <c r="BR245" i="1"/>
  <c r="BQ245" i="1"/>
  <c r="BP245" i="1"/>
  <c r="BO245" i="1"/>
  <c r="BN245" i="1"/>
  <c r="BM245" i="1"/>
  <c r="BL245" i="1"/>
  <c r="BK245" i="1"/>
  <c r="BJ245" i="1"/>
  <c r="BI245" i="1"/>
  <c r="BH245" i="1"/>
  <c r="BG245" i="1"/>
  <c r="AT245" i="1"/>
  <c r="I245" i="1"/>
  <c r="AU245" i="1" s="1"/>
  <c r="CB244" i="1"/>
  <c r="CA244" i="1"/>
  <c r="BZ244" i="1"/>
  <c r="BY244" i="1"/>
  <c r="BX244" i="1"/>
  <c r="BW244" i="1"/>
  <c r="BV244" i="1"/>
  <c r="BU244" i="1"/>
  <c r="BT244" i="1"/>
  <c r="BS244" i="1"/>
  <c r="BR244" i="1"/>
  <c r="BQ244" i="1"/>
  <c r="BP244" i="1"/>
  <c r="BO244" i="1"/>
  <c r="BN244" i="1"/>
  <c r="BM244" i="1"/>
  <c r="BL244" i="1"/>
  <c r="BK244" i="1"/>
  <c r="BJ244" i="1"/>
  <c r="BI244" i="1"/>
  <c r="BH244" i="1"/>
  <c r="BG244" i="1"/>
  <c r="AT244" i="1"/>
  <c r="CC244" i="1"/>
  <c r="I244" i="1"/>
  <c r="CB243" i="1"/>
  <c r="CA243" i="1"/>
  <c r="BZ243" i="1"/>
  <c r="BY243" i="1"/>
  <c r="BX243" i="1"/>
  <c r="BW243" i="1"/>
  <c r="BV243" i="1"/>
  <c r="BU243" i="1"/>
  <c r="BT243" i="1"/>
  <c r="BS243" i="1"/>
  <c r="BR243" i="1"/>
  <c r="BQ243" i="1"/>
  <c r="BP243" i="1"/>
  <c r="BO243" i="1"/>
  <c r="BN243" i="1"/>
  <c r="BM243" i="1"/>
  <c r="BL243" i="1"/>
  <c r="BK243" i="1"/>
  <c r="BJ243" i="1"/>
  <c r="BI243" i="1"/>
  <c r="BH243" i="1"/>
  <c r="BG243" i="1"/>
  <c r="AT243" i="1"/>
  <c r="AM243" i="1"/>
  <c r="AW243" i="1" s="1"/>
  <c r="I243" i="1"/>
  <c r="AU243" i="1" s="1"/>
  <c r="CB242" i="1"/>
  <c r="CA242" i="1"/>
  <c r="BZ242" i="1"/>
  <c r="BY242" i="1"/>
  <c r="BX242" i="1"/>
  <c r="BW242" i="1"/>
  <c r="BV242" i="1"/>
  <c r="BU242" i="1"/>
  <c r="BT242" i="1"/>
  <c r="BS242" i="1"/>
  <c r="BR242" i="1"/>
  <c r="BQ242" i="1"/>
  <c r="BP242" i="1"/>
  <c r="BO242" i="1"/>
  <c r="BN242" i="1"/>
  <c r="BM242" i="1"/>
  <c r="BL242" i="1"/>
  <c r="BK242" i="1"/>
  <c r="BJ242" i="1"/>
  <c r="BI242" i="1"/>
  <c r="BH242" i="1"/>
  <c r="BG242" i="1"/>
  <c r="AT242" i="1"/>
  <c r="AM242" i="1"/>
  <c r="I242" i="1"/>
  <c r="AU242" i="1" s="1"/>
  <c r="CB241" i="1"/>
  <c r="CA241" i="1"/>
  <c r="BZ241" i="1"/>
  <c r="BY241" i="1"/>
  <c r="BX241" i="1"/>
  <c r="BW241" i="1"/>
  <c r="BV241" i="1"/>
  <c r="BU241" i="1"/>
  <c r="BT241" i="1"/>
  <c r="BS241" i="1"/>
  <c r="BR241" i="1"/>
  <c r="BQ241" i="1"/>
  <c r="BP241" i="1"/>
  <c r="BO241" i="1"/>
  <c r="BN241" i="1"/>
  <c r="BM241" i="1"/>
  <c r="BL241" i="1"/>
  <c r="BK241" i="1"/>
  <c r="BJ241" i="1"/>
  <c r="BI241" i="1"/>
  <c r="BH241" i="1"/>
  <c r="BG241" i="1"/>
  <c r="AT241" i="1"/>
  <c r="I241" i="1"/>
  <c r="AU241" i="1" s="1"/>
  <c r="CB240" i="1"/>
  <c r="CA240" i="1"/>
  <c r="BZ240" i="1"/>
  <c r="BY240" i="1"/>
  <c r="BX240" i="1"/>
  <c r="BW240" i="1"/>
  <c r="BV240" i="1"/>
  <c r="BU240" i="1"/>
  <c r="BT240" i="1"/>
  <c r="BS240" i="1"/>
  <c r="BR240" i="1"/>
  <c r="BQ240" i="1"/>
  <c r="BP240" i="1"/>
  <c r="BO240" i="1"/>
  <c r="BN240" i="1"/>
  <c r="BM240" i="1"/>
  <c r="BL240" i="1"/>
  <c r="BK240" i="1"/>
  <c r="BJ240" i="1"/>
  <c r="BI240" i="1"/>
  <c r="BH240" i="1"/>
  <c r="BG240" i="1"/>
  <c r="AT240" i="1"/>
  <c r="AM240" i="1"/>
  <c r="AN240" i="1" s="1"/>
  <c r="AR240" i="1" s="1"/>
  <c r="I240" i="1"/>
  <c r="CB239" i="1"/>
  <c r="CA239" i="1"/>
  <c r="BZ239" i="1"/>
  <c r="BY239" i="1"/>
  <c r="BX239" i="1"/>
  <c r="BW239" i="1"/>
  <c r="BV239" i="1"/>
  <c r="BU239" i="1"/>
  <c r="BT239" i="1"/>
  <c r="BS239" i="1"/>
  <c r="BR239" i="1"/>
  <c r="BQ239" i="1"/>
  <c r="BP239" i="1"/>
  <c r="BO239" i="1"/>
  <c r="BN239" i="1"/>
  <c r="BM239" i="1"/>
  <c r="BL239" i="1"/>
  <c r="BK239" i="1"/>
  <c r="BJ239" i="1"/>
  <c r="BI239" i="1"/>
  <c r="BH239" i="1"/>
  <c r="BG239" i="1"/>
  <c r="AT239" i="1"/>
  <c r="CC239" i="1"/>
  <c r="I239" i="1"/>
  <c r="AU239" i="1" s="1"/>
  <c r="CB238" i="1"/>
  <c r="CA238" i="1"/>
  <c r="BZ238" i="1"/>
  <c r="BY238" i="1"/>
  <c r="BX238" i="1"/>
  <c r="BW238" i="1"/>
  <c r="BV238" i="1"/>
  <c r="BU238" i="1"/>
  <c r="BT238" i="1"/>
  <c r="BS238" i="1"/>
  <c r="BR238" i="1"/>
  <c r="BQ238" i="1"/>
  <c r="BP238" i="1"/>
  <c r="BO238" i="1"/>
  <c r="BN238" i="1"/>
  <c r="BM238" i="1"/>
  <c r="BL238" i="1"/>
  <c r="BK238" i="1"/>
  <c r="BJ238" i="1"/>
  <c r="BI238" i="1"/>
  <c r="BH238" i="1"/>
  <c r="BG238" i="1"/>
  <c r="AT238" i="1"/>
  <c r="I238" i="1"/>
  <c r="AU238" i="1" s="1"/>
  <c r="CB237" i="1"/>
  <c r="CA237" i="1"/>
  <c r="BZ237" i="1"/>
  <c r="BY237" i="1"/>
  <c r="BX237" i="1"/>
  <c r="BW237" i="1"/>
  <c r="BV237" i="1"/>
  <c r="BU237" i="1"/>
  <c r="BT237" i="1"/>
  <c r="BS237" i="1"/>
  <c r="BR237" i="1"/>
  <c r="BQ237" i="1"/>
  <c r="BP237" i="1"/>
  <c r="BO237" i="1"/>
  <c r="BN237" i="1"/>
  <c r="BM237" i="1"/>
  <c r="BL237" i="1"/>
  <c r="BK237" i="1"/>
  <c r="BJ237" i="1"/>
  <c r="BI237" i="1"/>
  <c r="BH237" i="1"/>
  <c r="BG237" i="1"/>
  <c r="AT237" i="1"/>
  <c r="I237" i="1"/>
  <c r="AU237" i="1" s="1"/>
  <c r="CB236" i="1"/>
  <c r="CA236" i="1"/>
  <c r="BZ236" i="1"/>
  <c r="BY236" i="1"/>
  <c r="BX236" i="1"/>
  <c r="BW236" i="1"/>
  <c r="BV236" i="1"/>
  <c r="BU236" i="1"/>
  <c r="BT236" i="1"/>
  <c r="BS236" i="1"/>
  <c r="BR236" i="1"/>
  <c r="BQ236" i="1"/>
  <c r="BP236" i="1"/>
  <c r="BO236" i="1"/>
  <c r="BN236" i="1"/>
  <c r="BM236" i="1"/>
  <c r="BL236" i="1"/>
  <c r="BK236" i="1"/>
  <c r="BJ236" i="1"/>
  <c r="BI236" i="1"/>
  <c r="BH236" i="1"/>
  <c r="BG236" i="1"/>
  <c r="AT236" i="1"/>
  <c r="I236" i="1"/>
  <c r="CB235" i="1"/>
  <c r="CA235" i="1"/>
  <c r="BZ235" i="1"/>
  <c r="BY235" i="1"/>
  <c r="BX235" i="1"/>
  <c r="BW235" i="1"/>
  <c r="BV235" i="1"/>
  <c r="BU235" i="1"/>
  <c r="BT235" i="1"/>
  <c r="BS235" i="1"/>
  <c r="BR235" i="1"/>
  <c r="BQ235" i="1"/>
  <c r="BP235" i="1"/>
  <c r="BO235" i="1"/>
  <c r="BN235" i="1"/>
  <c r="BM235" i="1"/>
  <c r="BL235" i="1"/>
  <c r="BK235" i="1"/>
  <c r="BJ235" i="1"/>
  <c r="BI235" i="1"/>
  <c r="BH235" i="1"/>
  <c r="BG235" i="1"/>
  <c r="AT235" i="1"/>
  <c r="I235" i="1"/>
  <c r="AU235" i="1" s="1"/>
  <c r="CB234" i="1"/>
  <c r="CA234" i="1"/>
  <c r="BZ234" i="1"/>
  <c r="BY234" i="1"/>
  <c r="BX234" i="1"/>
  <c r="BW234" i="1"/>
  <c r="BV234" i="1"/>
  <c r="BU234" i="1"/>
  <c r="BT234" i="1"/>
  <c r="BS234" i="1"/>
  <c r="BR234" i="1"/>
  <c r="BQ234" i="1"/>
  <c r="BP234" i="1"/>
  <c r="BO234" i="1"/>
  <c r="BN234" i="1"/>
  <c r="BM234" i="1"/>
  <c r="BL234" i="1"/>
  <c r="BK234" i="1"/>
  <c r="BJ234" i="1"/>
  <c r="BI234" i="1"/>
  <c r="BH234" i="1"/>
  <c r="BG234" i="1"/>
  <c r="AT234" i="1"/>
  <c r="I234" i="1"/>
  <c r="AU234" i="1" s="1"/>
  <c r="CB233" i="1"/>
  <c r="CA233" i="1"/>
  <c r="BZ233" i="1"/>
  <c r="BY233" i="1"/>
  <c r="BX233" i="1"/>
  <c r="BW233" i="1"/>
  <c r="BV233" i="1"/>
  <c r="BU233" i="1"/>
  <c r="BT233" i="1"/>
  <c r="BS233" i="1"/>
  <c r="BR233" i="1"/>
  <c r="BQ233" i="1"/>
  <c r="BP233" i="1"/>
  <c r="BO233" i="1"/>
  <c r="BN233" i="1"/>
  <c r="BM233" i="1"/>
  <c r="BL233" i="1"/>
  <c r="BK233" i="1"/>
  <c r="BJ233" i="1"/>
  <c r="BI233" i="1"/>
  <c r="BH233" i="1"/>
  <c r="BG233" i="1"/>
  <c r="AT233" i="1"/>
  <c r="I233" i="1"/>
  <c r="AU233" i="1" s="1"/>
  <c r="CB232" i="1"/>
  <c r="CA232" i="1"/>
  <c r="BZ232" i="1"/>
  <c r="BY232" i="1"/>
  <c r="BX232" i="1"/>
  <c r="BW232" i="1"/>
  <c r="BV232" i="1"/>
  <c r="BU232" i="1"/>
  <c r="BT232" i="1"/>
  <c r="BS232" i="1"/>
  <c r="BR232" i="1"/>
  <c r="BQ232" i="1"/>
  <c r="BP232" i="1"/>
  <c r="BO232" i="1"/>
  <c r="BN232" i="1"/>
  <c r="BM232" i="1"/>
  <c r="BL232" i="1"/>
  <c r="BK232" i="1"/>
  <c r="BJ232" i="1"/>
  <c r="BI232" i="1"/>
  <c r="BH232" i="1"/>
  <c r="BG232" i="1"/>
  <c r="AT232" i="1"/>
  <c r="AM232" i="1"/>
  <c r="I232" i="1"/>
  <c r="CB231" i="1"/>
  <c r="CA231" i="1"/>
  <c r="BZ231" i="1"/>
  <c r="BY231" i="1"/>
  <c r="BX231" i="1"/>
  <c r="BW231" i="1"/>
  <c r="BV231" i="1"/>
  <c r="BU231" i="1"/>
  <c r="BT231" i="1"/>
  <c r="BS231" i="1"/>
  <c r="BR231" i="1"/>
  <c r="BQ231" i="1"/>
  <c r="BP231" i="1"/>
  <c r="BO231" i="1"/>
  <c r="BN231" i="1"/>
  <c r="BM231" i="1"/>
  <c r="BL231" i="1"/>
  <c r="BK231" i="1"/>
  <c r="BJ231" i="1"/>
  <c r="BI231" i="1"/>
  <c r="BH231" i="1"/>
  <c r="BG231" i="1"/>
  <c r="AT231" i="1"/>
  <c r="CC231" i="1"/>
  <c r="I231" i="1"/>
  <c r="AU231" i="1" s="1"/>
  <c r="CB230" i="1"/>
  <c r="CA230" i="1"/>
  <c r="BZ230" i="1"/>
  <c r="BY230" i="1"/>
  <c r="BX230" i="1"/>
  <c r="BW230" i="1"/>
  <c r="BV230" i="1"/>
  <c r="BU230" i="1"/>
  <c r="BT230" i="1"/>
  <c r="BS230" i="1"/>
  <c r="BR230" i="1"/>
  <c r="BQ230" i="1"/>
  <c r="BP230" i="1"/>
  <c r="BO230" i="1"/>
  <c r="BN230" i="1"/>
  <c r="BM230" i="1"/>
  <c r="BL230" i="1"/>
  <c r="BK230" i="1"/>
  <c r="BJ230" i="1"/>
  <c r="BI230" i="1"/>
  <c r="BH230" i="1"/>
  <c r="BG230" i="1"/>
  <c r="AT230" i="1"/>
  <c r="I230" i="1"/>
  <c r="AU230" i="1" s="1"/>
  <c r="CB229" i="1"/>
  <c r="CA229" i="1"/>
  <c r="BZ229" i="1"/>
  <c r="BY229" i="1"/>
  <c r="BX229" i="1"/>
  <c r="BW229" i="1"/>
  <c r="BV229" i="1"/>
  <c r="BU229" i="1"/>
  <c r="BT229" i="1"/>
  <c r="BS229" i="1"/>
  <c r="BR229" i="1"/>
  <c r="BQ229" i="1"/>
  <c r="BP229" i="1"/>
  <c r="BO229" i="1"/>
  <c r="BN229" i="1"/>
  <c r="BM229" i="1"/>
  <c r="BL229" i="1"/>
  <c r="BK229" i="1"/>
  <c r="BJ229" i="1"/>
  <c r="BI229" i="1"/>
  <c r="BH229" i="1"/>
  <c r="BG229" i="1"/>
  <c r="AT229" i="1"/>
  <c r="I229" i="1"/>
  <c r="AU229" i="1" s="1"/>
  <c r="CB228" i="1"/>
  <c r="CA228" i="1"/>
  <c r="BZ228" i="1"/>
  <c r="BY228" i="1"/>
  <c r="BX228" i="1"/>
  <c r="BW228" i="1"/>
  <c r="BV228" i="1"/>
  <c r="BU228" i="1"/>
  <c r="BT228" i="1"/>
  <c r="BS228" i="1"/>
  <c r="BR228" i="1"/>
  <c r="BQ228" i="1"/>
  <c r="BP228" i="1"/>
  <c r="BO228" i="1"/>
  <c r="BN228" i="1"/>
  <c r="BM228" i="1"/>
  <c r="BL228" i="1"/>
  <c r="BK228" i="1"/>
  <c r="BJ228" i="1"/>
  <c r="BI228" i="1"/>
  <c r="BH228" i="1"/>
  <c r="BG228" i="1"/>
  <c r="AT228" i="1"/>
  <c r="CC228" i="1"/>
  <c r="I228" i="1"/>
  <c r="CB227" i="1"/>
  <c r="CA227" i="1"/>
  <c r="BZ227" i="1"/>
  <c r="BY227" i="1"/>
  <c r="BX227" i="1"/>
  <c r="BW227" i="1"/>
  <c r="BV227" i="1"/>
  <c r="BU227" i="1"/>
  <c r="BT227" i="1"/>
  <c r="BS227" i="1"/>
  <c r="BR227" i="1"/>
  <c r="BQ227" i="1"/>
  <c r="BP227" i="1"/>
  <c r="BO227" i="1"/>
  <c r="BN227" i="1"/>
  <c r="BM227" i="1"/>
  <c r="BL227" i="1"/>
  <c r="BK227" i="1"/>
  <c r="BJ227" i="1"/>
  <c r="BI227" i="1"/>
  <c r="BH227" i="1"/>
  <c r="BG227" i="1"/>
  <c r="AT227" i="1"/>
  <c r="AM227" i="1"/>
  <c r="AW227" i="1" s="1"/>
  <c r="I227" i="1"/>
  <c r="AU227" i="1" s="1"/>
  <c r="CB226" i="1"/>
  <c r="CA226" i="1"/>
  <c r="BZ226" i="1"/>
  <c r="BY226" i="1"/>
  <c r="BX226" i="1"/>
  <c r="BW226" i="1"/>
  <c r="BV226" i="1"/>
  <c r="BU226" i="1"/>
  <c r="BT226" i="1"/>
  <c r="BS226" i="1"/>
  <c r="BR226" i="1"/>
  <c r="BQ226" i="1"/>
  <c r="BP226" i="1"/>
  <c r="BO226" i="1"/>
  <c r="BN226" i="1"/>
  <c r="BM226" i="1"/>
  <c r="BL226" i="1"/>
  <c r="BK226" i="1"/>
  <c r="BJ226" i="1"/>
  <c r="BI226" i="1"/>
  <c r="BH226" i="1"/>
  <c r="BG226" i="1"/>
  <c r="AT226" i="1"/>
  <c r="AM226" i="1"/>
  <c r="I226" i="1"/>
  <c r="AU226" i="1" s="1"/>
  <c r="CB225" i="1"/>
  <c r="CA225" i="1"/>
  <c r="BZ225" i="1"/>
  <c r="BY225" i="1"/>
  <c r="BX225" i="1"/>
  <c r="BW225" i="1"/>
  <c r="BV225" i="1"/>
  <c r="BU225" i="1"/>
  <c r="BT225" i="1"/>
  <c r="BS225" i="1"/>
  <c r="BR225" i="1"/>
  <c r="BQ225" i="1"/>
  <c r="BP225" i="1"/>
  <c r="BO225" i="1"/>
  <c r="BN225" i="1"/>
  <c r="BM225" i="1"/>
  <c r="BL225" i="1"/>
  <c r="BK225" i="1"/>
  <c r="BJ225" i="1"/>
  <c r="BI225" i="1"/>
  <c r="BH225" i="1"/>
  <c r="BG225" i="1"/>
  <c r="AT225" i="1"/>
  <c r="I225" i="1"/>
  <c r="AU225" i="1" s="1"/>
  <c r="CB224" i="1"/>
  <c r="CA224" i="1"/>
  <c r="BZ224" i="1"/>
  <c r="BY224" i="1"/>
  <c r="BX224" i="1"/>
  <c r="BW224" i="1"/>
  <c r="BV224" i="1"/>
  <c r="BU224" i="1"/>
  <c r="BT224" i="1"/>
  <c r="BS224" i="1"/>
  <c r="BR224" i="1"/>
  <c r="BQ224" i="1"/>
  <c r="BP224" i="1"/>
  <c r="BO224" i="1"/>
  <c r="BN224" i="1"/>
  <c r="BM224" i="1"/>
  <c r="BL224" i="1"/>
  <c r="BK224" i="1"/>
  <c r="BJ224" i="1"/>
  <c r="BI224" i="1"/>
  <c r="BH224" i="1"/>
  <c r="BG224" i="1"/>
  <c r="AT224" i="1"/>
  <c r="I224" i="1"/>
  <c r="CB223" i="1"/>
  <c r="CA223" i="1"/>
  <c r="BZ223" i="1"/>
  <c r="BY223" i="1"/>
  <c r="BX223" i="1"/>
  <c r="BW223" i="1"/>
  <c r="BV223" i="1"/>
  <c r="BU223" i="1"/>
  <c r="BT223" i="1"/>
  <c r="BS223" i="1"/>
  <c r="BR223" i="1"/>
  <c r="BQ223" i="1"/>
  <c r="BP223" i="1"/>
  <c r="BO223" i="1"/>
  <c r="BN223" i="1"/>
  <c r="BM223" i="1"/>
  <c r="BL223" i="1"/>
  <c r="BK223" i="1"/>
  <c r="BJ223" i="1"/>
  <c r="BI223" i="1"/>
  <c r="BH223" i="1"/>
  <c r="BG223" i="1"/>
  <c r="AT223" i="1"/>
  <c r="CC223" i="1"/>
  <c r="I223" i="1"/>
  <c r="AU223" i="1" s="1"/>
  <c r="CB222" i="1"/>
  <c r="CA222" i="1"/>
  <c r="BZ222" i="1"/>
  <c r="BY222" i="1"/>
  <c r="BX222" i="1"/>
  <c r="BW222" i="1"/>
  <c r="BV222" i="1"/>
  <c r="BU222" i="1"/>
  <c r="BT222" i="1"/>
  <c r="BS222" i="1"/>
  <c r="BR222" i="1"/>
  <c r="BQ222" i="1"/>
  <c r="BP222" i="1"/>
  <c r="BO222" i="1"/>
  <c r="BN222" i="1"/>
  <c r="BM222" i="1"/>
  <c r="BL222" i="1"/>
  <c r="BK222" i="1"/>
  <c r="BJ222" i="1"/>
  <c r="BI222" i="1"/>
  <c r="BH222" i="1"/>
  <c r="BG222" i="1"/>
  <c r="AT222" i="1"/>
  <c r="I222" i="1"/>
  <c r="AU222" i="1" s="1"/>
  <c r="CC221" i="1"/>
  <c r="CB221" i="1"/>
  <c r="CA221" i="1"/>
  <c r="BZ221" i="1"/>
  <c r="BY221" i="1"/>
  <c r="BX221" i="1"/>
  <c r="BW221" i="1"/>
  <c r="BV221" i="1"/>
  <c r="BU221" i="1"/>
  <c r="BT221" i="1"/>
  <c r="BS221" i="1"/>
  <c r="BR221" i="1"/>
  <c r="BQ221" i="1"/>
  <c r="BP221" i="1"/>
  <c r="BO221" i="1"/>
  <c r="BN221" i="1"/>
  <c r="BM221" i="1"/>
  <c r="BL221" i="1"/>
  <c r="BK221" i="1"/>
  <c r="BJ221" i="1"/>
  <c r="BI221" i="1"/>
  <c r="BH221" i="1"/>
  <c r="BG221" i="1"/>
  <c r="AT221" i="1"/>
  <c r="AM221" i="1"/>
  <c r="AZ221" i="1" s="1"/>
  <c r="I221" i="1"/>
  <c r="AU221" i="1" s="1"/>
  <c r="CC220" i="1"/>
  <c r="CB220" i="1"/>
  <c r="CA220" i="1"/>
  <c r="BZ220" i="1"/>
  <c r="BY220" i="1"/>
  <c r="BX220" i="1"/>
  <c r="BW220" i="1"/>
  <c r="BV220" i="1"/>
  <c r="BU220" i="1"/>
  <c r="BT220" i="1"/>
  <c r="BS220" i="1"/>
  <c r="BR220" i="1"/>
  <c r="BQ220" i="1"/>
  <c r="BP220" i="1"/>
  <c r="BO220" i="1"/>
  <c r="BN220" i="1"/>
  <c r="BM220" i="1"/>
  <c r="BL220" i="1"/>
  <c r="BK220" i="1"/>
  <c r="BJ220" i="1"/>
  <c r="BI220" i="1"/>
  <c r="BH220" i="1"/>
  <c r="BG220" i="1"/>
  <c r="AT220" i="1"/>
  <c r="AM220" i="1"/>
  <c r="I220" i="1"/>
  <c r="AU220" i="1" s="1"/>
  <c r="CC219" i="1"/>
  <c r="CB219" i="1"/>
  <c r="CA219" i="1"/>
  <c r="BZ219" i="1"/>
  <c r="BY219" i="1"/>
  <c r="BX219" i="1"/>
  <c r="BW219" i="1"/>
  <c r="BV219" i="1"/>
  <c r="BU219" i="1"/>
  <c r="BT219" i="1"/>
  <c r="BS219" i="1"/>
  <c r="BR219" i="1"/>
  <c r="BQ219" i="1"/>
  <c r="BP219" i="1"/>
  <c r="BO219" i="1"/>
  <c r="BN219" i="1"/>
  <c r="BM219" i="1"/>
  <c r="BL219" i="1"/>
  <c r="BK219" i="1"/>
  <c r="BJ219" i="1"/>
  <c r="BI219" i="1"/>
  <c r="BH219" i="1"/>
  <c r="BG219" i="1"/>
  <c r="AT219" i="1"/>
  <c r="AM219" i="1"/>
  <c r="AP219" i="1" s="1"/>
  <c r="AQ219" i="1" s="1"/>
  <c r="I219" i="1"/>
  <c r="AU219" i="1" s="1"/>
  <c r="CC218" i="1"/>
  <c r="CB218" i="1"/>
  <c r="CA218" i="1"/>
  <c r="BZ218" i="1"/>
  <c r="BY218" i="1"/>
  <c r="BX218" i="1"/>
  <c r="BW218" i="1"/>
  <c r="BV218" i="1"/>
  <c r="BU218" i="1"/>
  <c r="BT218" i="1"/>
  <c r="BS218" i="1"/>
  <c r="BR218" i="1"/>
  <c r="BQ218" i="1"/>
  <c r="BP218" i="1"/>
  <c r="BO218" i="1"/>
  <c r="BN218" i="1"/>
  <c r="BM218" i="1"/>
  <c r="BL218" i="1"/>
  <c r="BK218" i="1"/>
  <c r="BJ218" i="1"/>
  <c r="BI218" i="1"/>
  <c r="BH218" i="1"/>
  <c r="BG218" i="1"/>
  <c r="AT218" i="1"/>
  <c r="AM218" i="1"/>
  <c r="AW218" i="1" s="1"/>
  <c r="I218" i="1"/>
  <c r="AU218" i="1" s="1"/>
  <c r="CB217" i="1"/>
  <c r="CA217" i="1"/>
  <c r="BZ217" i="1"/>
  <c r="BY217" i="1"/>
  <c r="BX217" i="1"/>
  <c r="BW217" i="1"/>
  <c r="BV217" i="1"/>
  <c r="BU217" i="1"/>
  <c r="BT217" i="1"/>
  <c r="BS217" i="1"/>
  <c r="BR217" i="1"/>
  <c r="BQ217" i="1"/>
  <c r="BP217" i="1"/>
  <c r="BO217" i="1"/>
  <c r="BN217" i="1"/>
  <c r="BM217" i="1"/>
  <c r="BL217" i="1"/>
  <c r="BK217" i="1"/>
  <c r="BJ217" i="1"/>
  <c r="BI217" i="1"/>
  <c r="BH217" i="1"/>
  <c r="BG217" i="1"/>
  <c r="AT217" i="1"/>
  <c r="AG217" i="1"/>
  <c r="CC217" i="1" s="1"/>
  <c r="I217" i="1"/>
  <c r="C217" i="1"/>
  <c r="B217" i="1"/>
  <c r="A217" i="1"/>
  <c r="CB216" i="1"/>
  <c r="CA216" i="1"/>
  <c r="BZ216" i="1"/>
  <c r="BY216" i="1"/>
  <c r="BX216" i="1"/>
  <c r="BW216" i="1"/>
  <c r="BV216" i="1"/>
  <c r="BU216" i="1"/>
  <c r="BT216" i="1"/>
  <c r="BS216" i="1"/>
  <c r="BR216" i="1"/>
  <c r="BQ216" i="1"/>
  <c r="BP216" i="1"/>
  <c r="BO216" i="1"/>
  <c r="BN216" i="1"/>
  <c r="BM216" i="1"/>
  <c r="BL216" i="1"/>
  <c r="BK216" i="1"/>
  <c r="BJ216" i="1"/>
  <c r="BI216" i="1"/>
  <c r="BH216" i="1"/>
  <c r="BG216" i="1"/>
  <c r="AT216" i="1"/>
  <c r="AG216" i="1"/>
  <c r="I216" i="1"/>
  <c r="CD216" i="1" s="1"/>
  <c r="C216" i="1"/>
  <c r="B216" i="1"/>
  <c r="A216" i="1"/>
  <c r="CB215" i="1"/>
  <c r="CA215" i="1"/>
  <c r="BZ215" i="1"/>
  <c r="BY215" i="1"/>
  <c r="BX215" i="1"/>
  <c r="BW215" i="1"/>
  <c r="BV215" i="1"/>
  <c r="BU215" i="1"/>
  <c r="BT215" i="1"/>
  <c r="BS215" i="1"/>
  <c r="BR215" i="1"/>
  <c r="BQ215" i="1"/>
  <c r="BP215" i="1"/>
  <c r="BO215" i="1"/>
  <c r="BN215" i="1"/>
  <c r="BM215" i="1"/>
  <c r="BL215" i="1"/>
  <c r="BK215" i="1"/>
  <c r="BJ215" i="1"/>
  <c r="BI215" i="1"/>
  <c r="BH215" i="1"/>
  <c r="BG215" i="1"/>
  <c r="AT215" i="1"/>
  <c r="AG215" i="1"/>
  <c r="AM215" i="1" s="1"/>
  <c r="I215" i="1"/>
  <c r="C215" i="1"/>
  <c r="B215" i="1"/>
  <c r="A215" i="1"/>
  <c r="CB214" i="1"/>
  <c r="CA214" i="1"/>
  <c r="BZ214" i="1"/>
  <c r="BY214" i="1"/>
  <c r="BX214" i="1"/>
  <c r="BW214" i="1"/>
  <c r="BV214" i="1"/>
  <c r="BU214" i="1"/>
  <c r="BT214" i="1"/>
  <c r="BS214" i="1"/>
  <c r="BR214" i="1"/>
  <c r="BQ214" i="1"/>
  <c r="BP214" i="1"/>
  <c r="BO214" i="1"/>
  <c r="BN214" i="1"/>
  <c r="BM214" i="1"/>
  <c r="BL214" i="1"/>
  <c r="BK214" i="1"/>
  <c r="BJ214" i="1"/>
  <c r="BI214" i="1"/>
  <c r="BH214" i="1"/>
  <c r="BG214" i="1"/>
  <c r="AT214" i="1"/>
  <c r="AG214" i="1"/>
  <c r="CC214" i="1" s="1"/>
  <c r="I214" i="1"/>
  <c r="C214" i="1"/>
  <c r="B214" i="1"/>
  <c r="A214" i="1"/>
  <c r="CB213" i="1"/>
  <c r="CA213" i="1"/>
  <c r="BZ213" i="1"/>
  <c r="BY213" i="1"/>
  <c r="BX213" i="1"/>
  <c r="BW213" i="1"/>
  <c r="BV213" i="1"/>
  <c r="BU213" i="1"/>
  <c r="BT213" i="1"/>
  <c r="BS213" i="1"/>
  <c r="BR213" i="1"/>
  <c r="BQ213" i="1"/>
  <c r="BP213" i="1"/>
  <c r="BO213" i="1"/>
  <c r="BN213" i="1"/>
  <c r="BM213" i="1"/>
  <c r="BL213" i="1"/>
  <c r="BK213" i="1"/>
  <c r="BJ213" i="1"/>
  <c r="BI213" i="1"/>
  <c r="BH213" i="1"/>
  <c r="BG213" i="1"/>
  <c r="AT213" i="1"/>
  <c r="AG213" i="1"/>
  <c r="I213" i="1"/>
  <c r="CD213" i="1" s="1"/>
  <c r="C213" i="1"/>
  <c r="B213" i="1"/>
  <c r="A213" i="1"/>
  <c r="CB212" i="1"/>
  <c r="CA212" i="1"/>
  <c r="BZ212" i="1"/>
  <c r="BY212" i="1"/>
  <c r="BX212" i="1"/>
  <c r="BW212" i="1"/>
  <c r="BV212" i="1"/>
  <c r="BU212" i="1"/>
  <c r="BT212" i="1"/>
  <c r="BS212" i="1"/>
  <c r="BR212" i="1"/>
  <c r="BQ212" i="1"/>
  <c r="BP212" i="1"/>
  <c r="BO212" i="1"/>
  <c r="BN212" i="1"/>
  <c r="BM212" i="1"/>
  <c r="BL212" i="1"/>
  <c r="BK212" i="1"/>
  <c r="BJ212" i="1"/>
  <c r="BI212" i="1"/>
  <c r="BH212" i="1"/>
  <c r="BG212" i="1"/>
  <c r="AT212" i="1"/>
  <c r="AG212" i="1"/>
  <c r="CC212" i="1" s="1"/>
  <c r="I212" i="1"/>
  <c r="CD212" i="1" s="1"/>
  <c r="C212" i="1"/>
  <c r="B212" i="1"/>
  <c r="A212" i="1"/>
  <c r="CC211" i="1"/>
  <c r="CB211" i="1"/>
  <c r="CA211" i="1"/>
  <c r="BZ211" i="1"/>
  <c r="BY211" i="1"/>
  <c r="BX211" i="1"/>
  <c r="BW211" i="1"/>
  <c r="BV211" i="1"/>
  <c r="BU211" i="1"/>
  <c r="BT211" i="1"/>
  <c r="BS211" i="1"/>
  <c r="BR211" i="1"/>
  <c r="BQ211" i="1"/>
  <c r="BP211" i="1"/>
  <c r="BO211" i="1"/>
  <c r="BN211" i="1"/>
  <c r="BM211" i="1"/>
  <c r="BL211" i="1"/>
  <c r="BK211" i="1"/>
  <c r="BJ211" i="1"/>
  <c r="BI211" i="1"/>
  <c r="BH211" i="1"/>
  <c r="BG211" i="1"/>
  <c r="AT211" i="1"/>
  <c r="AG211" i="1"/>
  <c r="AM211" i="1" s="1"/>
  <c r="I211" i="1"/>
  <c r="C211" i="1"/>
  <c r="B211" i="1"/>
  <c r="A211" i="1"/>
  <c r="CB210" i="1"/>
  <c r="CA210" i="1"/>
  <c r="BZ210" i="1"/>
  <c r="BY210" i="1"/>
  <c r="BX210" i="1"/>
  <c r="BW210" i="1"/>
  <c r="BV210" i="1"/>
  <c r="BU210" i="1"/>
  <c r="BT210" i="1"/>
  <c r="BS210" i="1"/>
  <c r="BR210" i="1"/>
  <c r="BQ210" i="1"/>
  <c r="BP210" i="1"/>
  <c r="BO210" i="1"/>
  <c r="BN210" i="1"/>
  <c r="BM210" i="1"/>
  <c r="BL210" i="1"/>
  <c r="BK210" i="1"/>
  <c r="BJ210" i="1"/>
  <c r="BI210" i="1"/>
  <c r="BH210" i="1"/>
  <c r="BG210" i="1"/>
  <c r="AT210" i="1"/>
  <c r="Y210" i="1"/>
  <c r="AG210" i="1" s="1"/>
  <c r="I210" i="1"/>
  <c r="CD210" i="1" s="1"/>
  <c r="CG210" i="1" s="1"/>
  <c r="C210" i="1"/>
  <c r="B210" i="1"/>
  <c r="A210" i="1"/>
  <c r="CB209" i="1"/>
  <c r="CA209" i="1"/>
  <c r="BZ209" i="1"/>
  <c r="BY209" i="1"/>
  <c r="BX209" i="1"/>
  <c r="BW209" i="1"/>
  <c r="BV209" i="1"/>
  <c r="BU209" i="1"/>
  <c r="BT209" i="1"/>
  <c r="BS209" i="1"/>
  <c r="BR209" i="1"/>
  <c r="BQ209" i="1"/>
  <c r="BP209" i="1"/>
  <c r="BO209" i="1"/>
  <c r="BN209" i="1"/>
  <c r="BM209" i="1"/>
  <c r="BL209" i="1"/>
  <c r="BK209" i="1"/>
  <c r="BJ209" i="1"/>
  <c r="BI209" i="1"/>
  <c r="BH209" i="1"/>
  <c r="BG209" i="1"/>
  <c r="AT209" i="1"/>
  <c r="Y209" i="1"/>
  <c r="AG209" i="1" s="1"/>
  <c r="I209" i="1"/>
  <c r="CD209" i="1" s="1"/>
  <c r="C209" i="1"/>
  <c r="B209" i="1"/>
  <c r="A209" i="1"/>
  <c r="CB208" i="1"/>
  <c r="CA208" i="1"/>
  <c r="BZ208" i="1"/>
  <c r="BY208" i="1"/>
  <c r="BX208" i="1"/>
  <c r="BW208" i="1"/>
  <c r="BV208" i="1"/>
  <c r="BU208" i="1"/>
  <c r="BT208" i="1"/>
  <c r="BS208" i="1"/>
  <c r="BR208" i="1"/>
  <c r="BQ208" i="1"/>
  <c r="BP208" i="1"/>
  <c r="BO208" i="1"/>
  <c r="BN208" i="1"/>
  <c r="BM208" i="1"/>
  <c r="BL208" i="1"/>
  <c r="BK208" i="1"/>
  <c r="BJ208" i="1"/>
  <c r="BI208" i="1"/>
  <c r="BH208" i="1"/>
  <c r="BG208" i="1"/>
  <c r="AT208" i="1"/>
  <c r="Y208" i="1"/>
  <c r="AG208" i="1" s="1"/>
  <c r="I208" i="1"/>
  <c r="CD208" i="1" s="1"/>
  <c r="CG208" i="1" s="1"/>
  <c r="C208" i="1"/>
  <c r="B208" i="1"/>
  <c r="A208" i="1"/>
  <c r="CC207" i="1"/>
  <c r="CB207" i="1"/>
  <c r="CA207" i="1"/>
  <c r="BZ207" i="1"/>
  <c r="BY207" i="1"/>
  <c r="BX207" i="1"/>
  <c r="BW207" i="1"/>
  <c r="BV207" i="1"/>
  <c r="BU207" i="1"/>
  <c r="BT207" i="1"/>
  <c r="BS207" i="1"/>
  <c r="BR207" i="1"/>
  <c r="BQ207" i="1"/>
  <c r="BP207" i="1"/>
  <c r="BO207" i="1"/>
  <c r="BN207" i="1"/>
  <c r="BM207" i="1"/>
  <c r="BL207" i="1"/>
  <c r="BK207" i="1"/>
  <c r="BJ207" i="1"/>
  <c r="BI207" i="1"/>
  <c r="BH207" i="1"/>
  <c r="BG207" i="1"/>
  <c r="AT207" i="1"/>
  <c r="AM207" i="1"/>
  <c r="AW207" i="1" s="1"/>
  <c r="I207" i="1"/>
  <c r="AU207" i="1" s="1"/>
  <c r="C207" i="1"/>
  <c r="B207" i="1"/>
  <c r="A207" i="1"/>
  <c r="CC206" i="1"/>
  <c r="CB206" i="1"/>
  <c r="CA206" i="1"/>
  <c r="BZ206" i="1"/>
  <c r="BY206" i="1"/>
  <c r="BX206" i="1"/>
  <c r="BW206" i="1"/>
  <c r="BV206" i="1"/>
  <c r="BU206" i="1"/>
  <c r="BT206" i="1"/>
  <c r="BS206" i="1"/>
  <c r="BR206" i="1"/>
  <c r="BQ206" i="1"/>
  <c r="BP206" i="1"/>
  <c r="BO206" i="1"/>
  <c r="BN206" i="1"/>
  <c r="BM206" i="1"/>
  <c r="BL206" i="1"/>
  <c r="BK206" i="1"/>
  <c r="BJ206" i="1"/>
  <c r="BI206" i="1"/>
  <c r="BH206" i="1"/>
  <c r="BG206" i="1"/>
  <c r="AT206" i="1"/>
  <c r="AM206" i="1"/>
  <c r="AW206" i="1" s="1"/>
  <c r="I206" i="1"/>
  <c r="AU206" i="1" s="1"/>
  <c r="C206" i="1"/>
  <c r="B206" i="1"/>
  <c r="A206" i="1"/>
  <c r="CC205" i="1"/>
  <c r="CB205" i="1"/>
  <c r="CA205" i="1"/>
  <c r="BZ205" i="1"/>
  <c r="BY205" i="1"/>
  <c r="BX205" i="1"/>
  <c r="BW205" i="1"/>
  <c r="BV205" i="1"/>
  <c r="BU205" i="1"/>
  <c r="BT205" i="1"/>
  <c r="BS205" i="1"/>
  <c r="BR205" i="1"/>
  <c r="BQ205" i="1"/>
  <c r="BP205" i="1"/>
  <c r="BO205" i="1"/>
  <c r="BN205" i="1"/>
  <c r="BM205" i="1"/>
  <c r="BL205" i="1"/>
  <c r="BK205" i="1"/>
  <c r="BJ205" i="1"/>
  <c r="BI205" i="1"/>
  <c r="BH205" i="1"/>
  <c r="BG205" i="1"/>
  <c r="AT205" i="1"/>
  <c r="AM205" i="1"/>
  <c r="AW205" i="1" s="1"/>
  <c r="I205" i="1"/>
  <c r="AU205" i="1" s="1"/>
  <c r="C205" i="1"/>
  <c r="B205" i="1"/>
  <c r="A205" i="1"/>
  <c r="CC204" i="1"/>
  <c r="CB204" i="1"/>
  <c r="CA204" i="1"/>
  <c r="BZ204" i="1"/>
  <c r="BY204" i="1"/>
  <c r="BX204" i="1"/>
  <c r="BW204" i="1"/>
  <c r="BV204" i="1"/>
  <c r="BU204" i="1"/>
  <c r="BT204" i="1"/>
  <c r="BS204" i="1"/>
  <c r="BR204" i="1"/>
  <c r="BQ204" i="1"/>
  <c r="BP204" i="1"/>
  <c r="BO204" i="1"/>
  <c r="BN204" i="1"/>
  <c r="BM204" i="1"/>
  <c r="BL204" i="1"/>
  <c r="BK204" i="1"/>
  <c r="BJ204" i="1"/>
  <c r="BI204" i="1"/>
  <c r="BH204" i="1"/>
  <c r="BG204" i="1"/>
  <c r="AT204" i="1"/>
  <c r="AM204" i="1"/>
  <c r="AW204" i="1" s="1"/>
  <c r="I204" i="1"/>
  <c r="AU204" i="1" s="1"/>
  <c r="C204" i="1"/>
  <c r="B204" i="1"/>
  <c r="A204" i="1"/>
  <c r="CC203" i="1"/>
  <c r="CB203" i="1"/>
  <c r="CA203" i="1"/>
  <c r="BZ203" i="1"/>
  <c r="BY203" i="1"/>
  <c r="BX203" i="1"/>
  <c r="BW203" i="1"/>
  <c r="BV203" i="1"/>
  <c r="BU203" i="1"/>
  <c r="BT203" i="1"/>
  <c r="BS203" i="1"/>
  <c r="BR203" i="1"/>
  <c r="BQ203" i="1"/>
  <c r="BP203" i="1"/>
  <c r="BO203" i="1"/>
  <c r="BN203" i="1"/>
  <c r="BM203" i="1"/>
  <c r="BL203" i="1"/>
  <c r="BK203" i="1"/>
  <c r="BJ203" i="1"/>
  <c r="BI203" i="1"/>
  <c r="BH203" i="1"/>
  <c r="BG203" i="1"/>
  <c r="AT203" i="1"/>
  <c r="AM203" i="1"/>
  <c r="AW203" i="1" s="1"/>
  <c r="I203" i="1"/>
  <c r="AU203" i="1" s="1"/>
  <c r="C203" i="1"/>
  <c r="B203" i="1"/>
  <c r="A203" i="1"/>
  <c r="CB202" i="1"/>
  <c r="CA202" i="1"/>
  <c r="BZ202" i="1"/>
  <c r="BY202" i="1"/>
  <c r="BX202" i="1"/>
  <c r="BW202" i="1"/>
  <c r="BV202" i="1"/>
  <c r="BU202" i="1"/>
  <c r="BT202" i="1"/>
  <c r="BS202" i="1"/>
  <c r="BR202" i="1"/>
  <c r="BQ202" i="1"/>
  <c r="BP202" i="1"/>
  <c r="BO202" i="1"/>
  <c r="BN202" i="1"/>
  <c r="BM202" i="1"/>
  <c r="BL202" i="1"/>
  <c r="BK202" i="1"/>
  <c r="BJ202" i="1"/>
  <c r="BI202" i="1"/>
  <c r="BH202" i="1"/>
  <c r="BG202" i="1"/>
  <c r="AT202" i="1"/>
  <c r="CC202" i="1"/>
  <c r="I202" i="1"/>
  <c r="CD202" i="1" s="1"/>
  <c r="CG202" i="1" s="1"/>
  <c r="C202" i="1"/>
  <c r="B202" i="1"/>
  <c r="A202" i="1"/>
  <c r="CB201" i="1"/>
  <c r="CA201" i="1"/>
  <c r="BZ201" i="1"/>
  <c r="BY201" i="1"/>
  <c r="BX201" i="1"/>
  <c r="BW201" i="1"/>
  <c r="BV201" i="1"/>
  <c r="BU201" i="1"/>
  <c r="BT201" i="1"/>
  <c r="BS201" i="1"/>
  <c r="BR201" i="1"/>
  <c r="BQ201" i="1"/>
  <c r="BP201" i="1"/>
  <c r="BO201" i="1"/>
  <c r="BN201" i="1"/>
  <c r="BM201" i="1"/>
  <c r="BL201" i="1"/>
  <c r="BK201" i="1"/>
  <c r="BJ201" i="1"/>
  <c r="BI201" i="1"/>
  <c r="BH201" i="1"/>
  <c r="BG201" i="1"/>
  <c r="AT201" i="1"/>
  <c r="CC201" i="1"/>
  <c r="I201" i="1"/>
  <c r="AU201" i="1" s="1"/>
  <c r="C201" i="1"/>
  <c r="B201" i="1"/>
  <c r="A201" i="1"/>
  <c r="CB200" i="1"/>
  <c r="CA200" i="1"/>
  <c r="BZ200" i="1"/>
  <c r="BY200" i="1"/>
  <c r="BX200" i="1"/>
  <c r="BW200" i="1"/>
  <c r="BV200" i="1"/>
  <c r="BU200" i="1"/>
  <c r="BT200" i="1"/>
  <c r="BS200" i="1"/>
  <c r="BR200" i="1"/>
  <c r="BQ200" i="1"/>
  <c r="BP200" i="1"/>
  <c r="BO200" i="1"/>
  <c r="BN200" i="1"/>
  <c r="BM200" i="1"/>
  <c r="BL200" i="1"/>
  <c r="BK200" i="1"/>
  <c r="BJ200" i="1"/>
  <c r="BI200" i="1"/>
  <c r="BH200" i="1"/>
  <c r="BG200" i="1"/>
  <c r="AT200" i="1"/>
  <c r="CC200" i="1"/>
  <c r="I200" i="1"/>
  <c r="C200" i="1"/>
  <c r="B200" i="1"/>
  <c r="A200" i="1"/>
  <c r="CB199" i="1"/>
  <c r="CA199" i="1"/>
  <c r="BZ199" i="1"/>
  <c r="BY199" i="1"/>
  <c r="BX199" i="1"/>
  <c r="BW199" i="1"/>
  <c r="BV199" i="1"/>
  <c r="BU199" i="1"/>
  <c r="BT199" i="1"/>
  <c r="BS199" i="1"/>
  <c r="BR199" i="1"/>
  <c r="BQ199" i="1"/>
  <c r="BP199" i="1"/>
  <c r="BO199" i="1"/>
  <c r="BN199" i="1"/>
  <c r="BM199" i="1"/>
  <c r="BL199" i="1"/>
  <c r="BK199" i="1"/>
  <c r="BJ199" i="1"/>
  <c r="BI199" i="1"/>
  <c r="BH199" i="1"/>
  <c r="BG199" i="1"/>
  <c r="AT199" i="1"/>
  <c r="I199" i="1"/>
  <c r="CD199" i="1" s="1"/>
  <c r="C199" i="1"/>
  <c r="B199" i="1"/>
  <c r="A199" i="1"/>
  <c r="CB198" i="1"/>
  <c r="CA198" i="1"/>
  <c r="BZ198" i="1"/>
  <c r="BY198" i="1"/>
  <c r="BX198" i="1"/>
  <c r="BW198" i="1"/>
  <c r="BV198" i="1"/>
  <c r="BU198" i="1"/>
  <c r="BT198" i="1"/>
  <c r="BS198" i="1"/>
  <c r="BR198" i="1"/>
  <c r="BQ198" i="1"/>
  <c r="BP198" i="1"/>
  <c r="BO198" i="1"/>
  <c r="BN198" i="1"/>
  <c r="BM198" i="1"/>
  <c r="BL198" i="1"/>
  <c r="BK198" i="1"/>
  <c r="BJ198" i="1"/>
  <c r="BI198" i="1"/>
  <c r="BH198" i="1"/>
  <c r="BG198" i="1"/>
  <c r="AT198" i="1"/>
  <c r="CC198" i="1"/>
  <c r="I198" i="1"/>
  <c r="CD198" i="1" s="1"/>
  <c r="C198" i="1"/>
  <c r="B198" i="1"/>
  <c r="A198" i="1"/>
  <c r="CB197" i="1"/>
  <c r="CA197" i="1"/>
  <c r="BZ197" i="1"/>
  <c r="BY197" i="1"/>
  <c r="BX197" i="1"/>
  <c r="BW197" i="1"/>
  <c r="BV197" i="1"/>
  <c r="BU197" i="1"/>
  <c r="BT197" i="1"/>
  <c r="BS197" i="1"/>
  <c r="BR197" i="1"/>
  <c r="BQ197" i="1"/>
  <c r="BP197" i="1"/>
  <c r="BO197" i="1"/>
  <c r="BN197" i="1"/>
  <c r="BM197" i="1"/>
  <c r="BL197" i="1"/>
  <c r="BK197" i="1"/>
  <c r="BJ197" i="1"/>
  <c r="BI197" i="1"/>
  <c r="BH197" i="1"/>
  <c r="BG197" i="1"/>
  <c r="AT197" i="1"/>
  <c r="CC197" i="1"/>
  <c r="I197" i="1"/>
  <c r="AU197" i="1" s="1"/>
  <c r="C197" i="1"/>
  <c r="B197" i="1"/>
  <c r="A197" i="1"/>
  <c r="CB196" i="1"/>
  <c r="CA196" i="1"/>
  <c r="BZ196" i="1"/>
  <c r="BY196" i="1"/>
  <c r="BX196" i="1"/>
  <c r="BW196" i="1"/>
  <c r="BV196" i="1"/>
  <c r="BU196" i="1"/>
  <c r="BT196" i="1"/>
  <c r="BS196" i="1"/>
  <c r="BR196" i="1"/>
  <c r="BQ196" i="1"/>
  <c r="BP196" i="1"/>
  <c r="BO196" i="1"/>
  <c r="BN196" i="1"/>
  <c r="BM196" i="1"/>
  <c r="BL196" i="1"/>
  <c r="BK196" i="1"/>
  <c r="BJ196" i="1"/>
  <c r="BI196" i="1"/>
  <c r="BH196" i="1"/>
  <c r="BG196" i="1"/>
  <c r="AT196" i="1"/>
  <c r="CC196" i="1"/>
  <c r="I196" i="1"/>
  <c r="C196" i="1"/>
  <c r="B196" i="1"/>
  <c r="A196" i="1"/>
  <c r="CB195" i="1"/>
  <c r="CA195" i="1"/>
  <c r="BZ195" i="1"/>
  <c r="BY195" i="1"/>
  <c r="BX195" i="1"/>
  <c r="BW195" i="1"/>
  <c r="BV195" i="1"/>
  <c r="BU195" i="1"/>
  <c r="BT195" i="1"/>
  <c r="BS195" i="1"/>
  <c r="BR195" i="1"/>
  <c r="BQ195" i="1"/>
  <c r="BP195" i="1"/>
  <c r="BO195" i="1"/>
  <c r="BN195" i="1"/>
  <c r="BM195" i="1"/>
  <c r="BL195" i="1"/>
  <c r="BK195" i="1"/>
  <c r="BJ195" i="1"/>
  <c r="BI195" i="1"/>
  <c r="BH195" i="1"/>
  <c r="BG195" i="1"/>
  <c r="AT195" i="1"/>
  <c r="I195" i="1"/>
  <c r="CD195" i="1" s="1"/>
  <c r="C195" i="1"/>
  <c r="B195" i="1"/>
  <c r="A195" i="1"/>
  <c r="CC194" i="1"/>
  <c r="CB194" i="1"/>
  <c r="CA194" i="1"/>
  <c r="BZ194" i="1"/>
  <c r="BY194" i="1"/>
  <c r="BX194" i="1"/>
  <c r="BW194" i="1"/>
  <c r="BV194" i="1"/>
  <c r="BU194" i="1"/>
  <c r="BT194" i="1"/>
  <c r="BS194" i="1"/>
  <c r="BR194" i="1"/>
  <c r="BQ194" i="1"/>
  <c r="BP194" i="1"/>
  <c r="BO194" i="1"/>
  <c r="BN194" i="1"/>
  <c r="BM194" i="1"/>
  <c r="BL194" i="1"/>
  <c r="BK194" i="1"/>
  <c r="BJ194" i="1"/>
  <c r="BI194" i="1"/>
  <c r="BH194" i="1"/>
  <c r="BG194" i="1"/>
  <c r="AT194" i="1"/>
  <c r="AM194" i="1"/>
  <c r="AW194" i="1" s="1"/>
  <c r="I194" i="1"/>
  <c r="AU194" i="1" s="1"/>
  <c r="C194" i="1"/>
  <c r="B194" i="1"/>
  <c r="A194" i="1"/>
  <c r="CC193" i="1"/>
  <c r="CB193" i="1"/>
  <c r="CA193" i="1"/>
  <c r="BZ193" i="1"/>
  <c r="BY193" i="1"/>
  <c r="BX193" i="1"/>
  <c r="BW193" i="1"/>
  <c r="BV193" i="1"/>
  <c r="BU193" i="1"/>
  <c r="BT193" i="1"/>
  <c r="BS193" i="1"/>
  <c r="BR193" i="1"/>
  <c r="BQ193" i="1"/>
  <c r="BP193" i="1"/>
  <c r="BO193" i="1"/>
  <c r="BN193" i="1"/>
  <c r="BM193" i="1"/>
  <c r="BL193" i="1"/>
  <c r="BK193" i="1"/>
  <c r="BJ193" i="1"/>
  <c r="BI193" i="1"/>
  <c r="BH193" i="1"/>
  <c r="BG193" i="1"/>
  <c r="AT193" i="1"/>
  <c r="AM193" i="1"/>
  <c r="AW193" i="1" s="1"/>
  <c r="I193" i="1"/>
  <c r="AU193" i="1" s="1"/>
  <c r="C193" i="1"/>
  <c r="B193" i="1"/>
  <c r="A193" i="1"/>
  <c r="CC192" i="1"/>
  <c r="CB192" i="1"/>
  <c r="CA192" i="1"/>
  <c r="BZ192" i="1"/>
  <c r="BY192" i="1"/>
  <c r="BX192" i="1"/>
  <c r="BW192" i="1"/>
  <c r="BV192" i="1"/>
  <c r="BU192" i="1"/>
  <c r="BT192" i="1"/>
  <c r="BS192" i="1"/>
  <c r="BR192" i="1"/>
  <c r="BQ192" i="1"/>
  <c r="BP192" i="1"/>
  <c r="BO192" i="1"/>
  <c r="BN192" i="1"/>
  <c r="BM192" i="1"/>
  <c r="BL192" i="1"/>
  <c r="BK192" i="1"/>
  <c r="BJ192" i="1"/>
  <c r="BI192" i="1"/>
  <c r="BH192" i="1"/>
  <c r="BG192" i="1"/>
  <c r="AT192" i="1"/>
  <c r="AM192" i="1"/>
  <c r="AW192" i="1" s="1"/>
  <c r="I192" i="1"/>
  <c r="AU192" i="1" s="1"/>
  <c r="C192" i="1"/>
  <c r="B192" i="1"/>
  <c r="A192" i="1"/>
  <c r="CC191" i="1"/>
  <c r="CB191" i="1"/>
  <c r="CA191" i="1"/>
  <c r="BZ191" i="1"/>
  <c r="BY191" i="1"/>
  <c r="BX191" i="1"/>
  <c r="BW191" i="1"/>
  <c r="BV191" i="1"/>
  <c r="BU191" i="1"/>
  <c r="BT191" i="1"/>
  <c r="BS191" i="1"/>
  <c r="BR191" i="1"/>
  <c r="BQ191" i="1"/>
  <c r="BP191" i="1"/>
  <c r="BO191" i="1"/>
  <c r="BN191" i="1"/>
  <c r="BM191" i="1"/>
  <c r="BL191" i="1"/>
  <c r="BK191" i="1"/>
  <c r="BJ191" i="1"/>
  <c r="BI191" i="1"/>
  <c r="BH191" i="1"/>
  <c r="BG191" i="1"/>
  <c r="AT191" i="1"/>
  <c r="AM191" i="1"/>
  <c r="AW191" i="1" s="1"/>
  <c r="I191" i="1"/>
  <c r="AU191" i="1" s="1"/>
  <c r="C191" i="1"/>
  <c r="B191" i="1"/>
  <c r="A191" i="1"/>
  <c r="CC190" i="1"/>
  <c r="CB190" i="1"/>
  <c r="CA190" i="1"/>
  <c r="BZ190" i="1"/>
  <c r="BY190" i="1"/>
  <c r="BX190" i="1"/>
  <c r="BW190" i="1"/>
  <c r="BV190" i="1"/>
  <c r="BU190" i="1"/>
  <c r="BT190" i="1"/>
  <c r="BS190" i="1"/>
  <c r="BR190" i="1"/>
  <c r="BQ190" i="1"/>
  <c r="BP190" i="1"/>
  <c r="BO190" i="1"/>
  <c r="BN190" i="1"/>
  <c r="BM190" i="1"/>
  <c r="BL190" i="1"/>
  <c r="BK190" i="1"/>
  <c r="BJ190" i="1"/>
  <c r="BI190" i="1"/>
  <c r="BH190" i="1"/>
  <c r="BG190" i="1"/>
  <c r="AT190" i="1"/>
  <c r="AM190" i="1"/>
  <c r="AW190" i="1" s="1"/>
  <c r="I190" i="1"/>
  <c r="AU190" i="1" s="1"/>
  <c r="C190" i="1"/>
  <c r="B190" i="1"/>
  <c r="A190" i="1"/>
  <c r="CC189" i="1"/>
  <c r="CB189" i="1"/>
  <c r="CA189" i="1"/>
  <c r="BZ189" i="1"/>
  <c r="BY189" i="1"/>
  <c r="BX189" i="1"/>
  <c r="BW189" i="1"/>
  <c r="BV189" i="1"/>
  <c r="BU189" i="1"/>
  <c r="BT189" i="1"/>
  <c r="BS189" i="1"/>
  <c r="BR189" i="1"/>
  <c r="BQ189" i="1"/>
  <c r="BP189" i="1"/>
  <c r="BO189" i="1"/>
  <c r="BN189" i="1"/>
  <c r="BM189" i="1"/>
  <c r="BL189" i="1"/>
  <c r="BK189" i="1"/>
  <c r="BJ189" i="1"/>
  <c r="BI189" i="1"/>
  <c r="BH189" i="1"/>
  <c r="BG189" i="1"/>
  <c r="AT189" i="1"/>
  <c r="AM189" i="1"/>
  <c r="AW189" i="1" s="1"/>
  <c r="I189" i="1"/>
  <c r="AU189" i="1" s="1"/>
  <c r="C189" i="1"/>
  <c r="B189" i="1"/>
  <c r="A189" i="1"/>
  <c r="CC188" i="1"/>
  <c r="CB188" i="1"/>
  <c r="CA188" i="1"/>
  <c r="BZ188" i="1"/>
  <c r="BY188" i="1"/>
  <c r="BX188" i="1"/>
  <c r="BW188" i="1"/>
  <c r="BV188" i="1"/>
  <c r="BU188" i="1"/>
  <c r="BT188" i="1"/>
  <c r="BS188" i="1"/>
  <c r="BR188" i="1"/>
  <c r="BQ188" i="1"/>
  <c r="BP188" i="1"/>
  <c r="BO188" i="1"/>
  <c r="BN188" i="1"/>
  <c r="BM188" i="1"/>
  <c r="BL188" i="1"/>
  <c r="BK188" i="1"/>
  <c r="BJ188" i="1"/>
  <c r="BI188" i="1"/>
  <c r="BH188" i="1"/>
  <c r="BG188" i="1"/>
  <c r="AT188" i="1"/>
  <c r="AM188" i="1"/>
  <c r="AW188" i="1" s="1"/>
  <c r="I188" i="1"/>
  <c r="AU188" i="1" s="1"/>
  <c r="C188" i="1"/>
  <c r="B188" i="1"/>
  <c r="A188" i="1"/>
  <c r="CC187" i="1"/>
  <c r="CB187" i="1"/>
  <c r="CA187" i="1"/>
  <c r="BZ187" i="1"/>
  <c r="BY187" i="1"/>
  <c r="BX187" i="1"/>
  <c r="BW187" i="1"/>
  <c r="BV187" i="1"/>
  <c r="BU187" i="1"/>
  <c r="BT187" i="1"/>
  <c r="BS187" i="1"/>
  <c r="BR187" i="1"/>
  <c r="BQ187" i="1"/>
  <c r="BP187" i="1"/>
  <c r="BO187" i="1"/>
  <c r="BN187" i="1"/>
  <c r="BM187" i="1"/>
  <c r="BL187" i="1"/>
  <c r="BK187" i="1"/>
  <c r="BJ187" i="1"/>
  <c r="BI187" i="1"/>
  <c r="BH187" i="1"/>
  <c r="BG187" i="1"/>
  <c r="AT187" i="1"/>
  <c r="AM187" i="1"/>
  <c r="AW187" i="1" s="1"/>
  <c r="I187" i="1"/>
  <c r="AU187" i="1" s="1"/>
  <c r="C187" i="1"/>
  <c r="B187" i="1"/>
  <c r="A187" i="1"/>
  <c r="CC186" i="1"/>
  <c r="CB186" i="1"/>
  <c r="CA186" i="1"/>
  <c r="BZ186" i="1"/>
  <c r="BY186" i="1"/>
  <c r="BX186" i="1"/>
  <c r="BW186" i="1"/>
  <c r="BV186" i="1"/>
  <c r="BU186" i="1"/>
  <c r="BT186" i="1"/>
  <c r="BS186" i="1"/>
  <c r="BR186" i="1"/>
  <c r="BQ186" i="1"/>
  <c r="BP186" i="1"/>
  <c r="BO186" i="1"/>
  <c r="BN186" i="1"/>
  <c r="BM186" i="1"/>
  <c r="BL186" i="1"/>
  <c r="BK186" i="1"/>
  <c r="BJ186" i="1"/>
  <c r="BI186" i="1"/>
  <c r="BH186" i="1"/>
  <c r="BG186" i="1"/>
  <c r="AT186" i="1"/>
  <c r="AM186" i="1"/>
  <c r="AW186" i="1" s="1"/>
  <c r="I186" i="1"/>
  <c r="AU186" i="1" s="1"/>
  <c r="C186" i="1"/>
  <c r="B186" i="1"/>
  <c r="A186" i="1"/>
  <c r="CC185" i="1"/>
  <c r="CB185" i="1"/>
  <c r="CA185" i="1"/>
  <c r="BZ185" i="1"/>
  <c r="BY185" i="1"/>
  <c r="BX185" i="1"/>
  <c r="BW185" i="1"/>
  <c r="BV185" i="1"/>
  <c r="BU185" i="1"/>
  <c r="BT185" i="1"/>
  <c r="BS185" i="1"/>
  <c r="BR185" i="1"/>
  <c r="BQ185" i="1"/>
  <c r="BP185" i="1"/>
  <c r="BO185" i="1"/>
  <c r="BN185" i="1"/>
  <c r="BM185" i="1"/>
  <c r="BL185" i="1"/>
  <c r="BK185" i="1"/>
  <c r="BJ185" i="1"/>
  <c r="BI185" i="1"/>
  <c r="BH185" i="1"/>
  <c r="BG185" i="1"/>
  <c r="AT185" i="1"/>
  <c r="AM185" i="1"/>
  <c r="AW185" i="1" s="1"/>
  <c r="I185" i="1"/>
  <c r="AU185" i="1" s="1"/>
  <c r="C185" i="1"/>
  <c r="B185" i="1"/>
  <c r="A185" i="1"/>
  <c r="CC184" i="1"/>
  <c r="CB184" i="1"/>
  <c r="CA184" i="1"/>
  <c r="BZ184" i="1"/>
  <c r="BY184" i="1"/>
  <c r="BX184" i="1"/>
  <c r="BW184" i="1"/>
  <c r="BV184" i="1"/>
  <c r="BU184" i="1"/>
  <c r="BT184" i="1"/>
  <c r="BS184" i="1"/>
  <c r="BR184" i="1"/>
  <c r="BQ184" i="1"/>
  <c r="BP184" i="1"/>
  <c r="BO184" i="1"/>
  <c r="BN184" i="1"/>
  <c r="BM184" i="1"/>
  <c r="BL184" i="1"/>
  <c r="BK184" i="1"/>
  <c r="BJ184" i="1"/>
  <c r="BI184" i="1"/>
  <c r="BH184" i="1"/>
  <c r="BG184" i="1"/>
  <c r="AT184" i="1"/>
  <c r="AM184" i="1"/>
  <c r="AW184" i="1" s="1"/>
  <c r="I184" i="1"/>
  <c r="AU184" i="1" s="1"/>
  <c r="C184" i="1"/>
  <c r="B184" i="1"/>
  <c r="A184" i="1"/>
  <c r="CB183" i="1"/>
  <c r="CA183" i="1"/>
  <c r="BZ183" i="1"/>
  <c r="BY183" i="1"/>
  <c r="BX183" i="1"/>
  <c r="BW183" i="1"/>
  <c r="BV183" i="1"/>
  <c r="BU183" i="1"/>
  <c r="BT183" i="1"/>
  <c r="BS183" i="1"/>
  <c r="BR183" i="1"/>
  <c r="BQ183" i="1"/>
  <c r="BP183" i="1"/>
  <c r="BO183" i="1"/>
  <c r="BN183" i="1"/>
  <c r="BM183" i="1"/>
  <c r="BL183" i="1"/>
  <c r="BK183" i="1"/>
  <c r="BJ183" i="1"/>
  <c r="BI183" i="1"/>
  <c r="BH183" i="1"/>
  <c r="BG183" i="1"/>
  <c r="AT183" i="1"/>
  <c r="I183" i="1"/>
  <c r="CD183" i="1" s="1"/>
  <c r="C183" i="1"/>
  <c r="B183" i="1"/>
  <c r="A183" i="1"/>
  <c r="CB182" i="1"/>
  <c r="CA182" i="1"/>
  <c r="BZ182" i="1"/>
  <c r="BY182" i="1"/>
  <c r="BX182" i="1"/>
  <c r="BW182" i="1"/>
  <c r="BV182" i="1"/>
  <c r="BU182" i="1"/>
  <c r="BT182" i="1"/>
  <c r="BS182" i="1"/>
  <c r="BR182" i="1"/>
  <c r="BQ182" i="1"/>
  <c r="BP182" i="1"/>
  <c r="BO182" i="1"/>
  <c r="BN182" i="1"/>
  <c r="BM182" i="1"/>
  <c r="BL182" i="1"/>
  <c r="BK182" i="1"/>
  <c r="BJ182" i="1"/>
  <c r="BI182" i="1"/>
  <c r="BH182" i="1"/>
  <c r="BG182" i="1"/>
  <c r="AT182" i="1"/>
  <c r="CC182" i="1"/>
  <c r="I182" i="1"/>
  <c r="CD182" i="1" s="1"/>
  <c r="C182" i="1"/>
  <c r="B182" i="1"/>
  <c r="A182" i="1"/>
  <c r="CB181" i="1"/>
  <c r="CA181" i="1"/>
  <c r="BZ181" i="1"/>
  <c r="BY181" i="1"/>
  <c r="BX181" i="1"/>
  <c r="BW181" i="1"/>
  <c r="BV181" i="1"/>
  <c r="BU181" i="1"/>
  <c r="BT181" i="1"/>
  <c r="BS181" i="1"/>
  <c r="BR181" i="1"/>
  <c r="BQ181" i="1"/>
  <c r="BP181" i="1"/>
  <c r="BO181" i="1"/>
  <c r="BN181" i="1"/>
  <c r="BM181" i="1"/>
  <c r="BL181" i="1"/>
  <c r="BK181" i="1"/>
  <c r="BJ181" i="1"/>
  <c r="BI181" i="1"/>
  <c r="BH181" i="1"/>
  <c r="BG181" i="1"/>
  <c r="AT181" i="1"/>
  <c r="CC181" i="1"/>
  <c r="I181" i="1"/>
  <c r="C181" i="1"/>
  <c r="B181" i="1"/>
  <c r="A181" i="1"/>
  <c r="CB180" i="1"/>
  <c r="CA180" i="1"/>
  <c r="BZ180" i="1"/>
  <c r="BY180" i="1"/>
  <c r="BX180" i="1"/>
  <c r="BW180" i="1"/>
  <c r="BV180" i="1"/>
  <c r="BU180" i="1"/>
  <c r="BT180" i="1"/>
  <c r="BS180" i="1"/>
  <c r="BR180" i="1"/>
  <c r="BQ180" i="1"/>
  <c r="BP180" i="1"/>
  <c r="BO180" i="1"/>
  <c r="BN180" i="1"/>
  <c r="BM180" i="1"/>
  <c r="BL180" i="1"/>
  <c r="BK180" i="1"/>
  <c r="BJ180" i="1"/>
  <c r="BI180" i="1"/>
  <c r="BH180" i="1"/>
  <c r="BG180" i="1"/>
  <c r="AT180" i="1"/>
  <c r="I180" i="1"/>
  <c r="CD180" i="1" s="1"/>
  <c r="C180" i="1"/>
  <c r="B180" i="1"/>
  <c r="A180" i="1"/>
  <c r="CB179" i="1"/>
  <c r="CA179" i="1"/>
  <c r="BZ179" i="1"/>
  <c r="BY179" i="1"/>
  <c r="BX179" i="1"/>
  <c r="BW179" i="1"/>
  <c r="BV179" i="1"/>
  <c r="BU179" i="1"/>
  <c r="BT179" i="1"/>
  <c r="BS179" i="1"/>
  <c r="BR179" i="1"/>
  <c r="BQ179" i="1"/>
  <c r="BP179" i="1"/>
  <c r="BO179" i="1"/>
  <c r="BN179" i="1"/>
  <c r="BM179" i="1"/>
  <c r="BL179" i="1"/>
  <c r="BK179" i="1"/>
  <c r="BJ179" i="1"/>
  <c r="BI179" i="1"/>
  <c r="BH179" i="1"/>
  <c r="BG179" i="1"/>
  <c r="AT179" i="1"/>
  <c r="CC179" i="1"/>
  <c r="I179" i="1"/>
  <c r="AU179" i="1" s="1"/>
  <c r="C179" i="1"/>
  <c r="B179" i="1"/>
  <c r="A179" i="1"/>
  <c r="CB178" i="1"/>
  <c r="CA178" i="1"/>
  <c r="BZ178" i="1"/>
  <c r="BY178" i="1"/>
  <c r="BX178" i="1"/>
  <c r="BW178" i="1"/>
  <c r="BV178" i="1"/>
  <c r="BU178" i="1"/>
  <c r="BT178" i="1"/>
  <c r="BS178" i="1"/>
  <c r="BR178" i="1"/>
  <c r="BQ178" i="1"/>
  <c r="BP178" i="1"/>
  <c r="BO178" i="1"/>
  <c r="BN178" i="1"/>
  <c r="BM178" i="1"/>
  <c r="BL178" i="1"/>
  <c r="BK178" i="1"/>
  <c r="BJ178" i="1"/>
  <c r="BI178" i="1"/>
  <c r="BH178" i="1"/>
  <c r="BG178" i="1"/>
  <c r="AT178" i="1"/>
  <c r="CC178" i="1"/>
  <c r="I178" i="1"/>
  <c r="AU178" i="1" s="1"/>
  <c r="C178" i="1"/>
  <c r="B178" i="1"/>
  <c r="A178" i="1"/>
  <c r="CB177" i="1"/>
  <c r="CA177" i="1"/>
  <c r="BZ177" i="1"/>
  <c r="BY177" i="1"/>
  <c r="BX177" i="1"/>
  <c r="BW177" i="1"/>
  <c r="BV177" i="1"/>
  <c r="BU177" i="1"/>
  <c r="BT177" i="1"/>
  <c r="BS177" i="1"/>
  <c r="BR177" i="1"/>
  <c r="BQ177" i="1"/>
  <c r="BP177" i="1"/>
  <c r="BO177" i="1"/>
  <c r="BN177" i="1"/>
  <c r="BM177" i="1"/>
  <c r="BL177" i="1"/>
  <c r="BK177" i="1"/>
  <c r="BJ177" i="1"/>
  <c r="BI177" i="1"/>
  <c r="BH177" i="1"/>
  <c r="BG177" i="1"/>
  <c r="AT177" i="1"/>
  <c r="CC177" i="1"/>
  <c r="I177" i="1"/>
  <c r="C177" i="1"/>
  <c r="B177" i="1"/>
  <c r="A177" i="1"/>
  <c r="CB176" i="1"/>
  <c r="CA176" i="1"/>
  <c r="BZ176" i="1"/>
  <c r="BY176" i="1"/>
  <c r="BX176" i="1"/>
  <c r="BW176" i="1"/>
  <c r="BV176" i="1"/>
  <c r="BU176" i="1"/>
  <c r="BT176" i="1"/>
  <c r="BS176" i="1"/>
  <c r="BR176" i="1"/>
  <c r="BQ176" i="1"/>
  <c r="BP176" i="1"/>
  <c r="BO176" i="1"/>
  <c r="BN176" i="1"/>
  <c r="BM176" i="1"/>
  <c r="BL176" i="1"/>
  <c r="BK176" i="1"/>
  <c r="BJ176" i="1"/>
  <c r="BI176" i="1"/>
  <c r="BH176" i="1"/>
  <c r="BG176" i="1"/>
  <c r="AT176" i="1"/>
  <c r="I176" i="1"/>
  <c r="CD176" i="1" s="1"/>
  <c r="C176" i="1"/>
  <c r="B176" i="1"/>
  <c r="A176" i="1"/>
  <c r="CB175" i="1"/>
  <c r="CA175" i="1"/>
  <c r="BZ175" i="1"/>
  <c r="BY175" i="1"/>
  <c r="BX175" i="1"/>
  <c r="BW175" i="1"/>
  <c r="BV175" i="1"/>
  <c r="BU175" i="1"/>
  <c r="BT175" i="1"/>
  <c r="BS175" i="1"/>
  <c r="BR175" i="1"/>
  <c r="BQ175" i="1"/>
  <c r="BP175" i="1"/>
  <c r="BO175" i="1"/>
  <c r="BN175" i="1"/>
  <c r="BM175" i="1"/>
  <c r="BL175" i="1"/>
  <c r="BK175" i="1"/>
  <c r="BJ175" i="1"/>
  <c r="BI175" i="1"/>
  <c r="BH175" i="1"/>
  <c r="BG175" i="1"/>
  <c r="AT175" i="1"/>
  <c r="CC175" i="1"/>
  <c r="I175" i="1"/>
  <c r="AU175" i="1" s="1"/>
  <c r="C175" i="1"/>
  <c r="B175" i="1"/>
  <c r="A175" i="1"/>
  <c r="CB174" i="1"/>
  <c r="CA174" i="1"/>
  <c r="BZ174" i="1"/>
  <c r="BY174" i="1"/>
  <c r="BX174" i="1"/>
  <c r="BW174" i="1"/>
  <c r="BV174" i="1"/>
  <c r="BU174" i="1"/>
  <c r="BT174" i="1"/>
  <c r="BS174" i="1"/>
  <c r="BR174" i="1"/>
  <c r="BQ174" i="1"/>
  <c r="BP174" i="1"/>
  <c r="BO174" i="1"/>
  <c r="BN174" i="1"/>
  <c r="BM174" i="1"/>
  <c r="BL174" i="1"/>
  <c r="BK174" i="1"/>
  <c r="BJ174" i="1"/>
  <c r="BI174" i="1"/>
  <c r="BH174" i="1"/>
  <c r="BG174" i="1"/>
  <c r="AT174" i="1"/>
  <c r="CC174" i="1"/>
  <c r="I174" i="1"/>
  <c r="AU174" i="1" s="1"/>
  <c r="C174" i="1"/>
  <c r="B174" i="1"/>
  <c r="A174" i="1"/>
  <c r="CB173" i="1"/>
  <c r="CA173" i="1"/>
  <c r="BZ173" i="1"/>
  <c r="BY173" i="1"/>
  <c r="BX173" i="1"/>
  <c r="BW173" i="1"/>
  <c r="BV173" i="1"/>
  <c r="BU173" i="1"/>
  <c r="BT173" i="1"/>
  <c r="BS173" i="1"/>
  <c r="BR173" i="1"/>
  <c r="BQ173" i="1"/>
  <c r="BP173" i="1"/>
  <c r="BO173" i="1"/>
  <c r="BN173" i="1"/>
  <c r="BM173" i="1"/>
  <c r="BL173" i="1"/>
  <c r="BK173" i="1"/>
  <c r="BJ173" i="1"/>
  <c r="BI173" i="1"/>
  <c r="BH173" i="1"/>
  <c r="BG173" i="1"/>
  <c r="AT173" i="1"/>
  <c r="AM173" i="1"/>
  <c r="AP173" i="1" s="1"/>
  <c r="AQ173" i="1" s="1"/>
  <c r="I173" i="1"/>
  <c r="C173" i="1"/>
  <c r="B173" i="1"/>
  <c r="A173" i="1"/>
  <c r="CB172" i="1"/>
  <c r="CA172" i="1"/>
  <c r="BZ172" i="1"/>
  <c r="BY172" i="1"/>
  <c r="BX172" i="1"/>
  <c r="BW172" i="1"/>
  <c r="BV172" i="1"/>
  <c r="BU172" i="1"/>
  <c r="BT172" i="1"/>
  <c r="BS172" i="1"/>
  <c r="BR172" i="1"/>
  <c r="BQ172" i="1"/>
  <c r="BP172" i="1"/>
  <c r="BO172" i="1"/>
  <c r="BN172" i="1"/>
  <c r="BM172" i="1"/>
  <c r="BL172" i="1"/>
  <c r="BK172" i="1"/>
  <c r="BJ172" i="1"/>
  <c r="BI172" i="1"/>
  <c r="BH172" i="1"/>
  <c r="BG172" i="1"/>
  <c r="AT172" i="1"/>
  <c r="I172" i="1"/>
  <c r="CD172" i="1" s="1"/>
  <c r="C172" i="1"/>
  <c r="B172" i="1"/>
  <c r="A172" i="1"/>
  <c r="CB171" i="1"/>
  <c r="CA171" i="1"/>
  <c r="BZ171" i="1"/>
  <c r="BY171" i="1"/>
  <c r="BX171" i="1"/>
  <c r="BW171" i="1"/>
  <c r="BV171" i="1"/>
  <c r="BU171" i="1"/>
  <c r="BT171" i="1"/>
  <c r="BS171" i="1"/>
  <c r="BR171" i="1"/>
  <c r="BQ171" i="1"/>
  <c r="BP171" i="1"/>
  <c r="BO171" i="1"/>
  <c r="BN171" i="1"/>
  <c r="BM171" i="1"/>
  <c r="BL171" i="1"/>
  <c r="BK171" i="1"/>
  <c r="BJ171" i="1"/>
  <c r="BI171" i="1"/>
  <c r="BH171" i="1"/>
  <c r="BG171" i="1"/>
  <c r="AT171" i="1"/>
  <c r="I171" i="1"/>
  <c r="CD171" i="1" s="1"/>
  <c r="C171" i="1"/>
  <c r="B171" i="1"/>
  <c r="A171" i="1"/>
  <c r="CB170" i="1"/>
  <c r="CA170" i="1"/>
  <c r="BZ170" i="1"/>
  <c r="BY170" i="1"/>
  <c r="BX170" i="1"/>
  <c r="BW170" i="1"/>
  <c r="BV170" i="1"/>
  <c r="BU170" i="1"/>
  <c r="BT170" i="1"/>
  <c r="BS170" i="1"/>
  <c r="BR170" i="1"/>
  <c r="BQ170" i="1"/>
  <c r="BP170" i="1"/>
  <c r="BO170" i="1"/>
  <c r="BN170" i="1"/>
  <c r="BM170" i="1"/>
  <c r="BL170" i="1"/>
  <c r="BK170" i="1"/>
  <c r="BJ170" i="1"/>
  <c r="BI170" i="1"/>
  <c r="BH170" i="1"/>
  <c r="BG170" i="1"/>
  <c r="AT170" i="1"/>
  <c r="CC170" i="1"/>
  <c r="I170" i="1"/>
  <c r="CD170" i="1" s="1"/>
  <c r="C170" i="1"/>
  <c r="B170" i="1"/>
  <c r="A170" i="1"/>
  <c r="CB169" i="1"/>
  <c r="CA169" i="1"/>
  <c r="BZ169" i="1"/>
  <c r="BY169" i="1"/>
  <c r="BX169" i="1"/>
  <c r="BW169" i="1"/>
  <c r="BV169" i="1"/>
  <c r="BU169" i="1"/>
  <c r="BT169" i="1"/>
  <c r="BS169" i="1"/>
  <c r="BR169" i="1"/>
  <c r="BQ169" i="1"/>
  <c r="BP169" i="1"/>
  <c r="BO169" i="1"/>
  <c r="BN169" i="1"/>
  <c r="BM169" i="1"/>
  <c r="BL169" i="1"/>
  <c r="BK169" i="1"/>
  <c r="BJ169" i="1"/>
  <c r="BI169" i="1"/>
  <c r="BH169" i="1"/>
  <c r="BG169" i="1"/>
  <c r="AT169" i="1"/>
  <c r="CC169" i="1"/>
  <c r="I169" i="1"/>
  <c r="CD169" i="1" s="1"/>
  <c r="C169" i="1"/>
  <c r="B169" i="1"/>
  <c r="A169" i="1"/>
  <c r="CB168" i="1"/>
  <c r="CA168" i="1"/>
  <c r="BZ168" i="1"/>
  <c r="BY168" i="1"/>
  <c r="BX168" i="1"/>
  <c r="BW168" i="1"/>
  <c r="BV168" i="1"/>
  <c r="BU168" i="1"/>
  <c r="BT168" i="1"/>
  <c r="BS168" i="1"/>
  <c r="BR168" i="1"/>
  <c r="BQ168" i="1"/>
  <c r="BP168" i="1"/>
  <c r="BO168" i="1"/>
  <c r="BN168" i="1"/>
  <c r="BM168" i="1"/>
  <c r="BL168" i="1"/>
  <c r="BK168" i="1"/>
  <c r="BJ168" i="1"/>
  <c r="BI168" i="1"/>
  <c r="BH168" i="1"/>
  <c r="BG168" i="1"/>
  <c r="AT168" i="1"/>
  <c r="CC168" i="1"/>
  <c r="I168" i="1"/>
  <c r="C168" i="1"/>
  <c r="B168" i="1"/>
  <c r="A168" i="1"/>
  <c r="CB167" i="1"/>
  <c r="CA167" i="1"/>
  <c r="BZ167" i="1"/>
  <c r="BY167" i="1"/>
  <c r="BX167" i="1"/>
  <c r="BW167" i="1"/>
  <c r="BV167" i="1"/>
  <c r="BU167" i="1"/>
  <c r="BT167" i="1"/>
  <c r="BS167" i="1"/>
  <c r="BR167" i="1"/>
  <c r="BQ167" i="1"/>
  <c r="BP167" i="1"/>
  <c r="BO167" i="1"/>
  <c r="BN167" i="1"/>
  <c r="BM167" i="1"/>
  <c r="BL167" i="1"/>
  <c r="BK167" i="1"/>
  <c r="BJ167" i="1"/>
  <c r="BI167" i="1"/>
  <c r="BH167" i="1"/>
  <c r="BG167" i="1"/>
  <c r="AT167" i="1"/>
  <c r="I167" i="1"/>
  <c r="C167" i="1"/>
  <c r="B167" i="1"/>
  <c r="A167" i="1"/>
  <c r="CB166" i="1"/>
  <c r="CA166" i="1"/>
  <c r="BZ166" i="1"/>
  <c r="BY166" i="1"/>
  <c r="BX166" i="1"/>
  <c r="BW166" i="1"/>
  <c r="BV166" i="1"/>
  <c r="BU166" i="1"/>
  <c r="BT166" i="1"/>
  <c r="BS166" i="1"/>
  <c r="BR166" i="1"/>
  <c r="BQ166" i="1"/>
  <c r="BP166" i="1"/>
  <c r="BO166" i="1"/>
  <c r="BN166" i="1"/>
  <c r="BM166" i="1"/>
  <c r="BL166" i="1"/>
  <c r="BK166" i="1"/>
  <c r="BJ166" i="1"/>
  <c r="BI166" i="1"/>
  <c r="BH166" i="1"/>
  <c r="BG166" i="1"/>
  <c r="AT166" i="1"/>
  <c r="AM166" i="1"/>
  <c r="I166" i="1"/>
  <c r="CD166" i="1" s="1"/>
  <c r="C166" i="1"/>
  <c r="B166" i="1"/>
  <c r="A166" i="1"/>
  <c r="CB165" i="1"/>
  <c r="CA165" i="1"/>
  <c r="BZ165" i="1"/>
  <c r="BY165" i="1"/>
  <c r="BX165" i="1"/>
  <c r="BW165" i="1"/>
  <c r="BV165" i="1"/>
  <c r="BU165" i="1"/>
  <c r="BT165" i="1"/>
  <c r="BS165" i="1"/>
  <c r="BR165" i="1"/>
  <c r="BQ165" i="1"/>
  <c r="BP165" i="1"/>
  <c r="BO165" i="1"/>
  <c r="BN165" i="1"/>
  <c r="BM165" i="1"/>
  <c r="BL165" i="1"/>
  <c r="BK165" i="1"/>
  <c r="BJ165" i="1"/>
  <c r="BI165" i="1"/>
  <c r="BH165" i="1"/>
  <c r="BG165" i="1"/>
  <c r="AT165" i="1"/>
  <c r="CC165" i="1"/>
  <c r="I165" i="1"/>
  <c r="CD165" i="1" s="1"/>
  <c r="C165" i="1"/>
  <c r="B165" i="1"/>
  <c r="A165" i="1"/>
  <c r="CB164" i="1"/>
  <c r="CA164" i="1"/>
  <c r="BZ164" i="1"/>
  <c r="BY164" i="1"/>
  <c r="BX164" i="1"/>
  <c r="BW164" i="1"/>
  <c r="BV164" i="1"/>
  <c r="BU164" i="1"/>
  <c r="BT164" i="1"/>
  <c r="BS164" i="1"/>
  <c r="BR164" i="1"/>
  <c r="BQ164" i="1"/>
  <c r="BP164" i="1"/>
  <c r="BO164" i="1"/>
  <c r="BN164" i="1"/>
  <c r="BM164" i="1"/>
  <c r="BL164" i="1"/>
  <c r="BK164" i="1"/>
  <c r="BJ164" i="1"/>
  <c r="BI164" i="1"/>
  <c r="BH164" i="1"/>
  <c r="BG164" i="1"/>
  <c r="AT164" i="1"/>
  <c r="CC164" i="1"/>
  <c r="I164" i="1"/>
  <c r="C164" i="1"/>
  <c r="B164" i="1"/>
  <c r="A164" i="1"/>
  <c r="CB163" i="1"/>
  <c r="CA163" i="1"/>
  <c r="BZ163" i="1"/>
  <c r="BY163" i="1"/>
  <c r="BX163" i="1"/>
  <c r="BW163" i="1"/>
  <c r="BV163" i="1"/>
  <c r="BU163" i="1"/>
  <c r="BT163" i="1"/>
  <c r="BS163" i="1"/>
  <c r="BR163" i="1"/>
  <c r="BQ163" i="1"/>
  <c r="BP163" i="1"/>
  <c r="BO163" i="1"/>
  <c r="BN163" i="1"/>
  <c r="BM163" i="1"/>
  <c r="BL163" i="1"/>
  <c r="BK163" i="1"/>
  <c r="BJ163" i="1"/>
  <c r="BI163" i="1"/>
  <c r="BH163" i="1"/>
  <c r="BG163" i="1"/>
  <c r="AT163" i="1"/>
  <c r="I163" i="1"/>
  <c r="CD163" i="1" s="1"/>
  <c r="C163" i="1"/>
  <c r="B163" i="1"/>
  <c r="A163" i="1"/>
  <c r="CB162" i="1"/>
  <c r="CA162" i="1"/>
  <c r="BZ162" i="1"/>
  <c r="BY162" i="1"/>
  <c r="BX162" i="1"/>
  <c r="BW162" i="1"/>
  <c r="BV162" i="1"/>
  <c r="BU162" i="1"/>
  <c r="BT162" i="1"/>
  <c r="BS162" i="1"/>
  <c r="BR162" i="1"/>
  <c r="BQ162" i="1"/>
  <c r="BP162" i="1"/>
  <c r="BO162" i="1"/>
  <c r="BN162" i="1"/>
  <c r="BM162" i="1"/>
  <c r="BL162" i="1"/>
  <c r="BK162" i="1"/>
  <c r="BJ162" i="1"/>
  <c r="BI162" i="1"/>
  <c r="BH162" i="1"/>
  <c r="BG162" i="1"/>
  <c r="AT162" i="1"/>
  <c r="I162" i="1"/>
  <c r="CD162" i="1" s="1"/>
  <c r="C162" i="1"/>
  <c r="B162" i="1"/>
  <c r="A162" i="1"/>
  <c r="CB161" i="1"/>
  <c r="CA161" i="1"/>
  <c r="BZ161" i="1"/>
  <c r="BY161" i="1"/>
  <c r="BX161" i="1"/>
  <c r="BW161" i="1"/>
  <c r="BV161" i="1"/>
  <c r="BU161" i="1"/>
  <c r="BT161" i="1"/>
  <c r="BS161" i="1"/>
  <c r="BR161" i="1"/>
  <c r="BQ161" i="1"/>
  <c r="BP161" i="1"/>
  <c r="BO161" i="1"/>
  <c r="BN161" i="1"/>
  <c r="BM161" i="1"/>
  <c r="BL161" i="1"/>
  <c r="BK161" i="1"/>
  <c r="BJ161" i="1"/>
  <c r="BI161" i="1"/>
  <c r="BH161" i="1"/>
  <c r="BG161" i="1"/>
  <c r="AT161" i="1"/>
  <c r="CC161" i="1"/>
  <c r="I161" i="1"/>
  <c r="CD161" i="1" s="1"/>
  <c r="C161" i="1"/>
  <c r="B161" i="1"/>
  <c r="A161" i="1"/>
  <c r="CB160" i="1"/>
  <c r="CA160" i="1"/>
  <c r="BZ160" i="1"/>
  <c r="BY160" i="1"/>
  <c r="BX160" i="1"/>
  <c r="BW160" i="1"/>
  <c r="BV160" i="1"/>
  <c r="BU160" i="1"/>
  <c r="BT160" i="1"/>
  <c r="BS160" i="1"/>
  <c r="BR160" i="1"/>
  <c r="BQ160" i="1"/>
  <c r="BP160" i="1"/>
  <c r="BO160" i="1"/>
  <c r="BN160" i="1"/>
  <c r="BM160" i="1"/>
  <c r="BL160" i="1"/>
  <c r="BK160" i="1"/>
  <c r="BJ160" i="1"/>
  <c r="BI160" i="1"/>
  <c r="BH160" i="1"/>
  <c r="BG160" i="1"/>
  <c r="AT160" i="1"/>
  <c r="CC160" i="1"/>
  <c r="I160" i="1"/>
  <c r="C160" i="1"/>
  <c r="B160" i="1"/>
  <c r="A160" i="1"/>
  <c r="CB159" i="1"/>
  <c r="CA159" i="1"/>
  <c r="BZ159" i="1"/>
  <c r="BY159" i="1"/>
  <c r="BX159" i="1"/>
  <c r="BW159" i="1"/>
  <c r="BV159" i="1"/>
  <c r="BU159" i="1"/>
  <c r="BT159" i="1"/>
  <c r="BS159" i="1"/>
  <c r="BR159" i="1"/>
  <c r="BQ159" i="1"/>
  <c r="BP159" i="1"/>
  <c r="BO159" i="1"/>
  <c r="BN159" i="1"/>
  <c r="BM159" i="1"/>
  <c r="BL159" i="1"/>
  <c r="BK159" i="1"/>
  <c r="BJ159" i="1"/>
  <c r="BI159" i="1"/>
  <c r="BH159" i="1"/>
  <c r="BG159" i="1"/>
  <c r="AT159" i="1"/>
  <c r="I159" i="1"/>
  <c r="CD159" i="1" s="1"/>
  <c r="C159" i="1"/>
  <c r="B159" i="1"/>
  <c r="A159" i="1"/>
  <c r="CC158" i="1"/>
  <c r="CB158" i="1"/>
  <c r="CA158" i="1"/>
  <c r="BZ158" i="1"/>
  <c r="BY158" i="1"/>
  <c r="BX158" i="1"/>
  <c r="BW158" i="1"/>
  <c r="BV158" i="1"/>
  <c r="BU158" i="1"/>
  <c r="BT158" i="1"/>
  <c r="BS158" i="1"/>
  <c r="BR158" i="1"/>
  <c r="BQ158" i="1"/>
  <c r="BP158" i="1"/>
  <c r="BO158" i="1"/>
  <c r="BN158" i="1"/>
  <c r="BM158" i="1"/>
  <c r="BL158" i="1"/>
  <c r="BK158" i="1"/>
  <c r="BJ158" i="1"/>
  <c r="BI158" i="1"/>
  <c r="BH158" i="1"/>
  <c r="BG158" i="1"/>
  <c r="AT158" i="1"/>
  <c r="AM158" i="1"/>
  <c r="I158" i="1"/>
  <c r="AU158" i="1" s="1"/>
  <c r="C158" i="1"/>
  <c r="B158" i="1"/>
  <c r="A158" i="1"/>
  <c r="CC157" i="1"/>
  <c r="CB157" i="1"/>
  <c r="CA157" i="1"/>
  <c r="BZ157" i="1"/>
  <c r="BY157" i="1"/>
  <c r="BX157" i="1"/>
  <c r="BW157" i="1"/>
  <c r="BV157" i="1"/>
  <c r="BU157" i="1"/>
  <c r="BT157" i="1"/>
  <c r="BS157" i="1"/>
  <c r="BR157" i="1"/>
  <c r="BQ157" i="1"/>
  <c r="BP157" i="1"/>
  <c r="BO157" i="1"/>
  <c r="BN157" i="1"/>
  <c r="BM157" i="1"/>
  <c r="BL157" i="1"/>
  <c r="BK157" i="1"/>
  <c r="BJ157" i="1"/>
  <c r="BI157" i="1"/>
  <c r="BH157" i="1"/>
  <c r="BG157" i="1"/>
  <c r="AT157" i="1"/>
  <c r="AM157" i="1"/>
  <c r="AW157" i="1" s="1"/>
  <c r="I157" i="1"/>
  <c r="AU157" i="1" s="1"/>
  <c r="C157" i="1"/>
  <c r="B157" i="1"/>
  <c r="A157" i="1"/>
  <c r="CC156" i="1"/>
  <c r="CB156" i="1"/>
  <c r="CA156" i="1"/>
  <c r="BZ156" i="1"/>
  <c r="BY156" i="1"/>
  <c r="BX156" i="1"/>
  <c r="BW156" i="1"/>
  <c r="BV156" i="1"/>
  <c r="BU156" i="1"/>
  <c r="BT156" i="1"/>
  <c r="BS156" i="1"/>
  <c r="BR156" i="1"/>
  <c r="BQ156" i="1"/>
  <c r="BP156" i="1"/>
  <c r="BO156" i="1"/>
  <c r="BN156" i="1"/>
  <c r="BM156" i="1"/>
  <c r="BL156" i="1"/>
  <c r="BK156" i="1"/>
  <c r="BJ156" i="1"/>
  <c r="BI156" i="1"/>
  <c r="BH156" i="1"/>
  <c r="BG156" i="1"/>
  <c r="AT156" i="1"/>
  <c r="AM156" i="1"/>
  <c r="AW156" i="1" s="1"/>
  <c r="I156" i="1"/>
  <c r="AU156" i="1" s="1"/>
  <c r="C156" i="1"/>
  <c r="B156" i="1"/>
  <c r="A156" i="1"/>
  <c r="CC155" i="1"/>
  <c r="CB155" i="1"/>
  <c r="CA155" i="1"/>
  <c r="BZ155" i="1"/>
  <c r="BY155" i="1"/>
  <c r="BX155" i="1"/>
  <c r="BW155" i="1"/>
  <c r="BV155" i="1"/>
  <c r="BU155" i="1"/>
  <c r="BT155" i="1"/>
  <c r="BS155" i="1"/>
  <c r="BR155" i="1"/>
  <c r="BQ155" i="1"/>
  <c r="BP155" i="1"/>
  <c r="BO155" i="1"/>
  <c r="BN155" i="1"/>
  <c r="BM155" i="1"/>
  <c r="BL155" i="1"/>
  <c r="BK155" i="1"/>
  <c r="BJ155" i="1"/>
  <c r="BI155" i="1"/>
  <c r="BH155" i="1"/>
  <c r="BG155" i="1"/>
  <c r="AT155" i="1"/>
  <c r="AM155" i="1"/>
  <c r="AW155" i="1" s="1"/>
  <c r="I155" i="1"/>
  <c r="AU155" i="1" s="1"/>
  <c r="C155" i="1"/>
  <c r="B155" i="1"/>
  <c r="A155" i="1"/>
  <c r="CC154" i="1"/>
  <c r="CB154" i="1"/>
  <c r="CA154" i="1"/>
  <c r="BZ154" i="1"/>
  <c r="BY154" i="1"/>
  <c r="BX154" i="1"/>
  <c r="BW154" i="1"/>
  <c r="BV154" i="1"/>
  <c r="BU154" i="1"/>
  <c r="BT154" i="1"/>
  <c r="BS154" i="1"/>
  <c r="BR154" i="1"/>
  <c r="BQ154" i="1"/>
  <c r="BP154" i="1"/>
  <c r="BO154" i="1"/>
  <c r="BN154" i="1"/>
  <c r="BM154" i="1"/>
  <c r="BL154" i="1"/>
  <c r="BK154" i="1"/>
  <c r="BJ154" i="1"/>
  <c r="BI154" i="1"/>
  <c r="BH154" i="1"/>
  <c r="BG154" i="1"/>
  <c r="AT154" i="1"/>
  <c r="AM154" i="1"/>
  <c r="I154" i="1"/>
  <c r="AU154" i="1" s="1"/>
  <c r="C154" i="1"/>
  <c r="B154" i="1"/>
  <c r="A154" i="1"/>
  <c r="CB153" i="1"/>
  <c r="CA153" i="1"/>
  <c r="BZ153" i="1"/>
  <c r="BY153" i="1"/>
  <c r="BX153" i="1"/>
  <c r="BW153" i="1"/>
  <c r="BV153" i="1"/>
  <c r="BU153" i="1"/>
  <c r="BT153" i="1"/>
  <c r="BS153" i="1"/>
  <c r="BR153" i="1"/>
  <c r="BQ153" i="1"/>
  <c r="BP153" i="1"/>
  <c r="BO153" i="1"/>
  <c r="BN153" i="1"/>
  <c r="BM153" i="1"/>
  <c r="BL153" i="1"/>
  <c r="BK153" i="1"/>
  <c r="BJ153" i="1"/>
  <c r="BI153" i="1"/>
  <c r="BH153" i="1"/>
  <c r="BG153" i="1"/>
  <c r="AT153" i="1"/>
  <c r="Y153" i="1"/>
  <c r="AG153" i="1" s="1"/>
  <c r="CC153" i="1" s="1"/>
  <c r="I153" i="1"/>
  <c r="AU153" i="1" s="1"/>
  <c r="C153" i="1"/>
  <c r="B153" i="1"/>
  <c r="A153" i="1"/>
  <c r="CB152" i="1"/>
  <c r="CA152" i="1"/>
  <c r="BZ152" i="1"/>
  <c r="BY152" i="1"/>
  <c r="BX152" i="1"/>
  <c r="BW152" i="1"/>
  <c r="BV152" i="1"/>
  <c r="BU152" i="1"/>
  <c r="BT152" i="1"/>
  <c r="BS152" i="1"/>
  <c r="BR152" i="1"/>
  <c r="BQ152" i="1"/>
  <c r="BP152" i="1"/>
  <c r="BO152" i="1"/>
  <c r="BN152" i="1"/>
  <c r="BM152" i="1"/>
  <c r="BL152" i="1"/>
  <c r="BK152" i="1"/>
  <c r="BJ152" i="1"/>
  <c r="BI152" i="1"/>
  <c r="BH152" i="1"/>
  <c r="BG152" i="1"/>
  <c r="AT152" i="1"/>
  <c r="Y152" i="1"/>
  <c r="AG152" i="1" s="1"/>
  <c r="I152" i="1"/>
  <c r="CD152" i="1" s="1"/>
  <c r="CG152" i="1" s="1"/>
  <c r="C152" i="1"/>
  <c r="B152" i="1"/>
  <c r="A152" i="1"/>
  <c r="CB151" i="1"/>
  <c r="CA151" i="1"/>
  <c r="BZ151" i="1"/>
  <c r="BY151" i="1"/>
  <c r="BX151" i="1"/>
  <c r="BW151" i="1"/>
  <c r="BV151" i="1"/>
  <c r="BU151" i="1"/>
  <c r="BT151" i="1"/>
  <c r="BS151" i="1"/>
  <c r="BR151" i="1"/>
  <c r="BQ151" i="1"/>
  <c r="BP151" i="1"/>
  <c r="BO151" i="1"/>
  <c r="BN151" i="1"/>
  <c r="BM151" i="1"/>
  <c r="BL151" i="1"/>
  <c r="BK151" i="1"/>
  <c r="BJ151" i="1"/>
  <c r="BI151" i="1"/>
  <c r="BH151" i="1"/>
  <c r="BG151" i="1"/>
  <c r="AT151" i="1"/>
  <c r="Y151" i="1"/>
  <c r="AG151" i="1" s="1"/>
  <c r="CC151" i="1" s="1"/>
  <c r="I151" i="1"/>
  <c r="AU151" i="1" s="1"/>
  <c r="C151" i="1"/>
  <c r="B151" i="1"/>
  <c r="A151" i="1"/>
  <c r="CC150" i="1"/>
  <c r="CB150" i="1"/>
  <c r="CA150" i="1"/>
  <c r="BZ150" i="1"/>
  <c r="BY150" i="1"/>
  <c r="BX150" i="1"/>
  <c r="BW150" i="1"/>
  <c r="BV150" i="1"/>
  <c r="BU150" i="1"/>
  <c r="BT150" i="1"/>
  <c r="BS150" i="1"/>
  <c r="BR150" i="1"/>
  <c r="BQ150" i="1"/>
  <c r="BP150" i="1"/>
  <c r="BO150" i="1"/>
  <c r="BN150" i="1"/>
  <c r="BM150" i="1"/>
  <c r="BL150" i="1"/>
  <c r="BK150" i="1"/>
  <c r="BJ150" i="1"/>
  <c r="BI150" i="1"/>
  <c r="BH150" i="1"/>
  <c r="BG150" i="1"/>
  <c r="AT150" i="1"/>
  <c r="AM150" i="1"/>
  <c r="AP150" i="1" s="1"/>
  <c r="AQ150" i="1" s="1"/>
  <c r="I150" i="1"/>
  <c r="CD150" i="1" s="1"/>
  <c r="CG150" i="1" s="1"/>
  <c r="C150" i="1"/>
  <c r="B150" i="1"/>
  <c r="A150" i="1"/>
  <c r="CC149" i="1"/>
  <c r="CB149" i="1"/>
  <c r="CA149" i="1"/>
  <c r="BZ149" i="1"/>
  <c r="BY149" i="1"/>
  <c r="BX149" i="1"/>
  <c r="BW149" i="1"/>
  <c r="BV149" i="1"/>
  <c r="BU149" i="1"/>
  <c r="BT149" i="1"/>
  <c r="BS149" i="1"/>
  <c r="BR149" i="1"/>
  <c r="BQ149" i="1"/>
  <c r="BP149" i="1"/>
  <c r="BO149" i="1"/>
  <c r="BN149" i="1"/>
  <c r="BM149" i="1"/>
  <c r="BL149" i="1"/>
  <c r="BK149" i="1"/>
  <c r="BJ149" i="1"/>
  <c r="BI149" i="1"/>
  <c r="BH149" i="1"/>
  <c r="BG149" i="1"/>
  <c r="AT149" i="1"/>
  <c r="AM149" i="1"/>
  <c r="AW149" i="1" s="1"/>
  <c r="I149" i="1"/>
  <c r="CD149" i="1" s="1"/>
  <c r="CG149" i="1" s="1"/>
  <c r="C149" i="1"/>
  <c r="B149" i="1"/>
  <c r="A149" i="1"/>
  <c r="CC148" i="1"/>
  <c r="CB148" i="1"/>
  <c r="CA148" i="1"/>
  <c r="BZ148" i="1"/>
  <c r="BY148" i="1"/>
  <c r="BX148" i="1"/>
  <c r="BW148" i="1"/>
  <c r="BV148" i="1"/>
  <c r="BU148" i="1"/>
  <c r="BT148" i="1"/>
  <c r="BS148" i="1"/>
  <c r="BR148" i="1"/>
  <c r="BQ148" i="1"/>
  <c r="BP148" i="1"/>
  <c r="BO148" i="1"/>
  <c r="BN148" i="1"/>
  <c r="BM148" i="1"/>
  <c r="BL148" i="1"/>
  <c r="BK148" i="1"/>
  <c r="BJ148" i="1"/>
  <c r="BI148" i="1"/>
  <c r="BH148" i="1"/>
  <c r="BG148" i="1"/>
  <c r="AT148" i="1"/>
  <c r="AM148" i="1"/>
  <c r="AW148" i="1" s="1"/>
  <c r="I148" i="1"/>
  <c r="CD148" i="1" s="1"/>
  <c r="CG148" i="1" s="1"/>
  <c r="C148" i="1"/>
  <c r="B148" i="1"/>
  <c r="A148" i="1"/>
  <c r="CC147" i="1"/>
  <c r="CB147" i="1"/>
  <c r="CA147" i="1"/>
  <c r="BZ147" i="1"/>
  <c r="BY147" i="1"/>
  <c r="BX147" i="1"/>
  <c r="BW147" i="1"/>
  <c r="BV147" i="1"/>
  <c r="BU147" i="1"/>
  <c r="BT147" i="1"/>
  <c r="BS147" i="1"/>
  <c r="BR147" i="1"/>
  <c r="BQ147" i="1"/>
  <c r="BP147" i="1"/>
  <c r="BO147" i="1"/>
  <c r="BN147" i="1"/>
  <c r="BM147" i="1"/>
  <c r="BL147" i="1"/>
  <c r="BK147" i="1"/>
  <c r="BJ147" i="1"/>
  <c r="BI147" i="1"/>
  <c r="BH147" i="1"/>
  <c r="BG147" i="1"/>
  <c r="AT147" i="1"/>
  <c r="AM147" i="1"/>
  <c r="AW147" i="1" s="1"/>
  <c r="I147" i="1"/>
  <c r="CD147" i="1" s="1"/>
  <c r="CG147" i="1" s="1"/>
  <c r="C147" i="1"/>
  <c r="B147" i="1"/>
  <c r="A147" i="1"/>
  <c r="CC146" i="1"/>
  <c r="CB146" i="1"/>
  <c r="CA146" i="1"/>
  <c r="BZ146" i="1"/>
  <c r="BY146" i="1"/>
  <c r="BX146" i="1"/>
  <c r="BW146" i="1"/>
  <c r="BV146" i="1"/>
  <c r="BU146" i="1"/>
  <c r="BT146" i="1"/>
  <c r="BS146" i="1"/>
  <c r="BR146" i="1"/>
  <c r="BQ146" i="1"/>
  <c r="BP146" i="1"/>
  <c r="BO146" i="1"/>
  <c r="BN146" i="1"/>
  <c r="BM146" i="1"/>
  <c r="BL146" i="1"/>
  <c r="BK146" i="1"/>
  <c r="BJ146" i="1"/>
  <c r="BI146" i="1"/>
  <c r="BH146" i="1"/>
  <c r="BG146" i="1"/>
  <c r="AT146" i="1"/>
  <c r="AM146" i="1"/>
  <c r="AZ146" i="1" s="1"/>
  <c r="I146" i="1"/>
  <c r="CD146" i="1" s="1"/>
  <c r="CG146" i="1" s="1"/>
  <c r="C146" i="1"/>
  <c r="B146" i="1"/>
  <c r="A146" i="1"/>
  <c r="CC145" i="1"/>
  <c r="CB145" i="1"/>
  <c r="CA145" i="1"/>
  <c r="BZ145" i="1"/>
  <c r="BY145" i="1"/>
  <c r="BX145" i="1"/>
  <c r="BW145" i="1"/>
  <c r="BV145" i="1"/>
  <c r="BU145" i="1"/>
  <c r="BT145" i="1"/>
  <c r="BS145" i="1"/>
  <c r="BR145" i="1"/>
  <c r="BQ145" i="1"/>
  <c r="BP145" i="1"/>
  <c r="BO145" i="1"/>
  <c r="BN145" i="1"/>
  <c r="BM145" i="1"/>
  <c r="BL145" i="1"/>
  <c r="BK145" i="1"/>
  <c r="BJ145" i="1"/>
  <c r="BI145" i="1"/>
  <c r="BH145" i="1"/>
  <c r="BG145" i="1"/>
  <c r="AT145" i="1"/>
  <c r="AM145" i="1"/>
  <c r="AW145" i="1" s="1"/>
  <c r="I145" i="1"/>
  <c r="CD145" i="1" s="1"/>
  <c r="CG145" i="1" s="1"/>
  <c r="C145" i="1"/>
  <c r="B145" i="1"/>
  <c r="A145" i="1"/>
  <c r="CB144" i="1"/>
  <c r="CA144" i="1"/>
  <c r="BZ144" i="1"/>
  <c r="BY144" i="1"/>
  <c r="BX144" i="1"/>
  <c r="BW144" i="1"/>
  <c r="BV144" i="1"/>
  <c r="BU144" i="1"/>
  <c r="BT144" i="1"/>
  <c r="BS144" i="1"/>
  <c r="BR144" i="1"/>
  <c r="BQ144" i="1"/>
  <c r="BP144" i="1"/>
  <c r="BO144" i="1"/>
  <c r="BN144" i="1"/>
  <c r="BM144" i="1"/>
  <c r="BL144" i="1"/>
  <c r="BK144" i="1"/>
  <c r="BJ144" i="1"/>
  <c r="BI144" i="1"/>
  <c r="BH144" i="1"/>
  <c r="BG144" i="1"/>
  <c r="AT144" i="1"/>
  <c r="CC144" i="1"/>
  <c r="I144" i="1"/>
  <c r="C144" i="1"/>
  <c r="B144" i="1"/>
  <c r="A144" i="1"/>
  <c r="CB143" i="1"/>
  <c r="CA143" i="1"/>
  <c r="BZ143" i="1"/>
  <c r="BY143" i="1"/>
  <c r="BX143" i="1"/>
  <c r="BW143" i="1"/>
  <c r="BV143" i="1"/>
  <c r="BU143" i="1"/>
  <c r="BT143" i="1"/>
  <c r="BS143" i="1"/>
  <c r="BR143" i="1"/>
  <c r="BQ143" i="1"/>
  <c r="BP143" i="1"/>
  <c r="BO143" i="1"/>
  <c r="BN143" i="1"/>
  <c r="BM143" i="1"/>
  <c r="BL143" i="1"/>
  <c r="BK143" i="1"/>
  <c r="BJ143" i="1"/>
  <c r="BI143" i="1"/>
  <c r="BH143" i="1"/>
  <c r="BG143" i="1"/>
  <c r="AT143" i="1"/>
  <c r="I143" i="1"/>
  <c r="CD143" i="1" s="1"/>
  <c r="C143" i="1"/>
  <c r="B143" i="1"/>
  <c r="A143" i="1"/>
  <c r="CB142" i="1"/>
  <c r="CA142" i="1"/>
  <c r="BZ142" i="1"/>
  <c r="BY142" i="1"/>
  <c r="BX142" i="1"/>
  <c r="BW142" i="1"/>
  <c r="BV142" i="1"/>
  <c r="BU142" i="1"/>
  <c r="BT142" i="1"/>
  <c r="BS142" i="1"/>
  <c r="BR142" i="1"/>
  <c r="BQ142" i="1"/>
  <c r="BP142" i="1"/>
  <c r="BO142" i="1"/>
  <c r="BN142" i="1"/>
  <c r="BM142" i="1"/>
  <c r="BL142" i="1"/>
  <c r="BK142" i="1"/>
  <c r="BJ142" i="1"/>
  <c r="BI142" i="1"/>
  <c r="BH142" i="1"/>
  <c r="BG142" i="1"/>
  <c r="AT142" i="1"/>
  <c r="CC142" i="1"/>
  <c r="I142" i="1"/>
  <c r="CD142" i="1" s="1"/>
  <c r="C142" i="1"/>
  <c r="B142" i="1"/>
  <c r="A142" i="1"/>
  <c r="CB141" i="1"/>
  <c r="CA141" i="1"/>
  <c r="BZ141" i="1"/>
  <c r="BY141" i="1"/>
  <c r="BX141" i="1"/>
  <c r="BW141" i="1"/>
  <c r="BV141" i="1"/>
  <c r="BU141" i="1"/>
  <c r="BT141" i="1"/>
  <c r="BS141" i="1"/>
  <c r="BR141" i="1"/>
  <c r="BQ141" i="1"/>
  <c r="BP141" i="1"/>
  <c r="BO141" i="1"/>
  <c r="BN141" i="1"/>
  <c r="BM141" i="1"/>
  <c r="BL141" i="1"/>
  <c r="BK141" i="1"/>
  <c r="BJ141" i="1"/>
  <c r="BI141" i="1"/>
  <c r="BH141" i="1"/>
  <c r="BG141" i="1"/>
  <c r="AT141" i="1"/>
  <c r="CC141" i="1"/>
  <c r="I141" i="1"/>
  <c r="CD141" i="1" s="1"/>
  <c r="C141" i="1"/>
  <c r="B141" i="1"/>
  <c r="A141" i="1"/>
  <c r="CB140" i="1"/>
  <c r="CA140" i="1"/>
  <c r="BZ140" i="1"/>
  <c r="BY140" i="1"/>
  <c r="BX140" i="1"/>
  <c r="BW140" i="1"/>
  <c r="BV140" i="1"/>
  <c r="BU140" i="1"/>
  <c r="BT140" i="1"/>
  <c r="BS140" i="1"/>
  <c r="BR140" i="1"/>
  <c r="BQ140" i="1"/>
  <c r="BP140" i="1"/>
  <c r="BO140" i="1"/>
  <c r="BN140" i="1"/>
  <c r="BM140" i="1"/>
  <c r="BL140" i="1"/>
  <c r="BK140" i="1"/>
  <c r="BJ140" i="1"/>
  <c r="BI140" i="1"/>
  <c r="BH140" i="1"/>
  <c r="BG140" i="1"/>
  <c r="AT140" i="1"/>
  <c r="CC140" i="1"/>
  <c r="I140" i="1"/>
  <c r="C140" i="1"/>
  <c r="B140" i="1"/>
  <c r="A140" i="1"/>
  <c r="CB139" i="1"/>
  <c r="CA139" i="1"/>
  <c r="BZ139" i="1"/>
  <c r="BY139" i="1"/>
  <c r="BX139" i="1"/>
  <c r="BW139" i="1"/>
  <c r="BV139" i="1"/>
  <c r="BU139" i="1"/>
  <c r="BT139" i="1"/>
  <c r="BS139" i="1"/>
  <c r="BR139" i="1"/>
  <c r="BQ139" i="1"/>
  <c r="BP139" i="1"/>
  <c r="BO139" i="1"/>
  <c r="BN139" i="1"/>
  <c r="BM139" i="1"/>
  <c r="BL139" i="1"/>
  <c r="BK139" i="1"/>
  <c r="BJ139" i="1"/>
  <c r="BI139" i="1"/>
  <c r="BH139" i="1"/>
  <c r="BG139" i="1"/>
  <c r="AT139" i="1"/>
  <c r="I139" i="1"/>
  <c r="C139" i="1"/>
  <c r="B139" i="1"/>
  <c r="A139" i="1"/>
  <c r="CC138" i="1"/>
  <c r="CB138" i="1"/>
  <c r="CA138" i="1"/>
  <c r="BZ138" i="1"/>
  <c r="BY138" i="1"/>
  <c r="BX138" i="1"/>
  <c r="BW138" i="1"/>
  <c r="BV138" i="1"/>
  <c r="BU138" i="1"/>
  <c r="BT138" i="1"/>
  <c r="BS138" i="1"/>
  <c r="BR138" i="1"/>
  <c r="BQ138" i="1"/>
  <c r="BP138" i="1"/>
  <c r="BO138" i="1"/>
  <c r="BN138" i="1"/>
  <c r="BM138" i="1"/>
  <c r="BL138" i="1"/>
  <c r="BK138" i="1"/>
  <c r="BJ138" i="1"/>
  <c r="BI138" i="1"/>
  <c r="BH138" i="1"/>
  <c r="BG138" i="1"/>
  <c r="AT138" i="1"/>
  <c r="AM138" i="1"/>
  <c r="I138" i="1"/>
  <c r="AU138" i="1" s="1"/>
  <c r="C138" i="1"/>
  <c r="B138" i="1"/>
  <c r="A138" i="1"/>
  <c r="CC137" i="1"/>
  <c r="CB137" i="1"/>
  <c r="CA137" i="1"/>
  <c r="BZ137" i="1"/>
  <c r="BY137" i="1"/>
  <c r="BX137" i="1"/>
  <c r="BW137" i="1"/>
  <c r="BV137" i="1"/>
  <c r="BU137" i="1"/>
  <c r="BT137" i="1"/>
  <c r="BS137" i="1"/>
  <c r="BR137" i="1"/>
  <c r="BQ137" i="1"/>
  <c r="BP137" i="1"/>
  <c r="BO137" i="1"/>
  <c r="BN137" i="1"/>
  <c r="BM137" i="1"/>
  <c r="BL137" i="1"/>
  <c r="BK137" i="1"/>
  <c r="BJ137" i="1"/>
  <c r="BI137" i="1"/>
  <c r="BH137" i="1"/>
  <c r="BG137" i="1"/>
  <c r="AT137" i="1"/>
  <c r="AM137" i="1"/>
  <c r="AW137" i="1" s="1"/>
  <c r="I137" i="1"/>
  <c r="AU137" i="1" s="1"/>
  <c r="C137" i="1"/>
  <c r="B137" i="1"/>
  <c r="A137" i="1"/>
  <c r="CC136" i="1"/>
  <c r="CB136" i="1"/>
  <c r="CA136" i="1"/>
  <c r="BZ136" i="1"/>
  <c r="BY136" i="1"/>
  <c r="BX136" i="1"/>
  <c r="BW136" i="1"/>
  <c r="BV136" i="1"/>
  <c r="BU136" i="1"/>
  <c r="BT136" i="1"/>
  <c r="BS136" i="1"/>
  <c r="BR136" i="1"/>
  <c r="BQ136" i="1"/>
  <c r="BP136" i="1"/>
  <c r="BO136" i="1"/>
  <c r="BN136" i="1"/>
  <c r="BM136" i="1"/>
  <c r="BL136" i="1"/>
  <c r="BK136" i="1"/>
  <c r="BJ136" i="1"/>
  <c r="BI136" i="1"/>
  <c r="BH136" i="1"/>
  <c r="BG136" i="1"/>
  <c r="AT136" i="1"/>
  <c r="AM136" i="1"/>
  <c r="AW136" i="1" s="1"/>
  <c r="I136" i="1"/>
  <c r="AU136" i="1" s="1"/>
  <c r="C136" i="1"/>
  <c r="B136" i="1"/>
  <c r="A136" i="1"/>
  <c r="CC135" i="1"/>
  <c r="CB135" i="1"/>
  <c r="CA135" i="1"/>
  <c r="BZ135" i="1"/>
  <c r="BY135" i="1"/>
  <c r="BX135" i="1"/>
  <c r="BW135" i="1"/>
  <c r="BV135" i="1"/>
  <c r="BU135" i="1"/>
  <c r="BT135" i="1"/>
  <c r="BS135" i="1"/>
  <c r="BR135" i="1"/>
  <c r="BQ135" i="1"/>
  <c r="BP135" i="1"/>
  <c r="BO135" i="1"/>
  <c r="BN135" i="1"/>
  <c r="BM135" i="1"/>
  <c r="BL135" i="1"/>
  <c r="BK135" i="1"/>
  <c r="BJ135" i="1"/>
  <c r="BI135" i="1"/>
  <c r="BH135" i="1"/>
  <c r="BG135" i="1"/>
  <c r="AZ135" i="1"/>
  <c r="AY135" i="1"/>
  <c r="AX135" i="1"/>
  <c r="AW135" i="1"/>
  <c r="AT135" i="1"/>
  <c r="AM135" i="1"/>
  <c r="I135" i="1"/>
  <c r="CD135" i="1" s="1"/>
  <c r="C135" i="1"/>
  <c r="B135" i="1"/>
  <c r="A135" i="1"/>
  <c r="CC134" i="1"/>
  <c r="CB134" i="1"/>
  <c r="CA134" i="1"/>
  <c r="BZ134" i="1"/>
  <c r="BY134" i="1"/>
  <c r="BX134" i="1"/>
  <c r="BW134" i="1"/>
  <c r="BV134" i="1"/>
  <c r="BU134" i="1"/>
  <c r="BT134" i="1"/>
  <c r="BS134" i="1"/>
  <c r="BR134" i="1"/>
  <c r="BQ134" i="1"/>
  <c r="BP134" i="1"/>
  <c r="BO134" i="1"/>
  <c r="BN134" i="1"/>
  <c r="BM134" i="1"/>
  <c r="BL134" i="1"/>
  <c r="BK134" i="1"/>
  <c r="BJ134" i="1"/>
  <c r="BI134" i="1"/>
  <c r="BH134" i="1"/>
  <c r="BG134" i="1"/>
  <c r="AZ134" i="1"/>
  <c r="AY134" i="1"/>
  <c r="AX134" i="1"/>
  <c r="AW134" i="1"/>
  <c r="AT134" i="1"/>
  <c r="AM134" i="1"/>
  <c r="I134" i="1"/>
  <c r="CD134" i="1" s="1"/>
  <c r="C134" i="1"/>
  <c r="B134" i="1"/>
  <c r="A134" i="1"/>
  <c r="CC133" i="1"/>
  <c r="CB133" i="1"/>
  <c r="CA133" i="1"/>
  <c r="BZ133" i="1"/>
  <c r="BY133" i="1"/>
  <c r="BX133" i="1"/>
  <c r="BW133" i="1"/>
  <c r="BV133" i="1"/>
  <c r="BU133" i="1"/>
  <c r="BT133" i="1"/>
  <c r="BS133" i="1"/>
  <c r="BR133" i="1"/>
  <c r="BQ133" i="1"/>
  <c r="BP133" i="1"/>
  <c r="BO133" i="1"/>
  <c r="BN133" i="1"/>
  <c r="BM133" i="1"/>
  <c r="BL133" i="1"/>
  <c r="BK133" i="1"/>
  <c r="BJ133" i="1"/>
  <c r="BI133" i="1"/>
  <c r="BH133" i="1"/>
  <c r="BG133" i="1"/>
  <c r="AZ133" i="1"/>
  <c r="AY133" i="1"/>
  <c r="AT133" i="1"/>
  <c r="AG133" i="1"/>
  <c r="I133" i="1"/>
  <c r="CD133" i="1" s="1"/>
  <c r="C133" i="1"/>
  <c r="B133" i="1"/>
  <c r="A133" i="1"/>
  <c r="CC132" i="1"/>
  <c r="CB132" i="1"/>
  <c r="CA132" i="1"/>
  <c r="BZ132" i="1"/>
  <c r="BY132" i="1"/>
  <c r="BX132" i="1"/>
  <c r="BW132" i="1"/>
  <c r="BV132" i="1"/>
  <c r="BU132" i="1"/>
  <c r="BT132" i="1"/>
  <c r="BS132" i="1"/>
  <c r="BR132" i="1"/>
  <c r="BQ132" i="1"/>
  <c r="BP132" i="1"/>
  <c r="BO132" i="1"/>
  <c r="BN132" i="1"/>
  <c r="BM132" i="1"/>
  <c r="BL132" i="1"/>
  <c r="BK132" i="1"/>
  <c r="BJ132" i="1"/>
  <c r="BI132" i="1"/>
  <c r="BH132" i="1"/>
  <c r="BG132" i="1"/>
  <c r="AZ132" i="1"/>
  <c r="AY132" i="1"/>
  <c r="AT132" i="1"/>
  <c r="AG132" i="1"/>
  <c r="I132" i="1"/>
  <c r="CD132" i="1" s="1"/>
  <c r="C132" i="1"/>
  <c r="B132" i="1"/>
  <c r="A132" i="1"/>
  <c r="CC131" i="1"/>
  <c r="CB131" i="1"/>
  <c r="CA131" i="1"/>
  <c r="BZ131" i="1"/>
  <c r="BY131" i="1"/>
  <c r="BX131" i="1"/>
  <c r="BW131" i="1"/>
  <c r="BV131" i="1"/>
  <c r="BU131" i="1"/>
  <c r="BT131" i="1"/>
  <c r="BS131" i="1"/>
  <c r="BR131" i="1"/>
  <c r="BQ131" i="1"/>
  <c r="BP131" i="1"/>
  <c r="BO131" i="1"/>
  <c r="BN131" i="1"/>
  <c r="BM131" i="1"/>
  <c r="BL131" i="1"/>
  <c r="BK131" i="1"/>
  <c r="BJ131" i="1"/>
  <c r="BI131" i="1"/>
  <c r="BH131" i="1"/>
  <c r="BG131" i="1"/>
  <c r="AZ131" i="1"/>
  <c r="AY131" i="1"/>
  <c r="AX131" i="1"/>
  <c r="AW131" i="1"/>
  <c r="AT131" i="1"/>
  <c r="AM131" i="1"/>
  <c r="AP131" i="1" s="1"/>
  <c r="AQ131" i="1" s="1"/>
  <c r="I131" i="1"/>
  <c r="CD131" i="1" s="1"/>
  <c r="C131" i="1"/>
  <c r="B131" i="1"/>
  <c r="A131" i="1"/>
  <c r="CC130" i="1"/>
  <c r="CB130" i="1"/>
  <c r="CA130" i="1"/>
  <c r="BZ130" i="1"/>
  <c r="BY130" i="1"/>
  <c r="BX130" i="1"/>
  <c r="BW130" i="1"/>
  <c r="BV130" i="1"/>
  <c r="BU130" i="1"/>
  <c r="BT130" i="1"/>
  <c r="BS130" i="1"/>
  <c r="BR130" i="1"/>
  <c r="BQ130" i="1"/>
  <c r="BP130" i="1"/>
  <c r="BO130" i="1"/>
  <c r="BN130" i="1"/>
  <c r="BM130" i="1"/>
  <c r="BL130" i="1"/>
  <c r="BK130" i="1"/>
  <c r="BJ130" i="1"/>
  <c r="BI130" i="1"/>
  <c r="BH130" i="1"/>
  <c r="BG130" i="1"/>
  <c r="AZ130" i="1"/>
  <c r="AY130" i="1"/>
  <c r="AT130" i="1"/>
  <c r="AG130" i="1"/>
  <c r="I130" i="1"/>
  <c r="CD130" i="1" s="1"/>
  <c r="CE130" i="1" s="1"/>
  <c r="CJ130" i="1" s="1"/>
  <c r="CO130" i="1" s="1"/>
  <c r="C130" i="1"/>
  <c r="B130" i="1"/>
  <c r="A130" i="1"/>
  <c r="CC129" i="1"/>
  <c r="CB129" i="1"/>
  <c r="CA129" i="1"/>
  <c r="BZ129" i="1"/>
  <c r="BY129" i="1"/>
  <c r="BX129" i="1"/>
  <c r="BW129" i="1"/>
  <c r="BV129" i="1"/>
  <c r="BU129" i="1"/>
  <c r="BT129" i="1"/>
  <c r="BS129" i="1"/>
  <c r="BR129" i="1"/>
  <c r="BQ129" i="1"/>
  <c r="BP129" i="1"/>
  <c r="BO129" i="1"/>
  <c r="BN129" i="1"/>
  <c r="BM129" i="1"/>
  <c r="BL129" i="1"/>
  <c r="BK129" i="1"/>
  <c r="BJ129" i="1"/>
  <c r="BI129" i="1"/>
  <c r="BH129" i="1"/>
  <c r="BG129" i="1"/>
  <c r="AZ129" i="1"/>
  <c r="AY129" i="1"/>
  <c r="AX129" i="1"/>
  <c r="AW129" i="1"/>
  <c r="AT129" i="1"/>
  <c r="AM129" i="1"/>
  <c r="AP129" i="1" s="1"/>
  <c r="AQ129" i="1" s="1"/>
  <c r="I129" i="1"/>
  <c r="CD129" i="1" s="1"/>
  <c r="C129" i="1"/>
  <c r="B129" i="1"/>
  <c r="A129" i="1"/>
  <c r="CC128" i="1"/>
  <c r="CB128" i="1"/>
  <c r="CA128" i="1"/>
  <c r="BZ128" i="1"/>
  <c r="BY128" i="1"/>
  <c r="BX128" i="1"/>
  <c r="BW128" i="1"/>
  <c r="BV128" i="1"/>
  <c r="BU128" i="1"/>
  <c r="BT128" i="1"/>
  <c r="BS128" i="1"/>
  <c r="BR128" i="1"/>
  <c r="BQ128" i="1"/>
  <c r="BP128" i="1"/>
  <c r="BO128" i="1"/>
  <c r="BN128" i="1"/>
  <c r="BM128" i="1"/>
  <c r="BL128" i="1"/>
  <c r="BK128" i="1"/>
  <c r="BJ128" i="1"/>
  <c r="BI128" i="1"/>
  <c r="BH128" i="1"/>
  <c r="BG128" i="1"/>
  <c r="AZ128" i="1"/>
  <c r="AY128" i="1"/>
  <c r="AT128" i="1"/>
  <c r="AG128" i="1"/>
  <c r="AM128" i="1" s="1"/>
  <c r="I128" i="1"/>
  <c r="CD128" i="1" s="1"/>
  <c r="CI128" i="1" s="1"/>
  <c r="CN128" i="1" s="1"/>
  <c r="C128" i="1"/>
  <c r="B128" i="1"/>
  <c r="A128" i="1"/>
  <c r="CC127" i="1"/>
  <c r="CB127" i="1"/>
  <c r="CA127" i="1"/>
  <c r="BZ127" i="1"/>
  <c r="BY127" i="1"/>
  <c r="BX127" i="1"/>
  <c r="BW127" i="1"/>
  <c r="BV127" i="1"/>
  <c r="BU127" i="1"/>
  <c r="BT127" i="1"/>
  <c r="BS127" i="1"/>
  <c r="BR127" i="1"/>
  <c r="BQ127" i="1"/>
  <c r="BP127" i="1"/>
  <c r="BO127" i="1"/>
  <c r="BN127" i="1"/>
  <c r="BM127" i="1"/>
  <c r="BL127" i="1"/>
  <c r="BK127" i="1"/>
  <c r="BJ127" i="1"/>
  <c r="BI127" i="1"/>
  <c r="BH127" i="1"/>
  <c r="BG127" i="1"/>
  <c r="AZ127" i="1"/>
  <c r="AY127" i="1"/>
  <c r="AX127" i="1"/>
  <c r="AW127" i="1"/>
  <c r="AT127" i="1"/>
  <c r="AM127" i="1"/>
  <c r="AP127" i="1" s="1"/>
  <c r="AQ127" i="1" s="1"/>
  <c r="I127" i="1"/>
  <c r="CD127" i="1" s="1"/>
  <c r="C127" i="1"/>
  <c r="B127" i="1"/>
  <c r="A127" i="1"/>
  <c r="CC126" i="1"/>
  <c r="CB126" i="1"/>
  <c r="CA126" i="1"/>
  <c r="BZ126" i="1"/>
  <c r="BY126" i="1"/>
  <c r="BX126" i="1"/>
  <c r="BW126" i="1"/>
  <c r="BV126" i="1"/>
  <c r="BU126" i="1"/>
  <c r="BT126" i="1"/>
  <c r="BS126" i="1"/>
  <c r="BR126" i="1"/>
  <c r="BQ126" i="1"/>
  <c r="BP126" i="1"/>
  <c r="BO126" i="1"/>
  <c r="BN126" i="1"/>
  <c r="BM126" i="1"/>
  <c r="BL126" i="1"/>
  <c r="BK126" i="1"/>
  <c r="BJ126" i="1"/>
  <c r="BI126" i="1"/>
  <c r="BH126" i="1"/>
  <c r="BG126" i="1"/>
  <c r="AZ126" i="1"/>
  <c r="AY126" i="1"/>
  <c r="AT126" i="1"/>
  <c r="AG126" i="1"/>
  <c r="I126" i="1"/>
  <c r="C126" i="1"/>
  <c r="B126" i="1"/>
  <c r="A126" i="1"/>
  <c r="CC125" i="1"/>
  <c r="CB125" i="1"/>
  <c r="CA125" i="1"/>
  <c r="BZ125" i="1"/>
  <c r="BY125" i="1"/>
  <c r="BX125" i="1"/>
  <c r="BW125" i="1"/>
  <c r="BV125" i="1"/>
  <c r="BU125" i="1"/>
  <c r="BT125" i="1"/>
  <c r="BS125" i="1"/>
  <c r="BR125" i="1"/>
  <c r="BQ125" i="1"/>
  <c r="BP125" i="1"/>
  <c r="BO125" i="1"/>
  <c r="BN125" i="1"/>
  <c r="BM125" i="1"/>
  <c r="BL125" i="1"/>
  <c r="BK125" i="1"/>
  <c r="BJ125" i="1"/>
  <c r="BI125" i="1"/>
  <c r="BH125" i="1"/>
  <c r="BG125" i="1"/>
  <c r="AZ125" i="1"/>
  <c r="AY125" i="1"/>
  <c r="AX125" i="1"/>
  <c r="AW125" i="1"/>
  <c r="AT125" i="1"/>
  <c r="AM125" i="1"/>
  <c r="AP125" i="1" s="1"/>
  <c r="AQ125" i="1" s="1"/>
  <c r="I125" i="1"/>
  <c r="CD125" i="1" s="1"/>
  <c r="CG125" i="1" s="1"/>
  <c r="CH125" i="1" s="1"/>
  <c r="CM125" i="1" s="1"/>
  <c r="C125" i="1"/>
  <c r="B125" i="1"/>
  <c r="A125" i="1"/>
  <c r="CC124" i="1"/>
  <c r="CB124" i="1"/>
  <c r="CA124" i="1"/>
  <c r="BZ124" i="1"/>
  <c r="BY124" i="1"/>
  <c r="BX124" i="1"/>
  <c r="BW124" i="1"/>
  <c r="BV124" i="1"/>
  <c r="BU124" i="1"/>
  <c r="BT124" i="1"/>
  <c r="BS124" i="1"/>
  <c r="BR124" i="1"/>
  <c r="BQ124" i="1"/>
  <c r="BP124" i="1"/>
  <c r="BO124" i="1"/>
  <c r="BN124" i="1"/>
  <c r="BM124" i="1"/>
  <c r="BL124" i="1"/>
  <c r="BK124" i="1"/>
  <c r="BJ124" i="1"/>
  <c r="BI124" i="1"/>
  <c r="BH124" i="1"/>
  <c r="BG124" i="1"/>
  <c r="AZ124" i="1"/>
  <c r="AY124" i="1"/>
  <c r="AT124" i="1"/>
  <c r="AG124" i="1"/>
  <c r="I124" i="1"/>
  <c r="CD124" i="1" s="1"/>
  <c r="CE124" i="1" s="1"/>
  <c r="CJ124" i="1" s="1"/>
  <c r="CO124" i="1" s="1"/>
  <c r="C124" i="1"/>
  <c r="B124" i="1"/>
  <c r="A124" i="1"/>
  <c r="CC123" i="1"/>
  <c r="CB123" i="1"/>
  <c r="CA123" i="1"/>
  <c r="BZ123" i="1"/>
  <c r="BY123" i="1"/>
  <c r="BX123" i="1"/>
  <c r="BW123" i="1"/>
  <c r="BV123" i="1"/>
  <c r="BU123" i="1"/>
  <c r="BT123" i="1"/>
  <c r="BS123" i="1"/>
  <c r="BR123" i="1"/>
  <c r="BQ123" i="1"/>
  <c r="BP123" i="1"/>
  <c r="BO123" i="1"/>
  <c r="BN123" i="1"/>
  <c r="BM123" i="1"/>
  <c r="BL123" i="1"/>
  <c r="BK123" i="1"/>
  <c r="BJ123" i="1"/>
  <c r="BI123" i="1"/>
  <c r="BH123" i="1"/>
  <c r="BG123" i="1"/>
  <c r="AT123" i="1"/>
  <c r="AM123" i="1"/>
  <c r="I123" i="1"/>
  <c r="AU123" i="1" s="1"/>
  <c r="C123" i="1"/>
  <c r="B123" i="1"/>
  <c r="A123" i="1"/>
  <c r="CC122" i="1"/>
  <c r="CB122" i="1"/>
  <c r="CA122" i="1"/>
  <c r="BZ122" i="1"/>
  <c r="BY122" i="1"/>
  <c r="BX122" i="1"/>
  <c r="BW122" i="1"/>
  <c r="BV122" i="1"/>
  <c r="BU122" i="1"/>
  <c r="BT122" i="1"/>
  <c r="BS122" i="1"/>
  <c r="BR122" i="1"/>
  <c r="BQ122" i="1"/>
  <c r="BP122" i="1"/>
  <c r="BO122" i="1"/>
  <c r="BN122" i="1"/>
  <c r="BM122" i="1"/>
  <c r="BL122" i="1"/>
  <c r="BK122" i="1"/>
  <c r="BJ122" i="1"/>
  <c r="BI122" i="1"/>
  <c r="BH122" i="1"/>
  <c r="BG122" i="1"/>
  <c r="AT122" i="1"/>
  <c r="AM122" i="1"/>
  <c r="AW122" i="1" s="1"/>
  <c r="I122" i="1"/>
  <c r="AU122" i="1" s="1"/>
  <c r="C122" i="1"/>
  <c r="B122" i="1"/>
  <c r="A122" i="1"/>
  <c r="CC121" i="1"/>
  <c r="CB121" i="1"/>
  <c r="CA121" i="1"/>
  <c r="BZ121" i="1"/>
  <c r="BY121" i="1"/>
  <c r="BX121" i="1"/>
  <c r="BW121" i="1"/>
  <c r="BV121" i="1"/>
  <c r="BU121" i="1"/>
  <c r="BT121" i="1"/>
  <c r="BS121" i="1"/>
  <c r="BR121" i="1"/>
  <c r="BQ121" i="1"/>
  <c r="BP121" i="1"/>
  <c r="BO121" i="1"/>
  <c r="BN121" i="1"/>
  <c r="BM121" i="1"/>
  <c r="BL121" i="1"/>
  <c r="BK121" i="1"/>
  <c r="BJ121" i="1"/>
  <c r="BI121" i="1"/>
  <c r="BH121" i="1"/>
  <c r="BG121" i="1"/>
  <c r="AT121" i="1"/>
  <c r="I121" i="1"/>
  <c r="CD121" i="1" s="1"/>
  <c r="CG121" i="1" s="1"/>
  <c r="C121" i="1"/>
  <c r="B121" i="1"/>
  <c r="A121" i="1"/>
  <c r="CC120" i="1"/>
  <c r="CB120" i="1"/>
  <c r="CA120" i="1"/>
  <c r="BZ120" i="1"/>
  <c r="BY120" i="1"/>
  <c r="BX120" i="1"/>
  <c r="BW120" i="1"/>
  <c r="BV120" i="1"/>
  <c r="BU120" i="1"/>
  <c r="BT120" i="1"/>
  <c r="BS120" i="1"/>
  <c r="BR120" i="1"/>
  <c r="BQ120" i="1"/>
  <c r="BP120" i="1"/>
  <c r="BO120" i="1"/>
  <c r="BN120" i="1"/>
  <c r="BM120" i="1"/>
  <c r="BL120" i="1"/>
  <c r="BK120" i="1"/>
  <c r="BJ120" i="1"/>
  <c r="BI120" i="1"/>
  <c r="BH120" i="1"/>
  <c r="BG120" i="1"/>
  <c r="AT120" i="1"/>
  <c r="AM120" i="1"/>
  <c r="AW120" i="1" s="1"/>
  <c r="I120" i="1"/>
  <c r="C120" i="1"/>
  <c r="B120" i="1"/>
  <c r="A120" i="1"/>
  <c r="CC119" i="1"/>
  <c r="CB119" i="1"/>
  <c r="CA119" i="1"/>
  <c r="BZ119" i="1"/>
  <c r="BY119" i="1"/>
  <c r="BX119" i="1"/>
  <c r="BW119" i="1"/>
  <c r="BV119" i="1"/>
  <c r="BU119" i="1"/>
  <c r="BT119" i="1"/>
  <c r="BS119" i="1"/>
  <c r="BR119" i="1"/>
  <c r="BQ119" i="1"/>
  <c r="BP119" i="1"/>
  <c r="BO119" i="1"/>
  <c r="BN119" i="1"/>
  <c r="BM119" i="1"/>
  <c r="BL119" i="1"/>
  <c r="BK119" i="1"/>
  <c r="BJ119" i="1"/>
  <c r="BI119" i="1"/>
  <c r="BH119" i="1"/>
  <c r="BG119" i="1"/>
  <c r="AT119" i="1"/>
  <c r="AM119" i="1"/>
  <c r="AZ119" i="1" s="1"/>
  <c r="I119" i="1"/>
  <c r="AU119" i="1" s="1"/>
  <c r="C119" i="1"/>
  <c r="B119" i="1"/>
  <c r="A119" i="1"/>
  <c r="CC118" i="1"/>
  <c r="CB118" i="1"/>
  <c r="CA118" i="1"/>
  <c r="BZ118" i="1"/>
  <c r="BY118" i="1"/>
  <c r="BX118" i="1"/>
  <c r="BW118" i="1"/>
  <c r="BV118" i="1"/>
  <c r="BU118" i="1"/>
  <c r="BT118" i="1"/>
  <c r="BS118" i="1"/>
  <c r="BR118" i="1"/>
  <c r="BQ118" i="1"/>
  <c r="BP118" i="1"/>
  <c r="BO118" i="1"/>
  <c r="BN118" i="1"/>
  <c r="BM118" i="1"/>
  <c r="BL118" i="1"/>
  <c r="BK118" i="1"/>
  <c r="BJ118" i="1"/>
  <c r="BI118" i="1"/>
  <c r="BH118" i="1"/>
  <c r="BG118" i="1"/>
  <c r="AZ118" i="1"/>
  <c r="AY118" i="1"/>
  <c r="AT118" i="1"/>
  <c r="AM118" i="1"/>
  <c r="AW118" i="1" s="1"/>
  <c r="I118" i="1"/>
  <c r="AU118" i="1" s="1"/>
  <c r="C118" i="1"/>
  <c r="B118" i="1"/>
  <c r="A118" i="1"/>
  <c r="CC117" i="1"/>
  <c r="CB117" i="1"/>
  <c r="CA117" i="1"/>
  <c r="BZ117" i="1"/>
  <c r="BY117" i="1"/>
  <c r="BX117" i="1"/>
  <c r="BW117" i="1"/>
  <c r="BV117" i="1"/>
  <c r="BU117" i="1"/>
  <c r="BT117" i="1"/>
  <c r="BS117" i="1"/>
  <c r="BR117" i="1"/>
  <c r="BQ117" i="1"/>
  <c r="BP117" i="1"/>
  <c r="BO117" i="1"/>
  <c r="BN117" i="1"/>
  <c r="BM117" i="1"/>
  <c r="BL117" i="1"/>
  <c r="BK117" i="1"/>
  <c r="BJ117" i="1"/>
  <c r="BI117" i="1"/>
  <c r="BH117" i="1"/>
  <c r="BG117" i="1"/>
  <c r="AZ117" i="1"/>
  <c r="AY117" i="1"/>
  <c r="AT117" i="1"/>
  <c r="AM117" i="1"/>
  <c r="AW117" i="1" s="1"/>
  <c r="I117" i="1"/>
  <c r="AU117" i="1" s="1"/>
  <c r="C117" i="1"/>
  <c r="B117" i="1"/>
  <c r="A117" i="1"/>
  <c r="CC116" i="1"/>
  <c r="CB116" i="1"/>
  <c r="CA116" i="1"/>
  <c r="BZ116" i="1"/>
  <c r="BY116" i="1"/>
  <c r="BX116" i="1"/>
  <c r="BW116" i="1"/>
  <c r="BV116" i="1"/>
  <c r="BU116" i="1"/>
  <c r="BT116" i="1"/>
  <c r="BS116" i="1"/>
  <c r="BR116" i="1"/>
  <c r="BQ116" i="1"/>
  <c r="BP116" i="1"/>
  <c r="BO116" i="1"/>
  <c r="BN116" i="1"/>
  <c r="BM116" i="1"/>
  <c r="BL116" i="1"/>
  <c r="BK116" i="1"/>
  <c r="BJ116" i="1"/>
  <c r="BI116" i="1"/>
  <c r="BH116" i="1"/>
  <c r="BG116" i="1"/>
  <c r="AZ116" i="1"/>
  <c r="AY116" i="1"/>
  <c r="AT116" i="1"/>
  <c r="AM116" i="1"/>
  <c r="AW116" i="1" s="1"/>
  <c r="I116" i="1"/>
  <c r="AU116" i="1" s="1"/>
  <c r="C116" i="1"/>
  <c r="B116" i="1"/>
  <c r="A116" i="1"/>
  <c r="CC115" i="1"/>
  <c r="CB115" i="1"/>
  <c r="CA115" i="1"/>
  <c r="BZ115" i="1"/>
  <c r="BY115" i="1"/>
  <c r="BX115" i="1"/>
  <c r="BW115" i="1"/>
  <c r="BV115" i="1"/>
  <c r="BU115" i="1"/>
  <c r="BT115" i="1"/>
  <c r="BS115" i="1"/>
  <c r="BR115" i="1"/>
  <c r="BQ115" i="1"/>
  <c r="BP115" i="1"/>
  <c r="BO115" i="1"/>
  <c r="BN115" i="1"/>
  <c r="BM115" i="1"/>
  <c r="BL115" i="1"/>
  <c r="BK115" i="1"/>
  <c r="BJ115" i="1"/>
  <c r="BI115" i="1"/>
  <c r="BH115" i="1"/>
  <c r="BG115" i="1"/>
  <c r="AZ115" i="1"/>
  <c r="AY115" i="1"/>
  <c r="AT115" i="1"/>
  <c r="AM115" i="1"/>
  <c r="AW115" i="1" s="1"/>
  <c r="I115" i="1"/>
  <c r="C115" i="1"/>
  <c r="B115" i="1"/>
  <c r="A115" i="1"/>
  <c r="CC114" i="1"/>
  <c r="CB114" i="1"/>
  <c r="CA114" i="1"/>
  <c r="BZ114" i="1"/>
  <c r="BY114" i="1"/>
  <c r="BX114" i="1"/>
  <c r="BW114" i="1"/>
  <c r="BV114" i="1"/>
  <c r="BU114" i="1"/>
  <c r="BT114" i="1"/>
  <c r="BS114" i="1"/>
  <c r="BR114" i="1"/>
  <c r="BQ114" i="1"/>
  <c r="BP114" i="1"/>
  <c r="BO114" i="1"/>
  <c r="BN114" i="1"/>
  <c r="BM114" i="1"/>
  <c r="BL114" i="1"/>
  <c r="BK114" i="1"/>
  <c r="BJ114" i="1"/>
  <c r="BI114" i="1"/>
  <c r="BH114" i="1"/>
  <c r="BG114" i="1"/>
  <c r="AZ114" i="1"/>
  <c r="AY114" i="1"/>
  <c r="AT114" i="1"/>
  <c r="AM114" i="1"/>
  <c r="I114" i="1"/>
  <c r="AU114" i="1" s="1"/>
  <c r="C114" i="1"/>
  <c r="B114" i="1"/>
  <c r="A114" i="1"/>
  <c r="CC113" i="1"/>
  <c r="CB113" i="1"/>
  <c r="CA113" i="1"/>
  <c r="BZ113" i="1"/>
  <c r="BY113" i="1"/>
  <c r="BX113" i="1"/>
  <c r="BW113" i="1"/>
  <c r="BV113" i="1"/>
  <c r="BU113" i="1"/>
  <c r="BT113" i="1"/>
  <c r="BS113" i="1"/>
  <c r="BR113" i="1"/>
  <c r="BQ113" i="1"/>
  <c r="BP113" i="1"/>
  <c r="BO113" i="1"/>
  <c r="BN113" i="1"/>
  <c r="BM113" i="1"/>
  <c r="BL113" i="1"/>
  <c r="BK113" i="1"/>
  <c r="BJ113" i="1"/>
  <c r="BI113" i="1"/>
  <c r="BH113" i="1"/>
  <c r="BG113" i="1"/>
  <c r="AZ113" i="1"/>
  <c r="AY113" i="1"/>
  <c r="AT113" i="1"/>
  <c r="AM113" i="1"/>
  <c r="I113" i="1"/>
  <c r="AU113" i="1" s="1"/>
  <c r="C113" i="1"/>
  <c r="B113" i="1"/>
  <c r="A113" i="1"/>
  <c r="CC112" i="1"/>
  <c r="CB112" i="1"/>
  <c r="CA112" i="1"/>
  <c r="BZ112" i="1"/>
  <c r="BY112" i="1"/>
  <c r="BX112" i="1"/>
  <c r="BW112" i="1"/>
  <c r="BV112" i="1"/>
  <c r="BU112" i="1"/>
  <c r="BT112" i="1"/>
  <c r="BS112" i="1"/>
  <c r="BR112" i="1"/>
  <c r="BQ112" i="1"/>
  <c r="BP112" i="1"/>
  <c r="BO112" i="1"/>
  <c r="BN112" i="1"/>
  <c r="BM112" i="1"/>
  <c r="BL112" i="1"/>
  <c r="BK112" i="1"/>
  <c r="BJ112" i="1"/>
  <c r="BI112" i="1"/>
  <c r="BH112" i="1"/>
  <c r="BG112" i="1"/>
  <c r="AZ112" i="1"/>
  <c r="AY112" i="1"/>
  <c r="AT112" i="1"/>
  <c r="AM112" i="1"/>
  <c r="AW112" i="1" s="1"/>
  <c r="I112" i="1"/>
  <c r="AU112" i="1" s="1"/>
  <c r="C112" i="1"/>
  <c r="B112" i="1"/>
  <c r="A112" i="1"/>
  <c r="CC111" i="1"/>
  <c r="CB111" i="1"/>
  <c r="CA111" i="1"/>
  <c r="BZ111" i="1"/>
  <c r="BY111" i="1"/>
  <c r="BX111" i="1"/>
  <c r="BW111" i="1"/>
  <c r="BV111" i="1"/>
  <c r="BU111" i="1"/>
  <c r="BT111" i="1"/>
  <c r="BS111" i="1"/>
  <c r="BR111" i="1"/>
  <c r="BQ111" i="1"/>
  <c r="BP111" i="1"/>
  <c r="BO111" i="1"/>
  <c r="BN111" i="1"/>
  <c r="BM111" i="1"/>
  <c r="BL111" i="1"/>
  <c r="BK111" i="1"/>
  <c r="BJ111" i="1"/>
  <c r="BI111" i="1"/>
  <c r="BH111" i="1"/>
  <c r="BG111" i="1"/>
  <c r="AZ111" i="1"/>
  <c r="AY111" i="1"/>
  <c r="AT111" i="1"/>
  <c r="AM111" i="1"/>
  <c r="AW111" i="1" s="1"/>
  <c r="I111" i="1"/>
  <c r="CD111" i="1" s="1"/>
  <c r="CG111" i="1" s="1"/>
  <c r="C111" i="1"/>
  <c r="B111" i="1"/>
  <c r="A111" i="1"/>
  <c r="CC110" i="1"/>
  <c r="CB110" i="1"/>
  <c r="CA110" i="1"/>
  <c r="BZ110" i="1"/>
  <c r="BY110" i="1"/>
  <c r="BX110" i="1"/>
  <c r="BW110" i="1"/>
  <c r="BV110" i="1"/>
  <c r="BU110" i="1"/>
  <c r="BT110" i="1"/>
  <c r="BS110" i="1"/>
  <c r="BR110" i="1"/>
  <c r="BQ110" i="1"/>
  <c r="BP110" i="1"/>
  <c r="BO110" i="1"/>
  <c r="BN110" i="1"/>
  <c r="BM110" i="1"/>
  <c r="BL110" i="1"/>
  <c r="BK110" i="1"/>
  <c r="BJ110" i="1"/>
  <c r="BI110" i="1"/>
  <c r="BH110" i="1"/>
  <c r="BG110" i="1"/>
  <c r="AZ110" i="1"/>
  <c r="AY110" i="1"/>
  <c r="AT110" i="1"/>
  <c r="AM110" i="1"/>
  <c r="I110" i="1"/>
  <c r="AU110" i="1" s="1"/>
  <c r="C110" i="1"/>
  <c r="B110" i="1"/>
  <c r="A110" i="1"/>
  <c r="CC109" i="1"/>
  <c r="CB109" i="1"/>
  <c r="CA109" i="1"/>
  <c r="BZ109" i="1"/>
  <c r="BY109" i="1"/>
  <c r="BX109" i="1"/>
  <c r="BW109" i="1"/>
  <c r="BV109" i="1"/>
  <c r="BU109" i="1"/>
  <c r="BT109" i="1"/>
  <c r="BS109" i="1"/>
  <c r="BR109" i="1"/>
  <c r="BQ109" i="1"/>
  <c r="BP109" i="1"/>
  <c r="BO109" i="1"/>
  <c r="BN109" i="1"/>
  <c r="BM109" i="1"/>
  <c r="BL109" i="1"/>
  <c r="BK109" i="1"/>
  <c r="BJ109" i="1"/>
  <c r="BI109" i="1"/>
  <c r="BH109" i="1"/>
  <c r="BG109" i="1"/>
  <c r="AZ109" i="1"/>
  <c r="AY109" i="1"/>
  <c r="AT109" i="1"/>
  <c r="AM109" i="1"/>
  <c r="AP109" i="1" s="1"/>
  <c r="AQ109" i="1" s="1"/>
  <c r="I109" i="1"/>
  <c r="CD109" i="1" s="1"/>
  <c r="CG109" i="1" s="1"/>
  <c r="CF109" i="1" s="1"/>
  <c r="CK109" i="1" s="1"/>
  <c r="C109" i="1"/>
  <c r="B109" i="1"/>
  <c r="A109" i="1"/>
  <c r="CC108" i="1"/>
  <c r="CB108" i="1"/>
  <c r="CA108" i="1"/>
  <c r="BZ108" i="1"/>
  <c r="BY108" i="1"/>
  <c r="BX108" i="1"/>
  <c r="BW108" i="1"/>
  <c r="BV108" i="1"/>
  <c r="BU108" i="1"/>
  <c r="BT108" i="1"/>
  <c r="BS108" i="1"/>
  <c r="BR108" i="1"/>
  <c r="BQ108" i="1"/>
  <c r="BP108" i="1"/>
  <c r="BO108" i="1"/>
  <c r="BN108" i="1"/>
  <c r="BM108" i="1"/>
  <c r="BL108" i="1"/>
  <c r="BK108" i="1"/>
  <c r="BJ108" i="1"/>
  <c r="BI108" i="1"/>
  <c r="BH108" i="1"/>
  <c r="BG108" i="1"/>
  <c r="AZ108" i="1"/>
  <c r="AY108" i="1"/>
  <c r="AT108" i="1"/>
  <c r="AM108" i="1"/>
  <c r="I108" i="1"/>
  <c r="AU108" i="1" s="1"/>
  <c r="C108" i="1"/>
  <c r="B108" i="1"/>
  <c r="A108" i="1"/>
  <c r="CC107" i="1"/>
  <c r="CB107" i="1"/>
  <c r="CA107" i="1"/>
  <c r="BZ107" i="1"/>
  <c r="BY107" i="1"/>
  <c r="BX107" i="1"/>
  <c r="BW107" i="1"/>
  <c r="BV107" i="1"/>
  <c r="BU107" i="1"/>
  <c r="BT107" i="1"/>
  <c r="BS107" i="1"/>
  <c r="BR107" i="1"/>
  <c r="BQ107" i="1"/>
  <c r="BP107" i="1"/>
  <c r="BO107" i="1"/>
  <c r="BN107" i="1"/>
  <c r="BM107" i="1"/>
  <c r="BL107" i="1"/>
  <c r="BK107" i="1"/>
  <c r="BJ107" i="1"/>
  <c r="BI107" i="1"/>
  <c r="BH107" i="1"/>
  <c r="BG107" i="1"/>
  <c r="AZ107" i="1"/>
  <c r="AY107" i="1"/>
  <c r="AT107" i="1"/>
  <c r="AM107" i="1"/>
  <c r="AW107" i="1" s="1"/>
  <c r="I107" i="1"/>
  <c r="AU107" i="1" s="1"/>
  <c r="C107" i="1"/>
  <c r="B107" i="1"/>
  <c r="A107" i="1"/>
  <c r="CC106" i="1"/>
  <c r="CB106" i="1"/>
  <c r="CA106" i="1"/>
  <c r="BZ106" i="1"/>
  <c r="BY106" i="1"/>
  <c r="BX106" i="1"/>
  <c r="BW106" i="1"/>
  <c r="BV106" i="1"/>
  <c r="BU106" i="1"/>
  <c r="BT106" i="1"/>
  <c r="BS106" i="1"/>
  <c r="BR106" i="1"/>
  <c r="BQ106" i="1"/>
  <c r="BP106" i="1"/>
  <c r="BO106" i="1"/>
  <c r="BN106" i="1"/>
  <c r="BM106" i="1"/>
  <c r="BL106" i="1"/>
  <c r="BK106" i="1"/>
  <c r="BJ106" i="1"/>
  <c r="BI106" i="1"/>
  <c r="BH106" i="1"/>
  <c r="BG106" i="1"/>
  <c r="AZ106" i="1"/>
  <c r="AY106" i="1"/>
  <c r="AT106" i="1"/>
  <c r="AM106" i="1"/>
  <c r="AW106" i="1" s="1"/>
  <c r="I106" i="1"/>
  <c r="C106" i="1"/>
  <c r="B106" i="1"/>
  <c r="A106" i="1"/>
  <c r="CC105" i="1"/>
  <c r="CB105" i="1"/>
  <c r="CA105" i="1"/>
  <c r="BZ105" i="1"/>
  <c r="BY105" i="1"/>
  <c r="BX105" i="1"/>
  <c r="BW105" i="1"/>
  <c r="BV105" i="1"/>
  <c r="BU105" i="1"/>
  <c r="BT105" i="1"/>
  <c r="BS105" i="1"/>
  <c r="BR105" i="1"/>
  <c r="BQ105" i="1"/>
  <c r="BP105" i="1"/>
  <c r="BO105" i="1"/>
  <c r="BN105" i="1"/>
  <c r="BM105" i="1"/>
  <c r="BL105" i="1"/>
  <c r="BK105" i="1"/>
  <c r="BJ105" i="1"/>
  <c r="BI105" i="1"/>
  <c r="BH105" i="1"/>
  <c r="BG105" i="1"/>
  <c r="AZ105" i="1"/>
  <c r="AY105" i="1"/>
  <c r="AT105" i="1"/>
  <c r="AM105" i="1"/>
  <c r="AP105" i="1" s="1"/>
  <c r="AQ105" i="1" s="1"/>
  <c r="I105" i="1"/>
  <c r="CD105" i="1" s="1"/>
  <c r="CG105" i="1" s="1"/>
  <c r="C105" i="1"/>
  <c r="B105" i="1"/>
  <c r="A105" i="1"/>
  <c r="CC104" i="1"/>
  <c r="CB104" i="1"/>
  <c r="CA104" i="1"/>
  <c r="BZ104" i="1"/>
  <c r="BY104" i="1"/>
  <c r="BX104" i="1"/>
  <c r="BW104" i="1"/>
  <c r="BV104" i="1"/>
  <c r="BU104" i="1"/>
  <c r="BT104" i="1"/>
  <c r="BS104" i="1"/>
  <c r="BR104" i="1"/>
  <c r="BQ104" i="1"/>
  <c r="BP104" i="1"/>
  <c r="BO104" i="1"/>
  <c r="BN104" i="1"/>
  <c r="BM104" i="1"/>
  <c r="BL104" i="1"/>
  <c r="BK104" i="1"/>
  <c r="BJ104" i="1"/>
  <c r="BI104" i="1"/>
  <c r="BH104" i="1"/>
  <c r="BG104" i="1"/>
  <c r="AZ104" i="1"/>
  <c r="AY104" i="1"/>
  <c r="AT104" i="1"/>
  <c r="AM104" i="1"/>
  <c r="I104" i="1"/>
  <c r="AU104" i="1" s="1"/>
  <c r="C104" i="1"/>
  <c r="B104" i="1"/>
  <c r="A104" i="1"/>
  <c r="CC103" i="1"/>
  <c r="CB103" i="1"/>
  <c r="CA103" i="1"/>
  <c r="BZ103" i="1"/>
  <c r="BY103" i="1"/>
  <c r="BX103" i="1"/>
  <c r="BW103" i="1"/>
  <c r="BV103" i="1"/>
  <c r="BU103" i="1"/>
  <c r="BT103" i="1"/>
  <c r="BS103" i="1"/>
  <c r="BR103" i="1"/>
  <c r="BQ103" i="1"/>
  <c r="BP103" i="1"/>
  <c r="BO103" i="1"/>
  <c r="BN103" i="1"/>
  <c r="BM103" i="1"/>
  <c r="BL103" i="1"/>
  <c r="BK103" i="1"/>
  <c r="BJ103" i="1"/>
  <c r="BI103" i="1"/>
  <c r="BH103" i="1"/>
  <c r="BG103" i="1"/>
  <c r="AZ103" i="1"/>
  <c r="AY103" i="1"/>
  <c r="AX103" i="1"/>
  <c r="AW103" i="1"/>
  <c r="AT103" i="1"/>
  <c r="AM103" i="1"/>
  <c r="AN103" i="1" s="1"/>
  <c r="AR103" i="1" s="1"/>
  <c r="I103" i="1"/>
  <c r="CD103" i="1" s="1"/>
  <c r="C103" i="1"/>
  <c r="B103" i="1"/>
  <c r="A103" i="1"/>
  <c r="BE102" i="1"/>
  <c r="BD102" i="1"/>
  <c r="BC102" i="1"/>
  <c r="AS101" i="1"/>
  <c r="BE98" i="1"/>
  <c r="BE97" i="1"/>
  <c r="BF97" i="1" s="1"/>
  <c r="BA97" i="1"/>
  <c r="BB125" i="1" s="1"/>
  <c r="X97" i="1"/>
  <c r="AX96" i="1"/>
  <c r="BC95" i="1"/>
  <c r="AX94" i="1"/>
  <c r="T81" i="1"/>
  <c r="U39" i="1"/>
  <c r="BD129" i="1" l="1"/>
  <c r="AU209" i="1"/>
  <c r="AN426" i="1"/>
  <c r="AR426" i="1" s="1"/>
  <c r="AU135" i="1"/>
  <c r="AU159" i="1"/>
  <c r="AY392" i="1"/>
  <c r="AU131" i="1"/>
  <c r="CD337" i="1"/>
  <c r="CG337" i="1" s="1"/>
  <c r="AP431" i="1"/>
  <c r="AQ431" i="1" s="1"/>
  <c r="BC431" i="1" s="1"/>
  <c r="AY146" i="1"/>
  <c r="AY219" i="1"/>
  <c r="CD282" i="1"/>
  <c r="CI282" i="1" s="1"/>
  <c r="CN282" i="1" s="1"/>
  <c r="CD289" i="1"/>
  <c r="CG289" i="1" s="1"/>
  <c r="AU351" i="1"/>
  <c r="AZ408" i="1"/>
  <c r="AU180" i="1"/>
  <c r="CD280" i="1"/>
  <c r="CI280" i="1" s="1"/>
  <c r="CN280" i="1" s="1"/>
  <c r="AM124" i="1"/>
  <c r="AW124" i="1" s="1"/>
  <c r="AM325" i="1"/>
  <c r="AM353" i="1"/>
  <c r="AX353" i="1" s="1"/>
  <c r="AN441" i="1"/>
  <c r="AR441" i="1" s="1"/>
  <c r="AM161" i="1"/>
  <c r="AW161" i="1" s="1"/>
  <c r="CI111" i="1"/>
  <c r="CN111" i="1" s="1"/>
  <c r="AZ145" i="1"/>
  <c r="CD158" i="1"/>
  <c r="CI158" i="1" s="1"/>
  <c r="CN158" i="1" s="1"/>
  <c r="AM239" i="1"/>
  <c r="AW239" i="1" s="1"/>
  <c r="AM244" i="1"/>
  <c r="AY244" i="1" s="1"/>
  <c r="CE348" i="1"/>
  <c r="CJ348" i="1" s="1"/>
  <c r="CO348" i="1" s="1"/>
  <c r="AP350" i="1"/>
  <c r="AQ350" i="1" s="1"/>
  <c r="BD350" i="1" s="1"/>
  <c r="AM373" i="1"/>
  <c r="AP373" i="1" s="1"/>
  <c r="AQ373" i="1" s="1"/>
  <c r="AP383" i="1"/>
  <c r="AQ383" i="1" s="1"/>
  <c r="AP385" i="1"/>
  <c r="AQ385" i="1" s="1"/>
  <c r="BC385" i="1" s="1"/>
  <c r="AN412" i="1"/>
  <c r="AR412" i="1" s="1"/>
  <c r="CD138" i="1"/>
  <c r="CI138" i="1" s="1"/>
  <c r="CN138" i="1" s="1"/>
  <c r="AZ148" i="1"/>
  <c r="AM216" i="1"/>
  <c r="AX216" i="1" s="1"/>
  <c r="AW262" i="1"/>
  <c r="AP307" i="1"/>
  <c r="AQ307" i="1" s="1"/>
  <c r="CI346" i="1"/>
  <c r="CN346" i="1" s="1"/>
  <c r="AM362" i="1"/>
  <c r="AP362" i="1" s="1"/>
  <c r="AQ362" i="1" s="1"/>
  <c r="BD362" i="1" s="1"/>
  <c r="AN410" i="1"/>
  <c r="AR410" i="1" s="1"/>
  <c r="AN416" i="1"/>
  <c r="AR416" i="1" s="1"/>
  <c r="AZ421" i="1"/>
  <c r="AY441" i="1"/>
  <c r="AR453" i="1"/>
  <c r="AN118" i="1"/>
  <c r="AR118" i="1" s="1"/>
  <c r="AP147" i="1"/>
  <c r="AQ147" i="1" s="1"/>
  <c r="BD147" i="1" s="1"/>
  <c r="CC166" i="1"/>
  <c r="AP310" i="1"/>
  <c r="AQ310" i="1" s="1"/>
  <c r="AM316" i="1"/>
  <c r="AP316" i="1" s="1"/>
  <c r="AQ316" i="1" s="1"/>
  <c r="AN340" i="1"/>
  <c r="AR340" i="1" s="1"/>
  <c r="AP342" i="1"/>
  <c r="AQ342" i="1" s="1"/>
  <c r="BD342" i="1" s="1"/>
  <c r="AP344" i="1"/>
  <c r="AQ344" i="1" s="1"/>
  <c r="AM369" i="1"/>
  <c r="AW369" i="1" s="1"/>
  <c r="CD401" i="1"/>
  <c r="CE401" i="1" s="1"/>
  <c r="CJ401" i="1" s="1"/>
  <c r="CO401" i="1" s="1"/>
  <c r="CD403" i="1"/>
  <c r="CG403" i="1" s="1"/>
  <c r="CD405" i="1"/>
  <c r="AN414" i="1"/>
  <c r="AR414" i="1" s="1"/>
  <c r="AN430" i="1"/>
  <c r="AR430" i="1" s="1"/>
  <c r="CD435" i="1"/>
  <c r="CI435" i="1" s="1"/>
  <c r="CN435" i="1" s="1"/>
  <c r="AN442" i="1"/>
  <c r="AR442" i="1" s="1"/>
  <c r="AY442" i="1"/>
  <c r="AN117" i="1"/>
  <c r="AR117" i="1" s="1"/>
  <c r="BA135" i="1"/>
  <c r="AM248" i="1"/>
  <c r="AM130" i="1"/>
  <c r="AN130" i="1" s="1"/>
  <c r="AR130" i="1" s="1"/>
  <c r="AP146" i="1"/>
  <c r="AQ146" i="1" s="1"/>
  <c r="BC146" i="1" s="1"/>
  <c r="AM223" i="1"/>
  <c r="AN223" i="1" s="1"/>
  <c r="AR223" i="1" s="1"/>
  <c r="AM356" i="1"/>
  <c r="AW356" i="1" s="1"/>
  <c r="AP392" i="1"/>
  <c r="AQ392" i="1" s="1"/>
  <c r="BC392" i="1" s="1"/>
  <c r="AP430" i="1"/>
  <c r="AQ430" i="1" s="1"/>
  <c r="BD430" i="1" s="1"/>
  <c r="AN432" i="1"/>
  <c r="AR432" i="1" s="1"/>
  <c r="AN435" i="1"/>
  <c r="AR435" i="1" s="1"/>
  <c r="AP442" i="1"/>
  <c r="AQ442" i="1" s="1"/>
  <c r="BC442" i="1" s="1"/>
  <c r="AZ442" i="1"/>
  <c r="CD453" i="1"/>
  <c r="CI453" i="1" s="1"/>
  <c r="CN453" i="1" s="1"/>
  <c r="BA131" i="1"/>
  <c r="AN227" i="1"/>
  <c r="AR227" i="1" s="1"/>
  <c r="AM251" i="1"/>
  <c r="AW251" i="1" s="1"/>
  <c r="AP259" i="1"/>
  <c r="AQ259" i="1" s="1"/>
  <c r="BC259" i="1" s="1"/>
  <c r="AN107" i="1"/>
  <c r="AR107" i="1" s="1"/>
  <c r="AU125" i="1"/>
  <c r="AU129" i="1"/>
  <c r="AU143" i="1"/>
  <c r="AN145" i="1"/>
  <c r="AR145" i="1" s="1"/>
  <c r="AM151" i="1"/>
  <c r="AW151" i="1" s="1"/>
  <c r="AU163" i="1"/>
  <c r="AM165" i="1"/>
  <c r="AY165" i="1" s="1"/>
  <c r="AM170" i="1"/>
  <c r="AW170" i="1" s="1"/>
  <c r="AU213" i="1"/>
  <c r="AM214" i="1"/>
  <c r="AW214" i="1" s="1"/>
  <c r="AY268" i="1"/>
  <c r="CD290" i="1"/>
  <c r="CI290" i="1" s="1"/>
  <c r="CN290" i="1" s="1"/>
  <c r="AZ303" i="1"/>
  <c r="AU309" i="1"/>
  <c r="AZ313" i="1"/>
  <c r="AY336" i="1"/>
  <c r="AY338" i="1"/>
  <c r="AY340" i="1"/>
  <c r="AU365" i="1"/>
  <c r="CD390" i="1"/>
  <c r="CG390" i="1" s="1"/>
  <c r="AN402" i="1"/>
  <c r="AR402" i="1" s="1"/>
  <c r="AN404" i="1"/>
  <c r="AR404" i="1" s="1"/>
  <c r="AN406" i="1"/>
  <c r="AR406" i="1" s="1"/>
  <c r="AN408" i="1"/>
  <c r="AR408" i="1" s="1"/>
  <c r="AN421" i="1"/>
  <c r="AR421" i="1" s="1"/>
  <c r="AZ422" i="1"/>
  <c r="AW114" i="1"/>
  <c r="AN114" i="1"/>
  <c r="AR114" i="1" s="1"/>
  <c r="AZ123" i="1"/>
  <c r="AW123" i="1"/>
  <c r="AW165" i="1"/>
  <c r="CD211" i="1"/>
  <c r="AU211" i="1"/>
  <c r="AU288" i="1"/>
  <c r="CD288" i="1"/>
  <c r="CI288" i="1" s="1"/>
  <c r="CN288" i="1" s="1"/>
  <c r="CG315" i="1"/>
  <c r="CF315" i="1" s="1"/>
  <c r="CK315" i="1" s="1"/>
  <c r="CE315" i="1"/>
  <c r="CJ315" i="1" s="1"/>
  <c r="CO315" i="1" s="1"/>
  <c r="AU370" i="1"/>
  <c r="CD370" i="1"/>
  <c r="CG370" i="1" s="1"/>
  <c r="AW409" i="1"/>
  <c r="AZ409" i="1"/>
  <c r="AN409" i="1"/>
  <c r="AR409" i="1" s="1"/>
  <c r="AW113" i="1"/>
  <c r="AN113" i="1"/>
  <c r="AR113" i="1" s="1"/>
  <c r="AN120" i="1"/>
  <c r="AR120" i="1" s="1"/>
  <c r="AY415" i="1"/>
  <c r="AN415" i="1"/>
  <c r="AR415" i="1" s="1"/>
  <c r="AW424" i="1"/>
  <c r="AP424" i="1"/>
  <c r="AQ424" i="1" s="1"/>
  <c r="BD424" i="1" s="1"/>
  <c r="AW433" i="1"/>
  <c r="AP433" i="1"/>
  <c r="AQ433" i="1" s="1"/>
  <c r="BC433" i="1" s="1"/>
  <c r="AW440" i="1"/>
  <c r="AP440" i="1"/>
  <c r="AQ440" i="1" s="1"/>
  <c r="BC440" i="1" s="1"/>
  <c r="AN440" i="1"/>
  <c r="AR440" i="1" s="1"/>
  <c r="AW443" i="1"/>
  <c r="AZ443" i="1"/>
  <c r="AP443" i="1"/>
  <c r="AQ443" i="1" s="1"/>
  <c r="CD112" i="1"/>
  <c r="CG112" i="1" s="1"/>
  <c r="CH112" i="1" s="1"/>
  <c r="CM112" i="1" s="1"/>
  <c r="AM230" i="1"/>
  <c r="AX230" i="1" s="1"/>
  <c r="CC230" i="1"/>
  <c r="CC238" i="1"/>
  <c r="AM238" i="1"/>
  <c r="AP238" i="1" s="1"/>
  <c r="AQ238" i="1" s="1"/>
  <c r="BC238" i="1" s="1"/>
  <c r="AY417" i="1"/>
  <c r="AZ417" i="1"/>
  <c r="CD104" i="1"/>
  <c r="CI104" i="1" s="1"/>
  <c r="CN104" i="1" s="1"/>
  <c r="AU106" i="1"/>
  <c r="CD106" i="1"/>
  <c r="CG106" i="1" s="1"/>
  <c r="CH106" i="1" s="1"/>
  <c r="CM106" i="1" s="1"/>
  <c r="AM142" i="1"/>
  <c r="AY142" i="1" s="1"/>
  <c r="AM217" i="1"/>
  <c r="AY217" i="1" s="1"/>
  <c r="AY276" i="1"/>
  <c r="AZ276" i="1"/>
  <c r="AU339" i="1"/>
  <c r="CD339" i="1"/>
  <c r="CG339" i="1" s="1"/>
  <c r="AN109" i="1"/>
  <c r="AR109" i="1" s="1"/>
  <c r="AM132" i="1"/>
  <c r="AN132" i="1" s="1"/>
  <c r="AR132" i="1" s="1"/>
  <c r="AU215" i="1"/>
  <c r="CD215" i="1"/>
  <c r="CG215" i="1" s="1"/>
  <c r="CC226" i="1"/>
  <c r="AM231" i="1"/>
  <c r="AP231" i="1" s="1"/>
  <c r="AQ231" i="1" s="1"/>
  <c r="BC231" i="1" s="1"/>
  <c r="CC236" i="1"/>
  <c r="AM236" i="1"/>
  <c r="AZ236" i="1" s="1"/>
  <c r="CC247" i="1"/>
  <c r="AM247" i="1"/>
  <c r="AN247" i="1" s="1"/>
  <c r="AR247" i="1" s="1"/>
  <c r="CC256" i="1"/>
  <c r="AZ272" i="1"/>
  <c r="AY272" i="1"/>
  <c r="AP273" i="1"/>
  <c r="AQ273" i="1" s="1"/>
  <c r="BC273" i="1" s="1"/>
  <c r="AW275" i="1"/>
  <c r="AN275" i="1"/>
  <c r="AR275" i="1" s="1"/>
  <c r="CG290" i="1"/>
  <c r="CF290" i="1" s="1"/>
  <c r="CK290" i="1" s="1"/>
  <c r="CC360" i="1"/>
  <c r="AM360" i="1"/>
  <c r="AU395" i="1"/>
  <c r="CD395" i="1"/>
  <c r="CE395" i="1" s="1"/>
  <c r="CJ395" i="1" s="1"/>
  <c r="CO395" i="1" s="1"/>
  <c r="AY413" i="1"/>
  <c r="AN413" i="1"/>
  <c r="AR413" i="1" s="1"/>
  <c r="AW423" i="1"/>
  <c r="AN423" i="1"/>
  <c r="AR423" i="1" s="1"/>
  <c r="AW439" i="1"/>
  <c r="AN439" i="1"/>
  <c r="AR439" i="1" s="1"/>
  <c r="AW396" i="1"/>
  <c r="AN396" i="1"/>
  <c r="AR396" i="1" s="1"/>
  <c r="CE105" i="1"/>
  <c r="CJ105" i="1" s="1"/>
  <c r="CO105" i="1" s="1"/>
  <c r="AN123" i="1"/>
  <c r="AR123" i="1" s="1"/>
  <c r="AN243" i="1"/>
  <c r="AR243" i="1" s="1"/>
  <c r="AU285" i="1"/>
  <c r="CD285" i="1"/>
  <c r="CI285" i="1" s="1"/>
  <c r="CN285" i="1" s="1"/>
  <c r="AU293" i="1"/>
  <c r="CD293" i="1"/>
  <c r="CI293" i="1" s="1"/>
  <c r="CN293" i="1" s="1"/>
  <c r="AP306" i="1"/>
  <c r="AQ306" i="1" s="1"/>
  <c r="BD306" i="1" s="1"/>
  <c r="AM328" i="1"/>
  <c r="AX328" i="1" s="1"/>
  <c r="CC328" i="1"/>
  <c r="CC162" i="1"/>
  <c r="AM162" i="1"/>
  <c r="AZ162" i="1" s="1"/>
  <c r="CD167" i="1"/>
  <c r="CE167" i="1" s="1"/>
  <c r="CJ167" i="1" s="1"/>
  <c r="CO167" i="1" s="1"/>
  <c r="AU167" i="1"/>
  <c r="AM182" i="1"/>
  <c r="AW182" i="1" s="1"/>
  <c r="CC183" i="1"/>
  <c r="AM183" i="1"/>
  <c r="AP183" i="1" s="1"/>
  <c r="AQ183" i="1" s="1"/>
  <c r="CD114" i="1"/>
  <c r="CG114" i="1" s="1"/>
  <c r="CH114" i="1" s="1"/>
  <c r="CM114" i="1" s="1"/>
  <c r="AU115" i="1"/>
  <c r="CD115" i="1"/>
  <c r="CG115" i="1" s="1"/>
  <c r="CH115" i="1" s="1"/>
  <c r="CM115" i="1" s="1"/>
  <c r="CD120" i="1"/>
  <c r="CG120" i="1" s="1"/>
  <c r="AU120" i="1"/>
  <c r="AN122" i="1"/>
  <c r="AR122" i="1" s="1"/>
  <c r="CD139" i="1"/>
  <c r="CE139" i="1" s="1"/>
  <c r="CJ139" i="1" s="1"/>
  <c r="CO139" i="1" s="1"/>
  <c r="AU139" i="1"/>
  <c r="AU172" i="1"/>
  <c r="AM175" i="1"/>
  <c r="AW175" i="1" s="1"/>
  <c r="AM212" i="1"/>
  <c r="AY212" i="1" s="1"/>
  <c r="AN218" i="1"/>
  <c r="AR218" i="1" s="1"/>
  <c r="AW221" i="1"/>
  <c r="AY221" i="1"/>
  <c r="AP221" i="1"/>
  <c r="AQ221" i="1" s="1"/>
  <c r="BC221" i="1" s="1"/>
  <c r="AN221" i="1"/>
  <c r="AR221" i="1" s="1"/>
  <c r="CC222" i="1"/>
  <c r="AM222" i="1"/>
  <c r="AX222" i="1" s="1"/>
  <c r="CC254" i="1"/>
  <c r="AM254" i="1"/>
  <c r="AP272" i="1"/>
  <c r="AQ272" i="1" s="1"/>
  <c r="AU281" i="1"/>
  <c r="CD281" i="1"/>
  <c r="CI281" i="1" s="1"/>
  <c r="CN281" i="1" s="1"/>
  <c r="AZ306" i="1"/>
  <c r="AY311" i="1"/>
  <c r="AP311" i="1"/>
  <c r="AQ311" i="1" s="1"/>
  <c r="BC311" i="1" s="1"/>
  <c r="CC320" i="1"/>
  <c r="AU324" i="1"/>
  <c r="CD324" i="1"/>
  <c r="AZ376" i="1"/>
  <c r="AY376" i="1"/>
  <c r="AP376" i="1"/>
  <c r="AQ376" i="1" s="1"/>
  <c r="AW387" i="1"/>
  <c r="AP387" i="1"/>
  <c r="AQ387" i="1" s="1"/>
  <c r="BD387" i="1" s="1"/>
  <c r="AW434" i="1"/>
  <c r="AP434" i="1"/>
  <c r="AQ434" i="1" s="1"/>
  <c r="AN434" i="1"/>
  <c r="AR434" i="1" s="1"/>
  <c r="AW438" i="1"/>
  <c r="AP438" i="1"/>
  <c r="AQ438" i="1" s="1"/>
  <c r="BC438" i="1" s="1"/>
  <c r="AW448" i="1"/>
  <c r="AN448" i="1"/>
  <c r="AR448" i="1" s="1"/>
  <c r="CE425" i="1"/>
  <c r="CJ425" i="1" s="1"/>
  <c r="AZ430" i="1"/>
  <c r="AP435" i="1"/>
  <c r="AQ435" i="1" s="1"/>
  <c r="BA125" i="1"/>
  <c r="BA129" i="1"/>
  <c r="BD131" i="1"/>
  <c r="CE145" i="1"/>
  <c r="CJ145" i="1" s="1"/>
  <c r="CO145" i="1" s="1"/>
  <c r="AZ147" i="1"/>
  <c r="CC242" i="1"/>
  <c r="CC329" i="1"/>
  <c r="AN336" i="1"/>
  <c r="AR336" i="1" s="1"/>
  <c r="AM355" i="1"/>
  <c r="AM358" i="1"/>
  <c r="AP358" i="1" s="1"/>
  <c r="AQ358" i="1" s="1"/>
  <c r="CD361" i="1"/>
  <c r="CI361" i="1" s="1"/>
  <c r="CN361" i="1" s="1"/>
  <c r="AM364" i="1"/>
  <c r="AW364" i="1" s="1"/>
  <c r="AP379" i="1"/>
  <c r="AQ379" i="1" s="1"/>
  <c r="AP381" i="1"/>
  <c r="AQ381" i="1" s="1"/>
  <c r="BD381" i="1" s="1"/>
  <c r="CE390" i="1"/>
  <c r="CJ390" i="1" s="1"/>
  <c r="CO390" i="1" s="1"/>
  <c r="AP395" i="1"/>
  <c r="AQ395" i="1" s="1"/>
  <c r="CG397" i="1"/>
  <c r="AN422" i="1"/>
  <c r="AR422" i="1" s="1"/>
  <c r="AN429" i="1"/>
  <c r="AR429" i="1" s="1"/>
  <c r="AP436" i="1"/>
  <c r="AQ436" i="1" s="1"/>
  <c r="CD116" i="1"/>
  <c r="CG116" i="1" s="1"/>
  <c r="CH116" i="1" s="1"/>
  <c r="CM116" i="1" s="1"/>
  <c r="AN106" i="1"/>
  <c r="AR106" i="1" s="1"/>
  <c r="CD107" i="1"/>
  <c r="CG107" i="1" s="1"/>
  <c r="CH107" i="1" s="1"/>
  <c r="CM107" i="1" s="1"/>
  <c r="CE111" i="1"/>
  <c r="CJ111" i="1" s="1"/>
  <c r="CO111" i="1" s="1"/>
  <c r="AN115" i="1"/>
  <c r="AR115" i="1" s="1"/>
  <c r="CD118" i="1"/>
  <c r="CG118" i="1" s="1"/>
  <c r="CH118" i="1" s="1"/>
  <c r="CM118" i="1" s="1"/>
  <c r="CE121" i="1"/>
  <c r="CJ121" i="1" s="1"/>
  <c r="CO121" i="1" s="1"/>
  <c r="AM133" i="1"/>
  <c r="AM141" i="1"/>
  <c r="AW141" i="1" s="1"/>
  <c r="AN147" i="1"/>
  <c r="AR147" i="1" s="1"/>
  <c r="AN148" i="1"/>
  <c r="AR148" i="1" s="1"/>
  <c r="AM153" i="1"/>
  <c r="AM169" i="1"/>
  <c r="AW169" i="1" s="1"/>
  <c r="CC173" i="1"/>
  <c r="AM179" i="1"/>
  <c r="AW179" i="1" s="1"/>
  <c r="AM228" i="1"/>
  <c r="AY228" i="1" s="1"/>
  <c r="AM246" i="1"/>
  <c r="AM250" i="1"/>
  <c r="AZ250" i="1" s="1"/>
  <c r="AM252" i="1"/>
  <c r="AN252" i="1" s="1"/>
  <c r="AP262" i="1"/>
  <c r="AQ262" i="1" s="1"/>
  <c r="AN263" i="1"/>
  <c r="AR263" i="1" s="1"/>
  <c r="AP268" i="1"/>
  <c r="AQ268" i="1" s="1"/>
  <c r="BD268" i="1" s="1"/>
  <c r="AP303" i="1"/>
  <c r="AQ303" i="1" s="1"/>
  <c r="BC303" i="1" s="1"/>
  <c r="AP313" i="1"/>
  <c r="AQ313" i="1" s="1"/>
  <c r="AN338" i="1"/>
  <c r="AR338" i="1" s="1"/>
  <c r="CG345" i="1"/>
  <c r="CH345" i="1" s="1"/>
  <c r="CM345" i="1" s="1"/>
  <c r="CD359" i="1"/>
  <c r="CE359" i="1" s="1"/>
  <c r="CJ359" i="1" s="1"/>
  <c r="CO359" i="1" s="1"/>
  <c r="CI390" i="1"/>
  <c r="CN390" i="1" s="1"/>
  <c r="AX108" i="1"/>
  <c r="BA108" i="1" s="1"/>
  <c r="AP108" i="1"/>
  <c r="AQ108" i="1" s="1"/>
  <c r="BD108" i="1" s="1"/>
  <c r="AW108" i="1"/>
  <c r="AN108" i="1"/>
  <c r="AR108" i="1" s="1"/>
  <c r="CI162" i="1"/>
  <c r="CN162" i="1" s="1"/>
  <c r="CG162" i="1"/>
  <c r="CH162" i="1" s="1"/>
  <c r="CM162" i="1" s="1"/>
  <c r="CI183" i="1"/>
  <c r="CN183" i="1" s="1"/>
  <c r="CG183" i="1"/>
  <c r="CC209" i="1"/>
  <c r="AM209" i="1"/>
  <c r="AZ209" i="1" s="1"/>
  <c r="AW211" i="1"/>
  <c r="AN211" i="1"/>
  <c r="AR211" i="1" s="1"/>
  <c r="AW215" i="1"/>
  <c r="AN215" i="1"/>
  <c r="AR215" i="1" s="1"/>
  <c r="CI166" i="1"/>
  <c r="CN166" i="1" s="1"/>
  <c r="CG166" i="1"/>
  <c r="CI142" i="1"/>
  <c r="CN142" i="1" s="1"/>
  <c r="CG142" i="1"/>
  <c r="CL142" i="1" s="1"/>
  <c r="CI170" i="1"/>
  <c r="CN170" i="1" s="1"/>
  <c r="CG170" i="1"/>
  <c r="AU142" i="1"/>
  <c r="AY149" i="1"/>
  <c r="AU162" i="1"/>
  <c r="AU166" i="1"/>
  <c r="AY169" i="1"/>
  <c r="AU170" i="1"/>
  <c r="AU212" i="1"/>
  <c r="AW232" i="1"/>
  <c r="AP232" i="1"/>
  <c r="AQ232" i="1" s="1"/>
  <c r="AN232" i="1"/>
  <c r="AR232" i="1" s="1"/>
  <c r="AY232" i="1"/>
  <c r="CC232" i="1"/>
  <c r="CC234" i="1"/>
  <c r="AM234" i="1"/>
  <c r="AP234" i="1" s="1"/>
  <c r="AQ234" i="1" s="1"/>
  <c r="AW248" i="1"/>
  <c r="AP248" i="1"/>
  <c r="AQ248" i="1" s="1"/>
  <c r="AN248" i="1"/>
  <c r="AR248" i="1" s="1"/>
  <c r="AY260" i="1"/>
  <c r="AP260" i="1"/>
  <c r="AQ260" i="1" s="1"/>
  <c r="BD260" i="1" s="1"/>
  <c r="AW277" i="1"/>
  <c r="AP277" i="1"/>
  <c r="AQ277" i="1" s="1"/>
  <c r="BD277" i="1" s="1"/>
  <c r="AN277" i="1"/>
  <c r="AR277" i="1" s="1"/>
  <c r="AZ302" i="1"/>
  <c r="AY302" i="1"/>
  <c r="AP302" i="1"/>
  <c r="AQ302" i="1" s="1"/>
  <c r="BD302" i="1" s="1"/>
  <c r="AN302" i="1"/>
  <c r="AR302" i="1" s="1"/>
  <c r="AZ304" i="1"/>
  <c r="AY304" i="1"/>
  <c r="AP304" i="1"/>
  <c r="AQ304" i="1" s="1"/>
  <c r="BD304" i="1" s="1"/>
  <c r="AU316" i="1"/>
  <c r="CD316" i="1"/>
  <c r="CE316" i="1" s="1"/>
  <c r="CJ316" i="1" s="1"/>
  <c r="CO316" i="1" s="1"/>
  <c r="AW380" i="1"/>
  <c r="AP380" i="1"/>
  <c r="AQ380" i="1" s="1"/>
  <c r="AZ380" i="1"/>
  <c r="AN380" i="1"/>
  <c r="AR380" i="1" s="1"/>
  <c r="AY380" i="1"/>
  <c r="BC150" i="1"/>
  <c r="BA103" i="1"/>
  <c r="CI105" i="1"/>
  <c r="CN105" i="1" s="1"/>
  <c r="AU109" i="1"/>
  <c r="CD110" i="1"/>
  <c r="CG110" i="1" s="1"/>
  <c r="CH110" i="1" s="1"/>
  <c r="CM110" i="1" s="1"/>
  <c r="AN112" i="1"/>
  <c r="AR112" i="1" s="1"/>
  <c r="CD113" i="1"/>
  <c r="CG113" i="1" s="1"/>
  <c r="CH113" i="1" s="1"/>
  <c r="CM113" i="1" s="1"/>
  <c r="AN116" i="1"/>
  <c r="AR116" i="1" s="1"/>
  <c r="CD117" i="1"/>
  <c r="CG117" i="1" s="1"/>
  <c r="CH117" i="1" s="1"/>
  <c r="CM117" i="1" s="1"/>
  <c r="AN119" i="1"/>
  <c r="AR119" i="1" s="1"/>
  <c r="AW119" i="1"/>
  <c r="CI121" i="1"/>
  <c r="CN121" i="1" s="1"/>
  <c r="AZ122" i="1"/>
  <c r="CD122" i="1"/>
  <c r="CG122" i="1" s="1"/>
  <c r="CH122" i="1" s="1"/>
  <c r="CM122" i="1" s="1"/>
  <c r="AP123" i="1"/>
  <c r="AQ123" i="1" s="1"/>
  <c r="BC123" i="1" s="1"/>
  <c r="AX123" i="1"/>
  <c r="AN125" i="1"/>
  <c r="AR125" i="1" s="1"/>
  <c r="AM126" i="1"/>
  <c r="AP126" i="1" s="1"/>
  <c r="AQ126" i="1" s="1"/>
  <c r="CE128" i="1"/>
  <c r="CJ128" i="1" s="1"/>
  <c r="CO128" i="1" s="1"/>
  <c r="AN129" i="1"/>
  <c r="AR129" i="1" s="1"/>
  <c r="AN131" i="1"/>
  <c r="AR131" i="1" s="1"/>
  <c r="AU132" i="1"/>
  <c r="CD137" i="1"/>
  <c r="CE137" i="1" s="1"/>
  <c r="CJ137" i="1" s="1"/>
  <c r="CO137" i="1" s="1"/>
  <c r="CG138" i="1"/>
  <c r="CF138" i="1" s="1"/>
  <c r="CK138" i="1" s="1"/>
  <c r="AN141" i="1"/>
  <c r="AR141" i="1" s="1"/>
  <c r="AP145" i="1"/>
  <c r="AQ145" i="1" s="1"/>
  <c r="BC145" i="1" s="1"/>
  <c r="AY147" i="1"/>
  <c r="AP148" i="1"/>
  <c r="AQ148" i="1" s="1"/>
  <c r="BC148" i="1" s="1"/>
  <c r="AN149" i="1"/>
  <c r="AR149" i="1" s="1"/>
  <c r="AZ149" i="1"/>
  <c r="CE149" i="1"/>
  <c r="CJ149" i="1" s="1"/>
  <c r="CO149" i="1" s="1"/>
  <c r="CD157" i="1"/>
  <c r="CE157" i="1" s="1"/>
  <c r="CJ157" i="1" s="1"/>
  <c r="CO157" i="1" s="1"/>
  <c r="AU171" i="1"/>
  <c r="AN182" i="1"/>
  <c r="AR182" i="1" s="1"/>
  <c r="AU195" i="1"/>
  <c r="AM196" i="1"/>
  <c r="AX196" i="1" s="1"/>
  <c r="AM197" i="1"/>
  <c r="AY197" i="1" s="1"/>
  <c r="AM198" i="1"/>
  <c r="AP198" i="1" s="1"/>
  <c r="AQ198" i="1" s="1"/>
  <c r="BD198" i="1" s="1"/>
  <c r="AU199" i="1"/>
  <c r="AM200" i="1"/>
  <c r="AX200" i="1" s="1"/>
  <c r="AM201" i="1"/>
  <c r="AZ201" i="1" s="1"/>
  <c r="AM202" i="1"/>
  <c r="AY202" i="1" s="1"/>
  <c r="CC215" i="1"/>
  <c r="AW219" i="1"/>
  <c r="AN219" i="1"/>
  <c r="AR219" i="1" s="1"/>
  <c r="AZ219" i="1"/>
  <c r="AW220" i="1"/>
  <c r="AN220" i="1"/>
  <c r="AR220" i="1" s="1"/>
  <c r="AM224" i="1"/>
  <c r="AZ224" i="1" s="1"/>
  <c r="CC224" i="1"/>
  <c r="CC235" i="1"/>
  <c r="AM235" i="1"/>
  <c r="AY235" i="1" s="1"/>
  <c r="AW240" i="1"/>
  <c r="AY240" i="1"/>
  <c r="AP240" i="1"/>
  <c r="AQ240" i="1" s="1"/>
  <c r="BD240" i="1" s="1"/>
  <c r="AZ257" i="1"/>
  <c r="AW257" i="1"/>
  <c r="AP257" i="1"/>
  <c r="AQ257" i="1" s="1"/>
  <c r="AZ312" i="1"/>
  <c r="AP312" i="1"/>
  <c r="AQ312" i="1" s="1"/>
  <c r="AN320" i="1"/>
  <c r="AR320" i="1" s="1"/>
  <c r="CD326" i="1"/>
  <c r="CG326" i="1" s="1"/>
  <c r="AU326" i="1"/>
  <c r="AW401" i="1"/>
  <c r="AN401" i="1"/>
  <c r="AR401" i="1" s="1"/>
  <c r="AW405" i="1"/>
  <c r="AN405" i="1"/>
  <c r="AR405" i="1" s="1"/>
  <c r="BC173" i="1"/>
  <c r="AP119" i="1"/>
  <c r="AQ119" i="1" s="1"/>
  <c r="BC119" i="1" s="1"/>
  <c r="AX119" i="1"/>
  <c r="AU124" i="1"/>
  <c r="CG128" i="1"/>
  <c r="CL128" i="1" s="1"/>
  <c r="AU133" i="1"/>
  <c r="AU134" i="1"/>
  <c r="BA134" i="1"/>
  <c r="CD136" i="1"/>
  <c r="CE136" i="1" s="1"/>
  <c r="CJ136" i="1" s="1"/>
  <c r="CO136" i="1" s="1"/>
  <c r="AP141" i="1"/>
  <c r="AQ141" i="1" s="1"/>
  <c r="BD141" i="1" s="1"/>
  <c r="CE147" i="1"/>
  <c r="CJ147" i="1" s="1"/>
  <c r="CO147" i="1" s="1"/>
  <c r="AP149" i="1"/>
  <c r="AQ149" i="1" s="1"/>
  <c r="BC149" i="1" s="1"/>
  <c r="AX150" i="1"/>
  <c r="AY150" i="1"/>
  <c r="CI152" i="1"/>
  <c r="CN152" i="1" s="1"/>
  <c r="CD154" i="1"/>
  <c r="CE154" i="1" s="1"/>
  <c r="CJ154" i="1" s="1"/>
  <c r="CO154" i="1" s="1"/>
  <c r="CD155" i="1"/>
  <c r="CE155" i="1" s="1"/>
  <c r="CJ155" i="1" s="1"/>
  <c r="CO155" i="1" s="1"/>
  <c r="CD156" i="1"/>
  <c r="CE156" i="1" s="1"/>
  <c r="CJ156" i="1" s="1"/>
  <c r="CO156" i="1" s="1"/>
  <c r="AP169" i="1"/>
  <c r="AQ169" i="1" s="1"/>
  <c r="BC169" i="1" s="1"/>
  <c r="CD174" i="1"/>
  <c r="CG174" i="1" s="1"/>
  <c r="CD178" i="1"/>
  <c r="CE178" i="1" s="1"/>
  <c r="CJ178" i="1" s="1"/>
  <c r="CO178" i="1" s="1"/>
  <c r="AU183" i="1"/>
  <c r="AU216" i="1"/>
  <c r="AW247" i="1"/>
  <c r="AY248" i="1"/>
  <c r="AW256" i="1"/>
  <c r="AN256" i="1"/>
  <c r="AR256" i="1" s="1"/>
  <c r="AZ256" i="1"/>
  <c r="AY277" i="1"/>
  <c r="AU284" i="1"/>
  <c r="CD284" i="1"/>
  <c r="CE284" i="1" s="1"/>
  <c r="CJ284" i="1" s="1"/>
  <c r="CO284" i="1" s="1"/>
  <c r="AU292" i="1"/>
  <c r="CD292" i="1"/>
  <c r="CE292" i="1" s="1"/>
  <c r="CJ292" i="1" s="1"/>
  <c r="CO292" i="1" s="1"/>
  <c r="AU325" i="1"/>
  <c r="AU336" i="1"/>
  <c r="CD336" i="1"/>
  <c r="CI336" i="1" s="1"/>
  <c r="CN336" i="1" s="1"/>
  <c r="CC351" i="1"/>
  <c r="AM351" i="1"/>
  <c r="AN351" i="1" s="1"/>
  <c r="AR351" i="1" s="1"/>
  <c r="AU352" i="1"/>
  <c r="CD352" i="1"/>
  <c r="CI352" i="1" s="1"/>
  <c r="CN352" i="1" s="1"/>
  <c r="AY355" i="1"/>
  <c r="AP355" i="1"/>
  <c r="AQ355" i="1" s="1"/>
  <c r="AU392" i="1"/>
  <c r="AZ120" i="1"/>
  <c r="AU127" i="1"/>
  <c r="AU128" i="1"/>
  <c r="AY145" i="1"/>
  <c r="AY148" i="1"/>
  <c r="AN150" i="1"/>
  <c r="AR150" i="1" s="1"/>
  <c r="AZ150" i="1"/>
  <c r="AU152" i="1"/>
  <c r="AU176" i="1"/>
  <c r="AM177" i="1"/>
  <c r="AX177" i="1" s="1"/>
  <c r="CD197" i="1"/>
  <c r="CE197" i="1" s="1"/>
  <c r="CJ197" i="1" s="1"/>
  <c r="CO197" i="1" s="1"/>
  <c r="AU198" i="1"/>
  <c r="CD201" i="1"/>
  <c r="CE201" i="1" s="1"/>
  <c r="CJ201" i="1" s="1"/>
  <c r="CO201" i="1" s="1"/>
  <c r="AU202" i="1"/>
  <c r="CC216" i="1"/>
  <c r="AW228" i="1"/>
  <c r="AP228" i="1"/>
  <c r="AQ228" i="1" s="1"/>
  <c r="BC228" i="1" s="1"/>
  <c r="AN228" i="1"/>
  <c r="AR228" i="1" s="1"/>
  <c r="AW244" i="1"/>
  <c r="AP244" i="1"/>
  <c r="AQ244" i="1" s="1"/>
  <c r="BC244" i="1" s="1"/>
  <c r="AN244" i="1"/>
  <c r="AR244" i="1" s="1"/>
  <c r="AZ264" i="1"/>
  <c r="AP264" i="1"/>
  <c r="AQ264" i="1" s="1"/>
  <c r="BC264" i="1" s="1"/>
  <c r="AY270" i="1"/>
  <c r="AP270" i="1"/>
  <c r="AQ270" i="1" s="1"/>
  <c r="BC270" i="1" s="1"/>
  <c r="AY274" i="1"/>
  <c r="AZ274" i="1"/>
  <c r="AU283" i="1"/>
  <c r="CD283" i="1"/>
  <c r="CE283" i="1" s="1"/>
  <c r="CJ283" i="1" s="1"/>
  <c r="CO283" i="1" s="1"/>
  <c r="AU291" i="1"/>
  <c r="CD291" i="1"/>
  <c r="CE291" i="1" s="1"/>
  <c r="CJ291" i="1" s="1"/>
  <c r="CO291" i="1" s="1"/>
  <c r="AZ308" i="1"/>
  <c r="AN308" i="1"/>
  <c r="AR308" i="1" s="1"/>
  <c r="CC317" i="1"/>
  <c r="AM317" i="1"/>
  <c r="AZ317" i="1" s="1"/>
  <c r="CG317" i="1"/>
  <c r="CF317" i="1" s="1"/>
  <c r="CK317" i="1" s="1"/>
  <c r="CD318" i="1"/>
  <c r="CG318" i="1" s="1"/>
  <c r="AU318" i="1"/>
  <c r="CI329" i="1"/>
  <c r="CN329" i="1" s="1"/>
  <c r="CG329" i="1"/>
  <c r="CL329" i="1" s="1"/>
  <c r="AW337" i="1"/>
  <c r="AY337" i="1"/>
  <c r="AP337" i="1"/>
  <c r="AQ337" i="1" s="1"/>
  <c r="BD337" i="1" s="1"/>
  <c r="AZ337" i="1"/>
  <c r="AN337" i="1"/>
  <c r="AR337" i="1" s="1"/>
  <c r="AW388" i="1"/>
  <c r="AP388" i="1"/>
  <c r="AQ388" i="1" s="1"/>
  <c r="BD388" i="1" s="1"/>
  <c r="AZ388" i="1"/>
  <c r="AN388" i="1"/>
  <c r="AR388" i="1" s="1"/>
  <c r="AY388" i="1"/>
  <c r="AY411" i="1"/>
  <c r="AZ411" i="1"/>
  <c r="AN411" i="1"/>
  <c r="AR411" i="1" s="1"/>
  <c r="CC227" i="1"/>
  <c r="CC243" i="1"/>
  <c r="AY266" i="1"/>
  <c r="AP275" i="1"/>
  <c r="AQ275" i="1" s="1"/>
  <c r="BC275" i="1" s="1"/>
  <c r="CD278" i="1"/>
  <c r="CE278" i="1" s="1"/>
  <c r="CJ278" i="1" s="1"/>
  <c r="CO278" i="1" s="1"/>
  <c r="CD279" i="1"/>
  <c r="CE279" i="1" s="1"/>
  <c r="CJ279" i="1" s="1"/>
  <c r="CO279" i="1" s="1"/>
  <c r="CD286" i="1"/>
  <c r="CE286" i="1" s="1"/>
  <c r="CJ286" i="1" s="1"/>
  <c r="CO286" i="1" s="1"/>
  <c r="CD287" i="1"/>
  <c r="CE287" i="1" s="1"/>
  <c r="CJ287" i="1" s="1"/>
  <c r="CO287" i="1" s="1"/>
  <c r="CD294" i="1"/>
  <c r="CE294" i="1" s="1"/>
  <c r="CJ294" i="1" s="1"/>
  <c r="CO294" i="1" s="1"/>
  <c r="AU301" i="1"/>
  <c r="CD308" i="1"/>
  <c r="CE308" i="1" s="1"/>
  <c r="CJ308" i="1" s="1"/>
  <c r="CO308" i="1" s="1"/>
  <c r="AW309" i="1"/>
  <c r="CD320" i="1"/>
  <c r="CG320" i="1" s="1"/>
  <c r="AU322" i="1"/>
  <c r="CD328" i="1"/>
  <c r="CG328" i="1" s="1"/>
  <c r="AU329" i="1"/>
  <c r="AU338" i="1"/>
  <c r="CD338" i="1"/>
  <c r="CI338" i="1" s="1"/>
  <c r="CN338" i="1" s="1"/>
  <c r="CD342" i="1"/>
  <c r="AW382" i="1"/>
  <c r="AP382" i="1"/>
  <c r="AQ382" i="1" s="1"/>
  <c r="BC382" i="1" s="1"/>
  <c r="AZ382" i="1"/>
  <c r="AN382" i="1"/>
  <c r="AR382" i="1" s="1"/>
  <c r="CD399" i="1"/>
  <c r="CI399" i="1" s="1"/>
  <c r="CN399" i="1" s="1"/>
  <c r="AU399" i="1"/>
  <c r="AU404" i="1"/>
  <c r="CD404" i="1"/>
  <c r="CI404" i="1" s="1"/>
  <c r="CN404" i="1" s="1"/>
  <c r="AW444" i="1"/>
  <c r="AZ444" i="1"/>
  <c r="AP444" i="1"/>
  <c r="AQ444" i="1" s="1"/>
  <c r="BD444" i="1" s="1"/>
  <c r="AY444" i="1"/>
  <c r="AN444" i="1"/>
  <c r="AR444" i="1" s="1"/>
  <c r="CC240" i="1"/>
  <c r="CC257" i="1"/>
  <c r="AZ266" i="1"/>
  <c r="AY273" i="1"/>
  <c r="AY305" i="1"/>
  <c r="AY314" i="1"/>
  <c r="AW339" i="1"/>
  <c r="AY339" i="1"/>
  <c r="AN339" i="1"/>
  <c r="AR339" i="1" s="1"/>
  <c r="AY343" i="1"/>
  <c r="AP343" i="1"/>
  <c r="AQ343" i="1" s="1"/>
  <c r="BD343" i="1" s="1"/>
  <c r="AY346" i="1"/>
  <c r="AP346" i="1"/>
  <c r="AQ346" i="1" s="1"/>
  <c r="BC346" i="1" s="1"/>
  <c r="AU354" i="1"/>
  <c r="CD354" i="1"/>
  <c r="CI354" i="1" s="1"/>
  <c r="CN354" i="1" s="1"/>
  <c r="AU357" i="1"/>
  <c r="CD357" i="1"/>
  <c r="CI357" i="1" s="1"/>
  <c r="CN357" i="1" s="1"/>
  <c r="AU363" i="1"/>
  <c r="CD363" i="1"/>
  <c r="CE363" i="1" s="1"/>
  <c r="CJ363" i="1" s="1"/>
  <c r="CO363" i="1" s="1"/>
  <c r="AU374" i="1"/>
  <c r="CD374" i="1"/>
  <c r="AW384" i="1"/>
  <c r="AP384" i="1"/>
  <c r="AQ384" i="1" s="1"/>
  <c r="BD384" i="1" s="1"/>
  <c r="AZ384" i="1"/>
  <c r="AN384" i="1"/>
  <c r="AR384" i="1" s="1"/>
  <c r="CC397" i="1"/>
  <c r="AM397" i="1"/>
  <c r="AZ397" i="1" s="1"/>
  <c r="AU398" i="1"/>
  <c r="CD398" i="1"/>
  <c r="CG430" i="1"/>
  <c r="CE430" i="1"/>
  <c r="CJ430" i="1" s="1"/>
  <c r="CO430" i="1" s="1"/>
  <c r="AW437" i="1"/>
  <c r="AP437" i="1"/>
  <c r="AQ437" i="1" s="1"/>
  <c r="BD437" i="1" s="1"/>
  <c r="AN437" i="1"/>
  <c r="AR437" i="1" s="1"/>
  <c r="AW447" i="1"/>
  <c r="AP447" i="1"/>
  <c r="AQ447" i="1" s="1"/>
  <c r="BD447" i="1" s="1"/>
  <c r="AZ447" i="1"/>
  <c r="AN447" i="1"/>
  <c r="AR447" i="1" s="1"/>
  <c r="AM255" i="1"/>
  <c r="AX255" i="1" s="1"/>
  <c r="AN259" i="1"/>
  <c r="AR259" i="1" s="1"/>
  <c r="AW259" i="1"/>
  <c r="AN273" i="1"/>
  <c r="AR273" i="1" s="1"/>
  <c r="AZ273" i="1"/>
  <c r="AY275" i="1"/>
  <c r="AP305" i="1"/>
  <c r="AQ305" i="1" s="1"/>
  <c r="BD305" i="1" s="1"/>
  <c r="AY310" i="1"/>
  <c r="AP314" i="1"/>
  <c r="AQ314" i="1" s="1"/>
  <c r="BC314" i="1" s="1"/>
  <c r="AU317" i="1"/>
  <c r="AU321" i="1"/>
  <c r="AP336" i="1"/>
  <c r="AQ336" i="1" s="1"/>
  <c r="BD336" i="1" s="1"/>
  <c r="AZ336" i="1"/>
  <c r="AP339" i="1"/>
  <c r="AQ339" i="1" s="1"/>
  <c r="BD339" i="1" s="1"/>
  <c r="AZ349" i="1"/>
  <c r="AN349" i="1"/>
  <c r="AR349" i="1" s="1"/>
  <c r="AU373" i="1"/>
  <c r="CD373" i="1"/>
  <c r="CE373" i="1" s="1"/>
  <c r="CJ373" i="1" s="1"/>
  <c r="CO373" i="1" s="1"/>
  <c r="CG376" i="1"/>
  <c r="CH376" i="1" s="1"/>
  <c r="CM376" i="1" s="1"/>
  <c r="CI376" i="1"/>
  <c r="CN376" i="1" s="1"/>
  <c r="CE376" i="1"/>
  <c r="CJ376" i="1" s="1"/>
  <c r="CO376" i="1" s="1"/>
  <c r="AW378" i="1"/>
  <c r="AP378" i="1"/>
  <c r="AQ378" i="1" s="1"/>
  <c r="BD378" i="1" s="1"/>
  <c r="AZ378" i="1"/>
  <c r="AN378" i="1"/>
  <c r="AR378" i="1" s="1"/>
  <c r="AW386" i="1"/>
  <c r="AP386" i="1"/>
  <c r="AQ386" i="1" s="1"/>
  <c r="BD386" i="1" s="1"/>
  <c r="AZ386" i="1"/>
  <c r="AN386" i="1"/>
  <c r="AR386" i="1" s="1"/>
  <c r="CG431" i="1"/>
  <c r="CL431" i="1" s="1"/>
  <c r="CI431" i="1"/>
  <c r="CN431" i="1" s="1"/>
  <c r="CG432" i="1"/>
  <c r="CF432" i="1" s="1"/>
  <c r="CK432" i="1" s="1"/>
  <c r="CE432" i="1"/>
  <c r="CJ432" i="1" s="1"/>
  <c r="CO432" i="1" s="1"/>
  <c r="CG434" i="1"/>
  <c r="CL434" i="1" s="1"/>
  <c r="CI434" i="1"/>
  <c r="CN434" i="1" s="1"/>
  <c r="CE434" i="1"/>
  <c r="CJ434" i="1" s="1"/>
  <c r="CO434" i="1" s="1"/>
  <c r="AW453" i="1"/>
  <c r="AP453" i="1"/>
  <c r="AQ453" i="1" s="1"/>
  <c r="AU454" i="1"/>
  <c r="CD454" i="1"/>
  <c r="CE454" i="1" s="1"/>
  <c r="CJ454" i="1" s="1"/>
  <c r="CO454" i="1" s="1"/>
  <c r="AP340" i="1"/>
  <c r="AQ340" i="1" s="1"/>
  <c r="BC340" i="1" s="1"/>
  <c r="AZ340" i="1"/>
  <c r="CD340" i="1"/>
  <c r="CE340" i="1" s="1"/>
  <c r="CJ340" i="1" s="1"/>
  <c r="CO340" i="1" s="1"/>
  <c r="AY345" i="1"/>
  <c r="CE345" i="1"/>
  <c r="CJ345" i="1" s="1"/>
  <c r="CO345" i="1" s="1"/>
  <c r="AU391" i="1"/>
  <c r="AP396" i="1"/>
  <c r="AQ396" i="1" s="1"/>
  <c r="BC396" i="1" s="1"/>
  <c r="CD402" i="1"/>
  <c r="CE402" i="1" s="1"/>
  <c r="CJ402" i="1" s="1"/>
  <c r="CO402" i="1" s="1"/>
  <c r="AY430" i="1"/>
  <c r="AP432" i="1"/>
  <c r="AQ432" i="1" s="1"/>
  <c r="BD432" i="1" s="1"/>
  <c r="AZ449" i="1"/>
  <c r="CD344" i="1"/>
  <c r="AU367" i="1"/>
  <c r="AY379" i="1"/>
  <c r="AY381" i="1"/>
  <c r="AY383" i="1"/>
  <c r="AY385" i="1"/>
  <c r="AY387" i="1"/>
  <c r="CE391" i="1"/>
  <c r="CJ391" i="1" s="1"/>
  <c r="CO391" i="1" s="1"/>
  <c r="AY395" i="1"/>
  <c r="AY431" i="1"/>
  <c r="AW445" i="1"/>
  <c r="AP338" i="1"/>
  <c r="AQ338" i="1" s="1"/>
  <c r="AZ338" i="1"/>
  <c r="CD343" i="1"/>
  <c r="CG346" i="1"/>
  <c r="CF346" i="1" s="1"/>
  <c r="CK346" i="1" s="1"/>
  <c r="AU349" i="1"/>
  <c r="AN379" i="1"/>
  <c r="AR379" i="1" s="1"/>
  <c r="AZ379" i="1"/>
  <c r="AN381" i="1"/>
  <c r="AR381" i="1" s="1"/>
  <c r="AZ381" i="1"/>
  <c r="AN383" i="1"/>
  <c r="AR383" i="1" s="1"/>
  <c r="AZ383" i="1"/>
  <c r="AN385" i="1"/>
  <c r="AR385" i="1" s="1"/>
  <c r="AZ385" i="1"/>
  <c r="AN387" i="1"/>
  <c r="AR387" i="1" s="1"/>
  <c r="AZ387" i="1"/>
  <c r="CG391" i="1"/>
  <c r="CF391" i="1" s="1"/>
  <c r="CK391" i="1" s="1"/>
  <c r="AN395" i="1"/>
  <c r="AR395" i="1" s="1"/>
  <c r="AY396" i="1"/>
  <c r="CD396" i="1"/>
  <c r="CE396" i="1" s="1"/>
  <c r="CJ396" i="1" s="1"/>
  <c r="CO396" i="1" s="1"/>
  <c r="AU397" i="1"/>
  <c r="AN403" i="1"/>
  <c r="AR403" i="1" s="1"/>
  <c r="AN407" i="1"/>
  <c r="AR407" i="1" s="1"/>
  <c r="AZ412" i="1"/>
  <c r="AZ413" i="1"/>
  <c r="AZ414" i="1"/>
  <c r="AZ415" i="1"/>
  <c r="AZ416" i="1"/>
  <c r="BA418" i="1"/>
  <c r="AN424" i="1"/>
  <c r="AR424" i="1" s="1"/>
  <c r="AZ424" i="1"/>
  <c r="AN431" i="1"/>
  <c r="AR431" i="1" s="1"/>
  <c r="AZ431" i="1"/>
  <c r="AN433" i="1"/>
  <c r="AR433" i="1" s="1"/>
  <c r="AY434" i="1"/>
  <c r="AN436" i="1"/>
  <c r="AR436" i="1" s="1"/>
  <c r="AN438" i="1"/>
  <c r="AR438" i="1" s="1"/>
  <c r="AP439" i="1"/>
  <c r="AQ439" i="1" s="1"/>
  <c r="BC439" i="1" s="1"/>
  <c r="AP441" i="1"/>
  <c r="AQ441" i="1" s="1"/>
  <c r="BD441" i="1" s="1"/>
  <c r="AZ441" i="1"/>
  <c r="AN443" i="1"/>
  <c r="AR443" i="1" s="1"/>
  <c r="AY443" i="1"/>
  <c r="AM121" i="1"/>
  <c r="AM318" i="1"/>
  <c r="AM315" i="1"/>
  <c r="AM327" i="1"/>
  <c r="AM324" i="1"/>
  <c r="AM321" i="1"/>
  <c r="AM377" i="1"/>
  <c r="AM393" i="1"/>
  <c r="AM389" i="1"/>
  <c r="AM394" i="1"/>
  <c r="AM400" i="1"/>
  <c r="CL111" i="1"/>
  <c r="CH111" i="1"/>
  <c r="CM111" i="1" s="1"/>
  <c r="CF111" i="1"/>
  <c r="CK111" i="1" s="1"/>
  <c r="BD105" i="1"/>
  <c r="BC105" i="1"/>
  <c r="AP110" i="1"/>
  <c r="AQ110" i="1" s="1"/>
  <c r="AN110" i="1"/>
  <c r="AR110" i="1" s="1"/>
  <c r="AX110" i="1"/>
  <c r="BA110" i="1" s="1"/>
  <c r="AW110" i="1"/>
  <c r="BC127" i="1"/>
  <c r="BD127" i="1"/>
  <c r="BC109" i="1"/>
  <c r="BD109" i="1"/>
  <c r="BD125" i="1"/>
  <c r="BC125" i="1"/>
  <c r="AP104" i="1"/>
  <c r="AQ104" i="1" s="1"/>
  <c r="AW104" i="1"/>
  <c r="AN104" i="1"/>
  <c r="AR104" i="1" s="1"/>
  <c r="AX104" i="1"/>
  <c r="CL105" i="1"/>
  <c r="CH105" i="1"/>
  <c r="CM105" i="1" s="1"/>
  <c r="CF105" i="1"/>
  <c r="CK105" i="1" s="1"/>
  <c r="CL121" i="1"/>
  <c r="CH121" i="1"/>
  <c r="CM121" i="1" s="1"/>
  <c r="CF121" i="1"/>
  <c r="CK121" i="1" s="1"/>
  <c r="CF202" i="1"/>
  <c r="CK202" i="1" s="1"/>
  <c r="CL202" i="1"/>
  <c r="CH202" i="1"/>
  <c r="CM202" i="1" s="1"/>
  <c r="CI103" i="1"/>
  <c r="CN103" i="1" s="1"/>
  <c r="CE103" i="1"/>
  <c r="CJ103" i="1" s="1"/>
  <c r="CG103" i="1"/>
  <c r="AX128" i="1"/>
  <c r="BA128" i="1" s="1"/>
  <c r="AN128" i="1"/>
  <c r="AR128" i="1" s="1"/>
  <c r="AW128" i="1"/>
  <c r="AP128" i="1"/>
  <c r="AQ128" i="1" s="1"/>
  <c r="CI117" i="1"/>
  <c r="CN117" i="1" s="1"/>
  <c r="CI125" i="1"/>
  <c r="CN125" i="1" s="1"/>
  <c r="AP134" i="1"/>
  <c r="AQ134" i="1" s="1"/>
  <c r="AN134" i="1"/>
  <c r="AR134" i="1" s="1"/>
  <c r="CD140" i="1"/>
  <c r="AU140" i="1"/>
  <c r="AZ153" i="1"/>
  <c r="AY153" i="1"/>
  <c r="AP153" i="1"/>
  <c r="AQ153" i="1" s="1"/>
  <c r="BD153" i="1" s="1"/>
  <c r="AX153" i="1"/>
  <c r="AN153" i="1"/>
  <c r="AR153" i="1" s="1"/>
  <c r="CI159" i="1"/>
  <c r="CN159" i="1" s="1"/>
  <c r="CE159" i="1"/>
  <c r="CJ159" i="1" s="1"/>
  <c r="CO159" i="1" s="1"/>
  <c r="CG159" i="1"/>
  <c r="CD160" i="1"/>
  <c r="AU160" i="1"/>
  <c r="CG165" i="1"/>
  <c r="CI165" i="1"/>
  <c r="CN165" i="1" s="1"/>
  <c r="CE165" i="1"/>
  <c r="CJ165" i="1" s="1"/>
  <c r="CO165" i="1" s="1"/>
  <c r="CF166" i="1"/>
  <c r="CK166" i="1" s="1"/>
  <c r="CL166" i="1"/>
  <c r="CH166" i="1"/>
  <c r="CM166" i="1" s="1"/>
  <c r="CF183" i="1"/>
  <c r="CK183" i="1" s="1"/>
  <c r="CL183" i="1"/>
  <c r="CH183" i="1"/>
  <c r="CM183" i="1" s="1"/>
  <c r="BC262" i="1"/>
  <c r="AU103" i="1"/>
  <c r="BB104" i="1"/>
  <c r="AU105" i="1"/>
  <c r="AP106" i="1"/>
  <c r="AQ106" i="1" s="1"/>
  <c r="AP107" i="1"/>
  <c r="AQ107" i="1" s="1"/>
  <c r="BB107" i="1"/>
  <c r="CH109" i="1"/>
  <c r="CM109" i="1" s="1"/>
  <c r="BB110" i="1"/>
  <c r="AP111" i="1"/>
  <c r="AQ111" i="1" s="1"/>
  <c r="AU111" i="1"/>
  <c r="AP112" i="1"/>
  <c r="AQ112" i="1" s="1"/>
  <c r="AP113" i="1"/>
  <c r="AQ113" i="1" s="1"/>
  <c r="AP114" i="1"/>
  <c r="AQ114" i="1" s="1"/>
  <c r="CE114" i="1"/>
  <c r="CJ114" i="1" s="1"/>
  <c r="AP115" i="1"/>
  <c r="AQ115" i="1" s="1"/>
  <c r="AP116" i="1"/>
  <c r="AQ116" i="1" s="1"/>
  <c r="CE116" i="1"/>
  <c r="CJ116" i="1" s="1"/>
  <c r="AP117" i="1"/>
  <c r="AQ117" i="1" s="1"/>
  <c r="AP118" i="1"/>
  <c r="AQ118" i="1" s="1"/>
  <c r="AY119" i="1"/>
  <c r="AU121" i="1"/>
  <c r="AP122" i="1"/>
  <c r="AQ122" i="1" s="1"/>
  <c r="AY123" i="1"/>
  <c r="AG455" i="1"/>
  <c r="CG124" i="1"/>
  <c r="CE125" i="1"/>
  <c r="CJ125" i="1" s="1"/>
  <c r="AN127" i="1"/>
  <c r="AR127" i="1" s="1"/>
  <c r="BA127" i="1"/>
  <c r="CI130" i="1"/>
  <c r="CN130" i="1" s="1"/>
  <c r="CI133" i="1"/>
  <c r="CN133" i="1" s="1"/>
  <c r="CE133" i="1"/>
  <c r="CJ133" i="1" s="1"/>
  <c r="CG133" i="1"/>
  <c r="CC139" i="1"/>
  <c r="AM139" i="1"/>
  <c r="CG141" i="1"/>
  <c r="CI141" i="1"/>
  <c r="CN141" i="1" s="1"/>
  <c r="CE141" i="1"/>
  <c r="CJ141" i="1" s="1"/>
  <c r="CO141" i="1" s="1"/>
  <c r="AX146" i="1"/>
  <c r="CL147" i="1"/>
  <c r="CH147" i="1"/>
  <c r="CM147" i="1" s="1"/>
  <c r="CF147" i="1"/>
  <c r="CK147" i="1" s="1"/>
  <c r="CI147" i="1"/>
  <c r="CN147" i="1" s="1"/>
  <c r="CL149" i="1"/>
  <c r="CH149" i="1"/>
  <c r="CM149" i="1" s="1"/>
  <c r="CF149" i="1"/>
  <c r="CK149" i="1" s="1"/>
  <c r="CI149" i="1"/>
  <c r="CN149" i="1" s="1"/>
  <c r="AZ155" i="1"/>
  <c r="AY155" i="1"/>
  <c r="AP155" i="1"/>
  <c r="AQ155" i="1" s="1"/>
  <c r="BD155" i="1" s="1"/>
  <c r="AX155" i="1"/>
  <c r="AN155" i="1"/>
  <c r="AR155" i="1" s="1"/>
  <c r="CC159" i="1"/>
  <c r="AM159" i="1"/>
  <c r="CG161" i="1"/>
  <c r="CI161" i="1"/>
  <c r="CN161" i="1" s="1"/>
  <c r="CE161" i="1"/>
  <c r="CJ161" i="1" s="1"/>
  <c r="CO161" i="1" s="1"/>
  <c r="AZ166" i="1"/>
  <c r="AY166" i="1"/>
  <c r="AP166" i="1"/>
  <c r="AQ166" i="1" s="1"/>
  <c r="BD166" i="1" s="1"/>
  <c r="AX166" i="1"/>
  <c r="AN166" i="1"/>
  <c r="AR166" i="1" s="1"/>
  <c r="AW166" i="1"/>
  <c r="CI171" i="1"/>
  <c r="CN171" i="1" s="1"/>
  <c r="CE171" i="1"/>
  <c r="CJ171" i="1" s="1"/>
  <c r="CO171" i="1" s="1"/>
  <c r="CG171" i="1"/>
  <c r="CD200" i="1"/>
  <c r="AU200" i="1"/>
  <c r="BB418" i="1"/>
  <c r="BB435" i="1"/>
  <c r="BB432" i="1"/>
  <c r="BB423" i="1"/>
  <c r="BB135" i="1"/>
  <c r="BB134" i="1"/>
  <c r="BC443" i="1"/>
  <c r="BC434" i="1"/>
  <c r="BC232" i="1"/>
  <c r="BC248" i="1"/>
  <c r="AX105" i="1"/>
  <c r="BA105" i="1" s="1"/>
  <c r="AN105" i="1"/>
  <c r="AR105" i="1" s="1"/>
  <c r="CL109" i="1"/>
  <c r="CI114" i="1"/>
  <c r="CN114" i="1" s="1"/>
  <c r="CI116" i="1"/>
  <c r="CN116" i="1" s="1"/>
  <c r="CG127" i="1"/>
  <c r="CI127" i="1"/>
  <c r="CN127" i="1" s="1"/>
  <c r="CE127" i="1"/>
  <c r="CJ127" i="1" s="1"/>
  <c r="BC129" i="1"/>
  <c r="CR129" i="1" s="1"/>
  <c r="BB129" i="1"/>
  <c r="CG130" i="1"/>
  <c r="BC131" i="1"/>
  <c r="CC143" i="1"/>
  <c r="AM143" i="1"/>
  <c r="CL146" i="1"/>
  <c r="CH146" i="1"/>
  <c r="CM146" i="1" s="1"/>
  <c r="CF146" i="1"/>
  <c r="CK146" i="1" s="1"/>
  <c r="AZ154" i="1"/>
  <c r="AY154" i="1"/>
  <c r="AP154" i="1"/>
  <c r="AQ154" i="1" s="1"/>
  <c r="BD154" i="1" s="1"/>
  <c r="AX154" i="1"/>
  <c r="AN154" i="1"/>
  <c r="AR154" i="1" s="1"/>
  <c r="AZ158" i="1"/>
  <c r="AY158" i="1"/>
  <c r="AP158" i="1"/>
  <c r="AQ158" i="1" s="1"/>
  <c r="AX158" i="1"/>
  <c r="AN158" i="1"/>
  <c r="AR158" i="1" s="1"/>
  <c r="CC163" i="1"/>
  <c r="AM163" i="1"/>
  <c r="AX169" i="1"/>
  <c r="AZ170" i="1"/>
  <c r="AY170" i="1"/>
  <c r="AP170" i="1"/>
  <c r="AQ170" i="1" s="1"/>
  <c r="AX170" i="1"/>
  <c r="AN170" i="1"/>
  <c r="AR170" i="1" s="1"/>
  <c r="CI202" i="1"/>
  <c r="CN202" i="1" s="1"/>
  <c r="CE202" i="1"/>
  <c r="CJ202" i="1" s="1"/>
  <c r="CO202" i="1" s="1"/>
  <c r="AW105" i="1"/>
  <c r="AX106" i="1"/>
  <c r="BA106" i="1" s="1"/>
  <c r="AX107" i="1"/>
  <c r="BA107" i="1" s="1"/>
  <c r="AW109" i="1"/>
  <c r="CI109" i="1"/>
  <c r="CN109" i="1" s="1"/>
  <c r="CE109" i="1"/>
  <c r="CJ109" i="1" s="1"/>
  <c r="AX112" i="1"/>
  <c r="BA112" i="1" s="1"/>
  <c r="AX113" i="1"/>
  <c r="BA113" i="1" s="1"/>
  <c r="AX114" i="1"/>
  <c r="BA114" i="1" s="1"/>
  <c r="CF114" i="1"/>
  <c r="CK114" i="1" s="1"/>
  <c r="CL114" i="1"/>
  <c r="AX115" i="1"/>
  <c r="BA115" i="1" s="1"/>
  <c r="AX116" i="1"/>
  <c r="BA116" i="1" s="1"/>
  <c r="CF116" i="1"/>
  <c r="CK116" i="1" s="1"/>
  <c r="CL116" i="1"/>
  <c r="AX117" i="1"/>
  <c r="BA117" i="1" s="1"/>
  <c r="AX118" i="1"/>
  <c r="BA118" i="1" s="1"/>
  <c r="CD119" i="1"/>
  <c r="AY120" i="1"/>
  <c r="AP120" i="1"/>
  <c r="AQ120" i="1" s="1"/>
  <c r="AX120" i="1"/>
  <c r="AX122" i="1"/>
  <c r="CD123" i="1"/>
  <c r="CI124" i="1"/>
  <c r="CN124" i="1" s="1"/>
  <c r="CF125" i="1"/>
  <c r="CK125" i="1" s="1"/>
  <c r="CL125" i="1"/>
  <c r="CD126" i="1"/>
  <c r="AU126" i="1"/>
  <c r="BB127" i="1"/>
  <c r="CI129" i="1"/>
  <c r="CN129" i="1" s="1"/>
  <c r="CE129" i="1"/>
  <c r="CJ129" i="1" s="1"/>
  <c r="CG129" i="1"/>
  <c r="CG131" i="1"/>
  <c r="CI131" i="1"/>
  <c r="CN131" i="1" s="1"/>
  <c r="CE131" i="1"/>
  <c r="CJ131" i="1" s="1"/>
  <c r="CI135" i="1"/>
  <c r="CN135" i="1" s="1"/>
  <c r="CE135" i="1"/>
  <c r="CJ135" i="1" s="1"/>
  <c r="CG135" i="1"/>
  <c r="AZ136" i="1"/>
  <c r="AY136" i="1"/>
  <c r="AP136" i="1"/>
  <c r="AQ136" i="1" s="1"/>
  <c r="BD136" i="1" s="1"/>
  <c r="AX136" i="1"/>
  <c r="AN136" i="1"/>
  <c r="AR136" i="1" s="1"/>
  <c r="AX141" i="1"/>
  <c r="AZ142" i="1"/>
  <c r="CL145" i="1"/>
  <c r="CH145" i="1"/>
  <c r="CM145" i="1" s="1"/>
  <c r="CF145" i="1"/>
  <c r="CK145" i="1" s="1"/>
  <c r="CI145" i="1"/>
  <c r="CN145" i="1" s="1"/>
  <c r="CE146" i="1"/>
  <c r="CJ146" i="1" s="1"/>
  <c r="CO146" i="1" s="1"/>
  <c r="CE148" i="1"/>
  <c r="CJ148" i="1" s="1"/>
  <c r="CO148" i="1" s="1"/>
  <c r="CE150" i="1"/>
  <c r="CJ150" i="1" s="1"/>
  <c r="CO150" i="1" s="1"/>
  <c r="CL152" i="1"/>
  <c r="CH152" i="1"/>
  <c r="CM152" i="1" s="1"/>
  <c r="CF152" i="1"/>
  <c r="CK152" i="1" s="1"/>
  <c r="AZ156" i="1"/>
  <c r="AY156" i="1"/>
  <c r="AP156" i="1"/>
  <c r="AQ156" i="1" s="1"/>
  <c r="BD156" i="1" s="1"/>
  <c r="AX156" i="1"/>
  <c r="AN156" i="1"/>
  <c r="AR156" i="1" s="1"/>
  <c r="CD168" i="1"/>
  <c r="AU168" i="1"/>
  <c r="CC171" i="1"/>
  <c r="AM171" i="1"/>
  <c r="BC266" i="1"/>
  <c r="AX111" i="1"/>
  <c r="BA111" i="1" s="1"/>
  <c r="AN111" i="1"/>
  <c r="AR111" i="1" s="1"/>
  <c r="BB131" i="1"/>
  <c r="CI132" i="1"/>
  <c r="CN132" i="1" s="1"/>
  <c r="CE132" i="1"/>
  <c r="CJ132" i="1" s="1"/>
  <c r="AZ138" i="1"/>
  <c r="AY138" i="1"/>
  <c r="AP138" i="1"/>
  <c r="AQ138" i="1" s="1"/>
  <c r="AX138" i="1"/>
  <c r="AN138" i="1"/>
  <c r="AR138" i="1" s="1"/>
  <c r="AX448" i="1"/>
  <c r="BA448" i="1" s="1"/>
  <c r="AX447" i="1"/>
  <c r="AX444" i="1"/>
  <c r="AX443" i="1"/>
  <c r="AX442" i="1"/>
  <c r="AX441" i="1"/>
  <c r="AX440" i="1"/>
  <c r="BA440" i="1" s="1"/>
  <c r="AX439" i="1"/>
  <c r="AX438" i="1"/>
  <c r="BA438" i="1" s="1"/>
  <c r="AX453" i="1"/>
  <c r="BA453" i="1" s="1"/>
  <c r="AX437" i="1"/>
  <c r="BA437" i="1" s="1"/>
  <c r="AX435" i="1"/>
  <c r="BA435" i="1" s="1"/>
  <c r="AX432" i="1"/>
  <c r="BA432" i="1" s="1"/>
  <c r="AX430" i="1"/>
  <c r="AX415" i="1"/>
  <c r="AX414" i="1"/>
  <c r="AX413" i="1"/>
  <c r="AX412" i="1"/>
  <c r="AX434" i="1"/>
  <c r="AX433" i="1"/>
  <c r="AX422" i="1"/>
  <c r="AX431" i="1"/>
  <c r="AX429" i="1"/>
  <c r="BA429" i="1" s="1"/>
  <c r="AX423" i="1"/>
  <c r="BA423" i="1" s="1"/>
  <c r="AX411" i="1"/>
  <c r="AX396" i="1"/>
  <c r="AX395" i="1"/>
  <c r="AX408" i="1"/>
  <c r="AX406" i="1"/>
  <c r="AX404" i="1"/>
  <c r="AX402" i="1"/>
  <c r="AX409" i="1"/>
  <c r="AX407" i="1"/>
  <c r="AX403" i="1"/>
  <c r="AX388" i="1"/>
  <c r="AX384" i="1"/>
  <c r="AX380" i="1"/>
  <c r="AX424" i="1"/>
  <c r="AX421" i="1"/>
  <c r="AX387" i="1"/>
  <c r="AX383" i="1"/>
  <c r="AX379" i="1"/>
  <c r="AX405" i="1"/>
  <c r="AX401" i="1"/>
  <c r="AX386" i="1"/>
  <c r="AX382" i="1"/>
  <c r="AX378" i="1"/>
  <c r="AX410" i="1"/>
  <c r="AX381" i="1"/>
  <c r="AX340" i="1"/>
  <c r="AX339" i="1"/>
  <c r="AX338" i="1"/>
  <c r="AX337" i="1"/>
  <c r="AX336" i="1"/>
  <c r="AX385" i="1"/>
  <c r="AX320" i="1"/>
  <c r="AX277" i="1"/>
  <c r="AX275" i="1"/>
  <c r="AX273" i="1"/>
  <c r="AS263" i="1"/>
  <c r="AX248" i="1"/>
  <c r="AS248" i="1"/>
  <c r="AX244" i="1"/>
  <c r="AX240" i="1"/>
  <c r="AS240" i="1"/>
  <c r="AX232" i="1"/>
  <c r="AX228" i="1"/>
  <c r="AS257" i="1"/>
  <c r="AX221" i="1"/>
  <c r="AS221" i="1"/>
  <c r="AX219" i="1"/>
  <c r="AS265" i="1"/>
  <c r="AX269" i="1"/>
  <c r="AX243" i="1"/>
  <c r="AX227" i="1"/>
  <c r="AX149" i="1"/>
  <c r="AX148" i="1"/>
  <c r="AX147" i="1"/>
  <c r="AX145" i="1"/>
  <c r="AX259" i="1"/>
  <c r="AS220" i="1"/>
  <c r="AS218" i="1"/>
  <c r="AX215" i="1"/>
  <c r="AX211" i="1"/>
  <c r="AX265" i="1"/>
  <c r="AX267" i="1"/>
  <c r="AX220" i="1"/>
  <c r="AX218" i="1"/>
  <c r="AZ97" i="1"/>
  <c r="BE105" i="1" s="1"/>
  <c r="BB102" i="1"/>
  <c r="AP103" i="1"/>
  <c r="BB103" i="1"/>
  <c r="CD108" i="1"/>
  <c r="AX109" i="1"/>
  <c r="BA109" i="1" s="1"/>
  <c r="AY122" i="1"/>
  <c r="AW132" i="1"/>
  <c r="CG132" i="1"/>
  <c r="AP133" i="1"/>
  <c r="AQ133" i="1" s="1"/>
  <c r="AX133" i="1"/>
  <c r="BA133" i="1" s="1"/>
  <c r="AN133" i="1"/>
  <c r="AR133" i="1" s="1"/>
  <c r="AW133" i="1"/>
  <c r="CI134" i="1"/>
  <c r="CN134" i="1" s="1"/>
  <c r="CE134" i="1"/>
  <c r="CJ134" i="1" s="1"/>
  <c r="CG134" i="1"/>
  <c r="AP135" i="1"/>
  <c r="AQ135" i="1" s="1"/>
  <c r="AN135" i="1"/>
  <c r="AR135" i="1" s="1"/>
  <c r="AZ137" i="1"/>
  <c r="AY137" i="1"/>
  <c r="AP137" i="1"/>
  <c r="AQ137" i="1" s="1"/>
  <c r="BD137" i="1" s="1"/>
  <c r="AX137" i="1"/>
  <c r="AN137" i="1"/>
  <c r="AR137" i="1" s="1"/>
  <c r="AW138" i="1"/>
  <c r="CI143" i="1"/>
  <c r="CN143" i="1" s="1"/>
  <c r="CE143" i="1"/>
  <c r="CJ143" i="1" s="1"/>
  <c r="CO143" i="1" s="1"/>
  <c r="CG143" i="1"/>
  <c r="CD144" i="1"/>
  <c r="AU144" i="1"/>
  <c r="CI146" i="1"/>
  <c r="CN146" i="1" s="1"/>
  <c r="CL148" i="1"/>
  <c r="CH148" i="1"/>
  <c r="CM148" i="1" s="1"/>
  <c r="CF148" i="1"/>
  <c r="CK148" i="1" s="1"/>
  <c r="CI148" i="1"/>
  <c r="CN148" i="1" s="1"/>
  <c r="CL150" i="1"/>
  <c r="CH150" i="1"/>
  <c r="CM150" i="1" s="1"/>
  <c r="CF150" i="1"/>
  <c r="CK150" i="1" s="1"/>
  <c r="CI150" i="1"/>
  <c r="CN150" i="1" s="1"/>
  <c r="CC152" i="1"/>
  <c r="AM152" i="1"/>
  <c r="CE152" i="1"/>
  <c r="CJ152" i="1" s="1"/>
  <c r="CO152" i="1" s="1"/>
  <c r="AW153" i="1"/>
  <c r="AW154" i="1"/>
  <c r="AZ157" i="1"/>
  <c r="AY157" i="1"/>
  <c r="AP157" i="1"/>
  <c r="AQ157" i="1" s="1"/>
  <c r="AX157" i="1"/>
  <c r="AN157" i="1"/>
  <c r="AR157" i="1" s="1"/>
  <c r="AW158" i="1"/>
  <c r="CI163" i="1"/>
  <c r="CN163" i="1" s="1"/>
  <c r="CE163" i="1"/>
  <c r="CJ163" i="1" s="1"/>
  <c r="CO163" i="1" s="1"/>
  <c r="CG163" i="1"/>
  <c r="CD164" i="1"/>
  <c r="AU164" i="1"/>
  <c r="CC167" i="1"/>
  <c r="AM167" i="1"/>
  <c r="CG169" i="1"/>
  <c r="CI169" i="1"/>
  <c r="CN169" i="1" s="1"/>
  <c r="CE169" i="1"/>
  <c r="CJ169" i="1" s="1"/>
  <c r="CO169" i="1" s="1"/>
  <c r="CF170" i="1"/>
  <c r="CK170" i="1" s="1"/>
  <c r="CL170" i="1"/>
  <c r="CH170" i="1"/>
  <c r="CM170" i="1" s="1"/>
  <c r="CG182" i="1"/>
  <c r="CI182" i="1"/>
  <c r="CN182" i="1" s="1"/>
  <c r="CE182" i="1"/>
  <c r="CJ182" i="1" s="1"/>
  <c r="CO182" i="1" s="1"/>
  <c r="CI199" i="1"/>
  <c r="CN199" i="1" s="1"/>
  <c r="CE199" i="1"/>
  <c r="CJ199" i="1" s="1"/>
  <c r="CO199" i="1" s="1"/>
  <c r="CG199" i="1"/>
  <c r="CL210" i="1"/>
  <c r="CH210" i="1"/>
  <c r="CM210" i="1" s="1"/>
  <c r="CF210" i="1"/>
  <c r="CK210" i="1" s="1"/>
  <c r="CE210" i="1"/>
  <c r="CJ210" i="1" s="1"/>
  <c r="CO210" i="1" s="1"/>
  <c r="CG211" i="1"/>
  <c r="CI211" i="1"/>
  <c r="CN211" i="1" s="1"/>
  <c r="CE211" i="1"/>
  <c r="CJ211" i="1" s="1"/>
  <c r="CO211" i="1" s="1"/>
  <c r="CD217" i="1"/>
  <c r="AU217" i="1"/>
  <c r="AU224" i="1"/>
  <c r="CC225" i="1"/>
  <c r="AM225" i="1"/>
  <c r="AU240" i="1"/>
  <c r="CC241" i="1"/>
  <c r="AM241" i="1"/>
  <c r="AU257" i="1"/>
  <c r="AX258" i="1"/>
  <c r="AN258" i="1"/>
  <c r="AR258" i="1" s="1"/>
  <c r="AY258" i="1"/>
  <c r="AW258" i="1"/>
  <c r="AP258" i="1"/>
  <c r="AQ258" i="1" s="1"/>
  <c r="BC258" i="1" s="1"/>
  <c r="AU270" i="1"/>
  <c r="AZ284" i="1"/>
  <c r="AY284" i="1"/>
  <c r="AP284" i="1"/>
  <c r="AQ284" i="1" s="1"/>
  <c r="BE284" i="1" s="1"/>
  <c r="AX284" i="1"/>
  <c r="AN284" i="1"/>
  <c r="AR284" i="1" s="1"/>
  <c r="AW284" i="1"/>
  <c r="AZ332" i="1"/>
  <c r="AY332" i="1"/>
  <c r="AP332" i="1"/>
  <c r="AQ332" i="1" s="1"/>
  <c r="BE332" i="1" s="1"/>
  <c r="AX332" i="1"/>
  <c r="AN332" i="1"/>
  <c r="AR332" i="1" s="1"/>
  <c r="AW332" i="1"/>
  <c r="BD452" i="1"/>
  <c r="BD435" i="1"/>
  <c r="BD434" i="1"/>
  <c r="BD433" i="1"/>
  <c r="BD436" i="1"/>
  <c r="BD425" i="1"/>
  <c r="BD426" i="1"/>
  <c r="BD395" i="1"/>
  <c r="BD418" i="1"/>
  <c r="BD383" i="1"/>
  <c r="BD379" i="1"/>
  <c r="BD376" i="1"/>
  <c r="BD346" i="1"/>
  <c r="BD345" i="1"/>
  <c r="BD344" i="1"/>
  <c r="BD313" i="1"/>
  <c r="BD310" i="1"/>
  <c r="BD273" i="1"/>
  <c r="BD307" i="1"/>
  <c r="BD272" i="1"/>
  <c r="BD266" i="1"/>
  <c r="BD262" i="1"/>
  <c r="BD248" i="1"/>
  <c r="BD232" i="1"/>
  <c r="BD173" i="1"/>
  <c r="AT455" i="1"/>
  <c r="AU130" i="1"/>
  <c r="AU145" i="1"/>
  <c r="AU146" i="1"/>
  <c r="AU147" i="1"/>
  <c r="AU148" i="1"/>
  <c r="AU149" i="1"/>
  <c r="AU150" i="1"/>
  <c r="BD150" i="1"/>
  <c r="CD151" i="1"/>
  <c r="CD153" i="1"/>
  <c r="CC172" i="1"/>
  <c r="AM172" i="1"/>
  <c r="CD173" i="1"/>
  <c r="BE173" i="1"/>
  <c r="AU173" i="1"/>
  <c r="CI178" i="1"/>
  <c r="CN178" i="1" s="1"/>
  <c r="CI180" i="1"/>
  <c r="CN180" i="1" s="1"/>
  <c r="CE180" i="1"/>
  <c r="CJ180" i="1" s="1"/>
  <c r="CO180" i="1" s="1"/>
  <c r="CG180" i="1"/>
  <c r="CD181" i="1"/>
  <c r="AU181" i="1"/>
  <c r="AW183" i="1"/>
  <c r="CC199" i="1"/>
  <c r="AM199" i="1"/>
  <c r="CI209" i="1"/>
  <c r="CN209" i="1" s="1"/>
  <c r="CE209" i="1"/>
  <c r="CJ209" i="1" s="1"/>
  <c r="CO209" i="1" s="1"/>
  <c r="CC210" i="1"/>
  <c r="AM210" i="1"/>
  <c r="CI210" i="1"/>
  <c r="CN210" i="1" s="1"/>
  <c r="CI213" i="1"/>
  <c r="CN213" i="1" s="1"/>
  <c r="CE213" i="1"/>
  <c r="CJ213" i="1" s="1"/>
  <c r="CO213" i="1" s="1"/>
  <c r="CG213" i="1"/>
  <c r="CD214" i="1"/>
  <c r="AU214" i="1"/>
  <c r="AU228" i="1"/>
  <c r="CC229" i="1"/>
  <c r="AM229" i="1"/>
  <c r="AU244" i="1"/>
  <c r="CC245" i="1"/>
  <c r="AM245" i="1"/>
  <c r="BE248" i="1"/>
  <c r="AU248" i="1"/>
  <c r="CC249" i="1"/>
  <c r="AM249" i="1"/>
  <c r="AU252" i="1"/>
  <c r="CC253" i="1"/>
  <c r="AM253" i="1"/>
  <c r="AZ261" i="1"/>
  <c r="AX261" i="1"/>
  <c r="AW261" i="1"/>
  <c r="AP261" i="1"/>
  <c r="AQ261" i="1" s="1"/>
  <c r="BC261" i="1" s="1"/>
  <c r="AN261" i="1"/>
  <c r="AR261" i="1" s="1"/>
  <c r="AU264" i="1"/>
  <c r="AU268" i="1"/>
  <c r="BC272" i="1"/>
  <c r="AZ280" i="1"/>
  <c r="AY280" i="1"/>
  <c r="AP280" i="1"/>
  <c r="AQ280" i="1" s="1"/>
  <c r="BE280" i="1" s="1"/>
  <c r="AX280" i="1"/>
  <c r="AN280" i="1"/>
  <c r="AR280" i="1" s="1"/>
  <c r="AW280" i="1"/>
  <c r="CD305" i="1"/>
  <c r="AU305" i="1"/>
  <c r="AX306" i="1"/>
  <c r="BA306" i="1" s="1"/>
  <c r="BC307" i="1"/>
  <c r="AZ330" i="1"/>
  <c r="AY330" i="1"/>
  <c r="AP330" i="1"/>
  <c r="AQ330" i="1" s="1"/>
  <c r="AX330" i="1"/>
  <c r="AN330" i="1"/>
  <c r="AR330" i="1" s="1"/>
  <c r="AW330" i="1"/>
  <c r="CE138" i="1"/>
  <c r="CJ138" i="1" s="1"/>
  <c r="CO138" i="1" s="1"/>
  <c r="AM140" i="1"/>
  <c r="AU141" i="1"/>
  <c r="AZ141" i="1"/>
  <c r="CE142" i="1"/>
  <c r="CJ142" i="1" s="1"/>
  <c r="CO142" i="1" s="1"/>
  <c r="AM144" i="1"/>
  <c r="AW146" i="1"/>
  <c r="AW150" i="1"/>
  <c r="BE150" i="1"/>
  <c r="AM160" i="1"/>
  <c r="AU161" i="1"/>
  <c r="CE162" i="1"/>
  <c r="CJ162" i="1" s="1"/>
  <c r="CO162" i="1" s="1"/>
  <c r="AM164" i="1"/>
  <c r="AU165" i="1"/>
  <c r="CE166" i="1"/>
  <c r="CJ166" i="1" s="1"/>
  <c r="CO166" i="1" s="1"/>
  <c r="AM168" i="1"/>
  <c r="AU169" i="1"/>
  <c r="AZ169" i="1"/>
  <c r="CE170" i="1"/>
  <c r="CJ170" i="1" s="1"/>
  <c r="CO170" i="1" s="1"/>
  <c r="CI172" i="1"/>
  <c r="CN172" i="1" s="1"/>
  <c r="CE172" i="1"/>
  <c r="CJ172" i="1" s="1"/>
  <c r="CO172" i="1" s="1"/>
  <c r="CG172" i="1"/>
  <c r="CI176" i="1"/>
  <c r="CN176" i="1" s="1"/>
  <c r="CE176" i="1"/>
  <c r="CJ176" i="1" s="1"/>
  <c r="CO176" i="1" s="1"/>
  <c r="CG176" i="1"/>
  <c r="CD177" i="1"/>
  <c r="AU177" i="1"/>
  <c r="CC180" i="1"/>
  <c r="AM180" i="1"/>
  <c r="CI195" i="1"/>
  <c r="CN195" i="1" s="1"/>
  <c r="CE195" i="1"/>
  <c r="CJ195" i="1" s="1"/>
  <c r="CO195" i="1" s="1"/>
  <c r="CG195" i="1"/>
  <c r="CD196" i="1"/>
  <c r="AU196" i="1"/>
  <c r="CI198" i="1"/>
  <c r="CN198" i="1" s="1"/>
  <c r="CE198" i="1"/>
  <c r="CJ198" i="1" s="1"/>
  <c r="CO198" i="1" s="1"/>
  <c r="CG198" i="1"/>
  <c r="CL208" i="1"/>
  <c r="CH208" i="1"/>
  <c r="CM208" i="1" s="1"/>
  <c r="CF208" i="1"/>
  <c r="CK208" i="1" s="1"/>
  <c r="CE208" i="1"/>
  <c r="CJ208" i="1" s="1"/>
  <c r="CO208" i="1" s="1"/>
  <c r="CG209" i="1"/>
  <c r="CC213" i="1"/>
  <c r="AM213" i="1"/>
  <c r="BE219" i="1"/>
  <c r="BC219" i="1"/>
  <c r="AZ226" i="1"/>
  <c r="AY226" i="1"/>
  <c r="AP226" i="1"/>
  <c r="AQ226" i="1" s="1"/>
  <c r="BC226" i="1" s="1"/>
  <c r="AX226" i="1"/>
  <c r="AN226" i="1"/>
  <c r="AR226" i="1" s="1"/>
  <c r="AW226" i="1"/>
  <c r="BE232" i="1"/>
  <c r="AU232" i="1"/>
  <c r="CC233" i="1"/>
  <c r="AM233" i="1"/>
  <c r="AZ242" i="1"/>
  <c r="AY242" i="1"/>
  <c r="AP242" i="1"/>
  <c r="AQ242" i="1" s="1"/>
  <c r="BC242" i="1" s="1"/>
  <c r="AX242" i="1"/>
  <c r="AN242" i="1"/>
  <c r="AR242" i="1" s="1"/>
  <c r="AW242" i="1"/>
  <c r="AZ258" i="1"/>
  <c r="BE266" i="1"/>
  <c r="AU266" i="1"/>
  <c r="AZ292" i="1"/>
  <c r="AY292" i="1"/>
  <c r="AP292" i="1"/>
  <c r="AQ292" i="1" s="1"/>
  <c r="AX292" i="1"/>
  <c r="AN292" i="1"/>
  <c r="AR292" i="1" s="1"/>
  <c r="AW292" i="1"/>
  <c r="AN146" i="1"/>
  <c r="AR146" i="1" s="1"/>
  <c r="AX173" i="1"/>
  <c r="AN173" i="1"/>
  <c r="AR173" i="1" s="1"/>
  <c r="AW173" i="1"/>
  <c r="AZ173" i="1"/>
  <c r="AY173" i="1"/>
  <c r="AY175" i="1"/>
  <c r="CC176" i="1"/>
  <c r="AM176" i="1"/>
  <c r="AZ184" i="1"/>
  <c r="AY184" i="1"/>
  <c r="AP184" i="1"/>
  <c r="AQ184" i="1" s="1"/>
  <c r="AX184" i="1"/>
  <c r="AN184" i="1"/>
  <c r="AR184" i="1" s="1"/>
  <c r="AZ185" i="1"/>
  <c r="AY185" i="1"/>
  <c r="AP185" i="1"/>
  <c r="AQ185" i="1" s="1"/>
  <c r="BD185" i="1" s="1"/>
  <c r="AX185" i="1"/>
  <c r="AN185" i="1"/>
  <c r="AR185" i="1" s="1"/>
  <c r="AZ186" i="1"/>
  <c r="AY186" i="1"/>
  <c r="AP186" i="1"/>
  <c r="AQ186" i="1" s="1"/>
  <c r="BD186" i="1" s="1"/>
  <c r="AX186" i="1"/>
  <c r="AN186" i="1"/>
  <c r="AR186" i="1" s="1"/>
  <c r="AZ187" i="1"/>
  <c r="AY187" i="1"/>
  <c r="AP187" i="1"/>
  <c r="AQ187" i="1" s="1"/>
  <c r="BD187" i="1" s="1"/>
  <c r="AX187" i="1"/>
  <c r="AN187" i="1"/>
  <c r="AR187" i="1" s="1"/>
  <c r="AZ188" i="1"/>
  <c r="AY188" i="1"/>
  <c r="AP188" i="1"/>
  <c r="AQ188" i="1" s="1"/>
  <c r="AX188" i="1"/>
  <c r="AN188" i="1"/>
  <c r="AR188" i="1" s="1"/>
  <c r="AZ189" i="1"/>
  <c r="AY189" i="1"/>
  <c r="AP189" i="1"/>
  <c r="AQ189" i="1" s="1"/>
  <c r="BD189" i="1" s="1"/>
  <c r="AX189" i="1"/>
  <c r="AN189" i="1"/>
  <c r="AR189" i="1" s="1"/>
  <c r="AZ190" i="1"/>
  <c r="AY190" i="1"/>
  <c r="AP190" i="1"/>
  <c r="AQ190" i="1" s="1"/>
  <c r="AX190" i="1"/>
  <c r="AN190" i="1"/>
  <c r="AR190" i="1" s="1"/>
  <c r="AZ191" i="1"/>
  <c r="AY191" i="1"/>
  <c r="AP191" i="1"/>
  <c r="AQ191" i="1" s="1"/>
  <c r="BD191" i="1" s="1"/>
  <c r="AX191" i="1"/>
  <c r="AN191" i="1"/>
  <c r="AR191" i="1" s="1"/>
  <c r="AZ192" i="1"/>
  <c r="AY192" i="1"/>
  <c r="AP192" i="1"/>
  <c r="AQ192" i="1" s="1"/>
  <c r="AX192" i="1"/>
  <c r="AN192" i="1"/>
  <c r="AR192" i="1" s="1"/>
  <c r="AZ193" i="1"/>
  <c r="AY193" i="1"/>
  <c r="AP193" i="1"/>
  <c r="AQ193" i="1" s="1"/>
  <c r="BD193" i="1" s="1"/>
  <c r="AX193" i="1"/>
  <c r="AN193" i="1"/>
  <c r="AR193" i="1" s="1"/>
  <c r="AZ194" i="1"/>
  <c r="AY194" i="1"/>
  <c r="AP194" i="1"/>
  <c r="AQ194" i="1" s="1"/>
  <c r="BD194" i="1" s="1"/>
  <c r="AX194" i="1"/>
  <c r="AN194" i="1"/>
  <c r="AR194" i="1" s="1"/>
  <c r="CC195" i="1"/>
  <c r="AM195" i="1"/>
  <c r="AZ203" i="1"/>
  <c r="AY203" i="1"/>
  <c r="AP203" i="1"/>
  <c r="AQ203" i="1" s="1"/>
  <c r="BD203" i="1" s="1"/>
  <c r="AX203" i="1"/>
  <c r="AN203" i="1"/>
  <c r="AR203" i="1" s="1"/>
  <c r="AZ204" i="1"/>
  <c r="AY204" i="1"/>
  <c r="AP204" i="1"/>
  <c r="AQ204" i="1" s="1"/>
  <c r="AX204" i="1"/>
  <c r="AN204" i="1"/>
  <c r="AR204" i="1" s="1"/>
  <c r="AZ205" i="1"/>
  <c r="AY205" i="1"/>
  <c r="AP205" i="1"/>
  <c r="AQ205" i="1" s="1"/>
  <c r="BE205" i="1" s="1"/>
  <c r="AX205" i="1"/>
  <c r="AN205" i="1"/>
  <c r="AR205" i="1" s="1"/>
  <c r="AZ206" i="1"/>
  <c r="AY206" i="1"/>
  <c r="AP206" i="1"/>
  <c r="AQ206" i="1" s="1"/>
  <c r="AX206" i="1"/>
  <c r="AN206" i="1"/>
  <c r="AR206" i="1" s="1"/>
  <c r="AZ207" i="1"/>
  <c r="AY207" i="1"/>
  <c r="AP207" i="1"/>
  <c r="AQ207" i="1" s="1"/>
  <c r="BE207" i="1" s="1"/>
  <c r="AX207" i="1"/>
  <c r="AN207" i="1"/>
  <c r="AR207" i="1" s="1"/>
  <c r="CC208" i="1"/>
  <c r="AM208" i="1"/>
  <c r="CI208" i="1"/>
  <c r="CN208" i="1" s="1"/>
  <c r="CI212" i="1"/>
  <c r="CN212" i="1" s="1"/>
  <c r="CE212" i="1"/>
  <c r="CJ212" i="1" s="1"/>
  <c r="CO212" i="1" s="1"/>
  <c r="CG212" i="1"/>
  <c r="CI216" i="1"/>
  <c r="CN216" i="1" s="1"/>
  <c r="CE216" i="1"/>
  <c r="CJ216" i="1" s="1"/>
  <c r="CO216" i="1" s="1"/>
  <c r="CG216" i="1"/>
  <c r="BD219" i="1"/>
  <c r="AP230" i="1"/>
  <c r="AQ230" i="1" s="1"/>
  <c r="BC230" i="1" s="1"/>
  <c r="AU236" i="1"/>
  <c r="CC237" i="1"/>
  <c r="AM237" i="1"/>
  <c r="AZ246" i="1"/>
  <c r="AY246" i="1"/>
  <c r="AP246" i="1"/>
  <c r="AQ246" i="1" s="1"/>
  <c r="BC246" i="1" s="1"/>
  <c r="AX246" i="1"/>
  <c r="AN246" i="1"/>
  <c r="AR246" i="1" s="1"/>
  <c r="AW246" i="1"/>
  <c r="AZ254" i="1"/>
  <c r="AY254" i="1"/>
  <c r="AP254" i="1"/>
  <c r="AQ254" i="1" s="1"/>
  <c r="BC254" i="1" s="1"/>
  <c r="AX254" i="1"/>
  <c r="AN254" i="1"/>
  <c r="AR254" i="1" s="1"/>
  <c r="AW254" i="1"/>
  <c r="AZ288" i="1"/>
  <c r="AY288" i="1"/>
  <c r="AP288" i="1"/>
  <c r="AQ288" i="1" s="1"/>
  <c r="BE288" i="1" s="1"/>
  <c r="AX288" i="1"/>
  <c r="AN288" i="1"/>
  <c r="AR288" i="1" s="1"/>
  <c r="AW288" i="1"/>
  <c r="AZ334" i="1"/>
  <c r="AY334" i="1"/>
  <c r="AP334" i="1"/>
  <c r="AQ334" i="1" s="1"/>
  <c r="AX334" i="1"/>
  <c r="AN334" i="1"/>
  <c r="AR334" i="1" s="1"/>
  <c r="AW334" i="1"/>
  <c r="BC344" i="1"/>
  <c r="CD175" i="1"/>
  <c r="AZ177" i="1"/>
  <c r="CD179" i="1"/>
  <c r="AY182" i="1"/>
  <c r="CD184" i="1"/>
  <c r="CD185" i="1"/>
  <c r="CD186" i="1"/>
  <c r="CD187" i="1"/>
  <c r="CD188" i="1"/>
  <c r="CD189" i="1"/>
  <c r="CD190" i="1"/>
  <c r="CD191" i="1"/>
  <c r="CD192" i="1"/>
  <c r="CD193" i="1"/>
  <c r="CD194" i="1"/>
  <c r="AZ200" i="1"/>
  <c r="CD203" i="1"/>
  <c r="CD204" i="1"/>
  <c r="CD205" i="1"/>
  <c r="CD206" i="1"/>
  <c r="CD207" i="1"/>
  <c r="AU208" i="1"/>
  <c r="AU210" i="1"/>
  <c r="AP211" i="1"/>
  <c r="AQ211" i="1" s="1"/>
  <c r="BD211" i="1" s="1"/>
  <c r="AY211" i="1"/>
  <c r="AP215" i="1"/>
  <c r="AQ215" i="1" s="1"/>
  <c r="AY215" i="1"/>
  <c r="AP218" i="1"/>
  <c r="AQ218" i="1" s="1"/>
  <c r="BC218" i="1" s="1"/>
  <c r="AY218" i="1"/>
  <c r="AP220" i="1"/>
  <c r="AQ220" i="1" s="1"/>
  <c r="BC220" i="1" s="1"/>
  <c r="AY220" i="1"/>
  <c r="AP227" i="1"/>
  <c r="AQ227" i="1" s="1"/>
  <c r="BC227" i="1" s="1"/>
  <c r="AY227" i="1"/>
  <c r="AZ228" i="1"/>
  <c r="AZ232" i="1"/>
  <c r="AP235" i="1"/>
  <c r="AQ235" i="1" s="1"/>
  <c r="BC235" i="1" s="1"/>
  <c r="AZ240" i="1"/>
  <c r="AP243" i="1"/>
  <c r="AQ243" i="1" s="1"/>
  <c r="BC243" i="1" s="1"/>
  <c r="AY243" i="1"/>
  <c r="AZ244" i="1"/>
  <c r="AZ248" i="1"/>
  <c r="AX257" i="1"/>
  <c r="AY259" i="1"/>
  <c r="AW260" i="1"/>
  <c r="AP263" i="1"/>
  <c r="AQ263" i="1" s="1"/>
  <c r="BC263" i="1" s="1"/>
  <c r="AW263" i="1"/>
  <c r="AX264" i="1"/>
  <c r="AX266" i="1"/>
  <c r="AX268" i="1"/>
  <c r="BA268" i="1" s="1"/>
  <c r="AX270" i="1"/>
  <c r="BE272" i="1"/>
  <c r="BE277" i="1"/>
  <c r="AZ281" i="1"/>
  <c r="AY281" i="1"/>
  <c r="AP281" i="1"/>
  <c r="AQ281" i="1" s="1"/>
  <c r="BB281" i="1" s="1"/>
  <c r="AX281" i="1"/>
  <c r="AN281" i="1"/>
  <c r="AR281" i="1" s="1"/>
  <c r="AZ285" i="1"/>
  <c r="AY285" i="1"/>
  <c r="AP285" i="1"/>
  <c r="AQ285" i="1" s="1"/>
  <c r="AX285" i="1"/>
  <c r="AN285" i="1"/>
  <c r="AR285" i="1" s="1"/>
  <c r="AZ289" i="1"/>
  <c r="AY289" i="1"/>
  <c r="AP289" i="1"/>
  <c r="AQ289" i="1" s="1"/>
  <c r="AX289" i="1"/>
  <c r="AN289" i="1"/>
  <c r="AR289" i="1" s="1"/>
  <c r="AZ293" i="1"/>
  <c r="AY293" i="1"/>
  <c r="AP293" i="1"/>
  <c r="AQ293" i="1" s="1"/>
  <c r="AX293" i="1"/>
  <c r="AN293" i="1"/>
  <c r="AR293" i="1" s="1"/>
  <c r="CD304" i="1"/>
  <c r="AX305" i="1"/>
  <c r="AW316" i="1"/>
  <c r="CF321" i="1"/>
  <c r="CK321" i="1" s="1"/>
  <c r="CL321" i="1"/>
  <c r="CH321" i="1"/>
  <c r="CM321" i="1" s="1"/>
  <c r="CI322" i="1"/>
  <c r="CN322" i="1" s="1"/>
  <c r="CE322" i="1"/>
  <c r="CJ322" i="1" s="1"/>
  <c r="CO322" i="1" s="1"/>
  <c r="CG322" i="1"/>
  <c r="CI325" i="1"/>
  <c r="CN325" i="1" s="1"/>
  <c r="CE325" i="1"/>
  <c r="CJ325" i="1" s="1"/>
  <c r="CO325" i="1" s="1"/>
  <c r="CI347" i="1"/>
  <c r="CN347" i="1" s="1"/>
  <c r="CG347" i="1"/>
  <c r="CE347" i="1"/>
  <c r="CJ347" i="1" s="1"/>
  <c r="CO347" i="1" s="1"/>
  <c r="CL351" i="1"/>
  <c r="CH351" i="1"/>
  <c r="CM351" i="1" s="1"/>
  <c r="CF351" i="1"/>
  <c r="CK351" i="1" s="1"/>
  <c r="AM181" i="1"/>
  <c r="AU182" i="1"/>
  <c r="CE183" i="1"/>
  <c r="CJ183" i="1" s="1"/>
  <c r="CO183" i="1" s="1"/>
  <c r="AZ211" i="1"/>
  <c r="AZ215" i="1"/>
  <c r="AZ218" i="1"/>
  <c r="AZ220" i="1"/>
  <c r="AZ227" i="1"/>
  <c r="AZ231" i="1"/>
  <c r="AZ243" i="1"/>
  <c r="AY256" i="1"/>
  <c r="AP256" i="1"/>
  <c r="AQ256" i="1" s="1"/>
  <c r="BC256" i="1" s="1"/>
  <c r="AX256" i="1"/>
  <c r="AY257" i="1"/>
  <c r="AX262" i="1"/>
  <c r="AN262" i="1"/>
  <c r="AR262" i="1" s="1"/>
  <c r="AZ262" i="1"/>
  <c r="AX263" i="1"/>
  <c r="AZ265" i="1"/>
  <c r="AY265" i="1"/>
  <c r="AP265" i="1"/>
  <c r="AQ265" i="1" s="1"/>
  <c r="BC265" i="1" s="1"/>
  <c r="AZ267" i="1"/>
  <c r="AY267" i="1"/>
  <c r="AP267" i="1"/>
  <c r="AQ267" i="1" s="1"/>
  <c r="BC267" i="1" s="1"/>
  <c r="AZ269" i="1"/>
  <c r="AY269" i="1"/>
  <c r="AP269" i="1"/>
  <c r="AQ269" i="1" s="1"/>
  <c r="BC269" i="1" s="1"/>
  <c r="AW271" i="1"/>
  <c r="AZ271" i="1"/>
  <c r="AY271" i="1"/>
  <c r="AP271" i="1"/>
  <c r="AQ271" i="1" s="1"/>
  <c r="BC271" i="1" s="1"/>
  <c r="AX272" i="1"/>
  <c r="AZ278" i="1"/>
  <c r="AY278" i="1"/>
  <c r="AP278" i="1"/>
  <c r="AQ278" i="1" s="1"/>
  <c r="BE278" i="1" s="1"/>
  <c r="AX278" i="1"/>
  <c r="AN278" i="1"/>
  <c r="AR278" i="1" s="1"/>
  <c r="AZ282" i="1"/>
  <c r="AY282" i="1"/>
  <c r="AP282" i="1"/>
  <c r="AQ282" i="1" s="1"/>
  <c r="BE282" i="1" s="1"/>
  <c r="AX282" i="1"/>
  <c r="AN282" i="1"/>
  <c r="AR282" i="1" s="1"/>
  <c r="AZ286" i="1"/>
  <c r="AY286" i="1"/>
  <c r="AP286" i="1"/>
  <c r="AQ286" i="1" s="1"/>
  <c r="BD286" i="1" s="1"/>
  <c r="AX286" i="1"/>
  <c r="AN286" i="1"/>
  <c r="AR286" i="1" s="1"/>
  <c r="AZ290" i="1"/>
  <c r="AY290" i="1"/>
  <c r="AP290" i="1"/>
  <c r="AQ290" i="1" s="1"/>
  <c r="BD290" i="1" s="1"/>
  <c r="AX290" i="1"/>
  <c r="AN290" i="1"/>
  <c r="AR290" i="1" s="1"/>
  <c r="AZ294" i="1"/>
  <c r="AY294" i="1"/>
  <c r="AP294" i="1"/>
  <c r="AQ294" i="1" s="1"/>
  <c r="BD294" i="1" s="1"/>
  <c r="AX294" i="1"/>
  <c r="AN294" i="1"/>
  <c r="AR294" i="1" s="1"/>
  <c r="CI301" i="1"/>
  <c r="CN301" i="1" s="1"/>
  <c r="CE301" i="1"/>
  <c r="CJ301" i="1" s="1"/>
  <c r="CO301" i="1" s="1"/>
  <c r="CG301" i="1"/>
  <c r="CD302" i="1"/>
  <c r="BC302" i="1"/>
  <c r="CD303" i="1"/>
  <c r="AX304" i="1"/>
  <c r="CD307" i="1"/>
  <c r="BE307" i="1"/>
  <c r="AU307" i="1"/>
  <c r="BC310" i="1"/>
  <c r="BC313" i="1"/>
  <c r="CF325" i="1"/>
  <c r="CK325" i="1" s="1"/>
  <c r="CL325" i="1"/>
  <c r="CH325" i="1"/>
  <c r="CM325" i="1" s="1"/>
  <c r="AZ331" i="1"/>
  <c r="AY331" i="1"/>
  <c r="AP331" i="1"/>
  <c r="AQ331" i="1" s="1"/>
  <c r="BE331" i="1" s="1"/>
  <c r="AX331" i="1"/>
  <c r="AN331" i="1"/>
  <c r="AR331" i="1" s="1"/>
  <c r="AW331" i="1"/>
  <c r="AZ333" i="1"/>
  <c r="AY333" i="1"/>
  <c r="AP333" i="1"/>
  <c r="AQ333" i="1" s="1"/>
  <c r="AX333" i="1"/>
  <c r="AN333" i="1"/>
  <c r="AR333" i="1" s="1"/>
  <c r="AW333" i="1"/>
  <c r="AZ335" i="1"/>
  <c r="AY335" i="1"/>
  <c r="AP335" i="1"/>
  <c r="AQ335" i="1" s="1"/>
  <c r="BE335" i="1" s="1"/>
  <c r="AX335" i="1"/>
  <c r="AN335" i="1"/>
  <c r="AR335" i="1" s="1"/>
  <c r="AW335" i="1"/>
  <c r="CC361" i="1"/>
  <c r="AM361" i="1"/>
  <c r="AM174" i="1"/>
  <c r="AN177" i="1"/>
  <c r="AR177" i="1" s="1"/>
  <c r="AM178" i="1"/>
  <c r="AX260" i="1"/>
  <c r="AN260" i="1"/>
  <c r="AR260" i="1" s="1"/>
  <c r="AZ260" i="1"/>
  <c r="AY263" i="1"/>
  <c r="AW265" i="1"/>
  <c r="AN267" i="1"/>
  <c r="AR267" i="1" s="1"/>
  <c r="AW267" i="1"/>
  <c r="AN269" i="1"/>
  <c r="AR269" i="1" s="1"/>
  <c r="AW269" i="1"/>
  <c r="AN271" i="1"/>
  <c r="AR271" i="1" s="1"/>
  <c r="AX271" i="1"/>
  <c r="AU274" i="1"/>
  <c r="AU276" i="1"/>
  <c r="AZ279" i="1"/>
  <c r="AY279" i="1"/>
  <c r="AP279" i="1"/>
  <c r="AQ279" i="1" s="1"/>
  <c r="BD279" i="1" s="1"/>
  <c r="AX279" i="1"/>
  <c r="AN279" i="1"/>
  <c r="AR279" i="1" s="1"/>
  <c r="AZ283" i="1"/>
  <c r="AY283" i="1"/>
  <c r="AP283" i="1"/>
  <c r="AQ283" i="1" s="1"/>
  <c r="BD283" i="1" s="1"/>
  <c r="AX283" i="1"/>
  <c r="AN283" i="1"/>
  <c r="AR283" i="1" s="1"/>
  <c r="AZ287" i="1"/>
  <c r="AY287" i="1"/>
  <c r="AP287" i="1"/>
  <c r="AQ287" i="1" s="1"/>
  <c r="BE287" i="1" s="1"/>
  <c r="AX287" i="1"/>
  <c r="AN287" i="1"/>
  <c r="AR287" i="1" s="1"/>
  <c r="AZ291" i="1"/>
  <c r="AY291" i="1"/>
  <c r="AP291" i="1"/>
  <c r="AQ291" i="1" s="1"/>
  <c r="BE291" i="1" s="1"/>
  <c r="AX291" i="1"/>
  <c r="AN291" i="1"/>
  <c r="AR291" i="1" s="1"/>
  <c r="AZ295" i="1"/>
  <c r="AY295" i="1"/>
  <c r="AP295" i="1"/>
  <c r="AQ295" i="1" s="1"/>
  <c r="BE295" i="1" s="1"/>
  <c r="AX295" i="1"/>
  <c r="AN295" i="1"/>
  <c r="AR295" i="1" s="1"/>
  <c r="AZ296" i="1"/>
  <c r="AY296" i="1"/>
  <c r="AP296" i="1"/>
  <c r="AQ296" i="1" s="1"/>
  <c r="AX296" i="1"/>
  <c r="AN296" i="1"/>
  <c r="AR296" i="1" s="1"/>
  <c r="AZ297" i="1"/>
  <c r="AY297" i="1"/>
  <c r="AP297" i="1"/>
  <c r="AQ297" i="1" s="1"/>
  <c r="AX297" i="1"/>
  <c r="AN297" i="1"/>
  <c r="AR297" i="1" s="1"/>
  <c r="AZ298" i="1"/>
  <c r="AY298" i="1"/>
  <c r="AP298" i="1"/>
  <c r="AQ298" i="1" s="1"/>
  <c r="AX298" i="1"/>
  <c r="AN298" i="1"/>
  <c r="AR298" i="1" s="1"/>
  <c r="AZ299" i="1"/>
  <c r="AY299" i="1"/>
  <c r="AP299" i="1"/>
  <c r="AQ299" i="1" s="1"/>
  <c r="BD299" i="1" s="1"/>
  <c r="AX299" i="1"/>
  <c r="AN299" i="1"/>
  <c r="AR299" i="1" s="1"/>
  <c r="AZ300" i="1"/>
  <c r="AY300" i="1"/>
  <c r="AP300" i="1"/>
  <c r="AQ300" i="1" s="1"/>
  <c r="AX300" i="1"/>
  <c r="AN300" i="1"/>
  <c r="AR300" i="1" s="1"/>
  <c r="CC301" i="1"/>
  <c r="AM301" i="1"/>
  <c r="AX302" i="1"/>
  <c r="AX303" i="1"/>
  <c r="AU303" i="1"/>
  <c r="BC305" i="1"/>
  <c r="CD306" i="1"/>
  <c r="AX307" i="1"/>
  <c r="AN307" i="1"/>
  <c r="AR307" i="1" s="1"/>
  <c r="AW307" i="1"/>
  <c r="AZ307" i="1"/>
  <c r="CD323" i="1"/>
  <c r="AU323" i="1"/>
  <c r="BC345" i="1"/>
  <c r="AX348" i="1"/>
  <c r="AN348" i="1"/>
  <c r="AR348" i="1" s="1"/>
  <c r="AZ348" i="1"/>
  <c r="AY348" i="1"/>
  <c r="AP348" i="1"/>
  <c r="AQ348" i="1" s="1"/>
  <c r="AW348" i="1"/>
  <c r="CD355" i="1"/>
  <c r="AU355" i="1"/>
  <c r="AW264" i="1"/>
  <c r="AW266" i="1"/>
  <c r="AW268" i="1"/>
  <c r="AW270" i="1"/>
  <c r="AW272" i="1"/>
  <c r="AW274" i="1"/>
  <c r="AW276" i="1"/>
  <c r="CD295" i="1"/>
  <c r="CD296" i="1"/>
  <c r="CD297" i="1"/>
  <c r="CD298" i="1"/>
  <c r="CD299" i="1"/>
  <c r="CD300" i="1"/>
  <c r="AW302" i="1"/>
  <c r="AW303" i="1"/>
  <c r="AW304" i="1"/>
  <c r="AW305" i="1"/>
  <c r="AW306" i="1"/>
  <c r="CL309" i="1"/>
  <c r="CH309" i="1"/>
  <c r="CM309" i="1" s="1"/>
  <c r="CH315" i="1"/>
  <c r="CM315" i="1" s="1"/>
  <c r="CD319" i="1"/>
  <c r="AU319" i="1"/>
  <c r="CC322" i="1"/>
  <c r="AM322" i="1"/>
  <c r="CG324" i="1"/>
  <c r="CI324" i="1"/>
  <c r="CN324" i="1" s="1"/>
  <c r="CE324" i="1"/>
  <c r="CJ324" i="1" s="1"/>
  <c r="CO324" i="1" s="1"/>
  <c r="CC354" i="1"/>
  <c r="AM354" i="1"/>
  <c r="AN264" i="1"/>
  <c r="AR264" i="1" s="1"/>
  <c r="AN266" i="1"/>
  <c r="AR266" i="1" s="1"/>
  <c r="AN268" i="1"/>
  <c r="AR268" i="1" s="1"/>
  <c r="AN270" i="1"/>
  <c r="AR270" i="1" s="1"/>
  <c r="AN272" i="1"/>
  <c r="AR272" i="1" s="1"/>
  <c r="AU273" i="1"/>
  <c r="AN274" i="1"/>
  <c r="AR274" i="1" s="1"/>
  <c r="AX274" i="1"/>
  <c r="AU275" i="1"/>
  <c r="AN276" i="1"/>
  <c r="AR276" i="1" s="1"/>
  <c r="AX276" i="1"/>
  <c r="AU277" i="1"/>
  <c r="AZ277" i="1"/>
  <c r="CE285" i="1"/>
  <c r="CJ285" i="1" s="1"/>
  <c r="CO285" i="1" s="1"/>
  <c r="CE290" i="1"/>
  <c r="CJ290" i="1" s="1"/>
  <c r="CO290" i="1" s="1"/>
  <c r="AN303" i="1"/>
  <c r="AR303" i="1" s="1"/>
  <c r="AN304" i="1"/>
  <c r="AR304" i="1" s="1"/>
  <c r="AN305" i="1"/>
  <c r="AR305" i="1" s="1"/>
  <c r="AN306" i="1"/>
  <c r="AR306" i="1" s="1"/>
  <c r="AY308" i="1"/>
  <c r="AP308" i="1"/>
  <c r="AQ308" i="1" s="1"/>
  <c r="AX308" i="1"/>
  <c r="CI309" i="1"/>
  <c r="CN309" i="1" s="1"/>
  <c r="CE309" i="1"/>
  <c r="CJ309" i="1" s="1"/>
  <c r="CO309" i="1" s="1"/>
  <c r="CD310" i="1"/>
  <c r="BE310" i="1"/>
  <c r="CD311" i="1"/>
  <c r="CD312" i="1"/>
  <c r="CD313" i="1"/>
  <c r="BE313" i="1"/>
  <c r="CD314" i="1"/>
  <c r="AU315" i="1"/>
  <c r="CI315" i="1"/>
  <c r="CN315" i="1" s="1"/>
  <c r="AZ325" i="1"/>
  <c r="AY325" i="1"/>
  <c r="AP325" i="1"/>
  <c r="AQ325" i="1" s="1"/>
  <c r="BE325" i="1" s="1"/>
  <c r="AX325" i="1"/>
  <c r="AN325" i="1"/>
  <c r="AR325" i="1" s="1"/>
  <c r="AW325" i="1"/>
  <c r="CE326" i="1"/>
  <c r="CJ326" i="1" s="1"/>
  <c r="CO326" i="1" s="1"/>
  <c r="CD327" i="1"/>
  <c r="AU327" i="1"/>
  <c r="AZ329" i="1"/>
  <c r="AY329" i="1"/>
  <c r="AP329" i="1"/>
  <c r="AQ329" i="1" s="1"/>
  <c r="BD329" i="1" s="1"/>
  <c r="AX329" i="1"/>
  <c r="AN329" i="1"/>
  <c r="AR329" i="1" s="1"/>
  <c r="AW329" i="1"/>
  <c r="AX341" i="1"/>
  <c r="AN341" i="1"/>
  <c r="AR341" i="1" s="1"/>
  <c r="AZ341" i="1"/>
  <c r="AY341" i="1"/>
  <c r="AP341" i="1"/>
  <c r="AQ341" i="1" s="1"/>
  <c r="AZ360" i="1"/>
  <c r="AY360" i="1"/>
  <c r="AP360" i="1"/>
  <c r="AQ360" i="1" s="1"/>
  <c r="BE360" i="1" s="1"/>
  <c r="AX360" i="1"/>
  <c r="AN360" i="1"/>
  <c r="AR360" i="1" s="1"/>
  <c r="AW360" i="1"/>
  <c r="AU368" i="1"/>
  <c r="CD368" i="1"/>
  <c r="AP274" i="1"/>
  <c r="AQ274" i="1" s="1"/>
  <c r="BC274" i="1" s="1"/>
  <c r="AP276" i="1"/>
  <c r="AQ276" i="1" s="1"/>
  <c r="BC276" i="1" s="1"/>
  <c r="AY309" i="1"/>
  <c r="AP309" i="1"/>
  <c r="AQ309" i="1" s="1"/>
  <c r="BE309" i="1" s="1"/>
  <c r="AX309" i="1"/>
  <c r="AN309" i="1"/>
  <c r="AR309" i="1" s="1"/>
  <c r="AX310" i="1"/>
  <c r="AN310" i="1"/>
  <c r="AR310" i="1" s="1"/>
  <c r="AW310" i="1"/>
  <c r="AX311" i="1"/>
  <c r="BA311" i="1" s="1"/>
  <c r="AX312" i="1"/>
  <c r="AX313" i="1"/>
  <c r="AX314" i="1"/>
  <c r="BA314" i="1" s="1"/>
  <c r="CL315" i="1"/>
  <c r="CI321" i="1"/>
  <c r="CN321" i="1" s="1"/>
  <c r="CE321" i="1"/>
  <c r="CJ321" i="1" s="1"/>
  <c r="CO321" i="1" s="1"/>
  <c r="CC326" i="1"/>
  <c r="AM326" i="1"/>
  <c r="AU350" i="1"/>
  <c r="CD350" i="1"/>
  <c r="CE351" i="1"/>
  <c r="CJ351" i="1" s="1"/>
  <c r="CO351" i="1" s="1"/>
  <c r="CI351" i="1"/>
  <c r="CN351" i="1" s="1"/>
  <c r="AY353" i="1"/>
  <c r="BC355" i="1"/>
  <c r="CD362" i="1"/>
  <c r="AU362" i="1"/>
  <c r="CG366" i="1"/>
  <c r="CI366" i="1"/>
  <c r="CN366" i="1" s="1"/>
  <c r="CE366" i="1"/>
  <c r="CJ366" i="1" s="1"/>
  <c r="CO366" i="1" s="1"/>
  <c r="CG385" i="1"/>
  <c r="CI385" i="1"/>
  <c r="CN385" i="1" s="1"/>
  <c r="CE385" i="1"/>
  <c r="CJ385" i="1" s="1"/>
  <c r="CO385" i="1" s="1"/>
  <c r="AW311" i="1"/>
  <c r="AW312" i="1"/>
  <c r="AW313" i="1"/>
  <c r="AW314" i="1"/>
  <c r="AP320" i="1"/>
  <c r="AQ320" i="1" s="1"/>
  <c r="BD320" i="1" s="1"/>
  <c r="AY320" i="1"/>
  <c r="CD330" i="1"/>
  <c r="CD331" i="1"/>
  <c r="CD332" i="1"/>
  <c r="CD333" i="1"/>
  <c r="CD334" i="1"/>
  <c r="CD335" i="1"/>
  <c r="AX347" i="1"/>
  <c r="AN347" i="1"/>
  <c r="AR347" i="1" s="1"/>
  <c r="AZ347" i="1"/>
  <c r="AW347" i="1"/>
  <c r="CG348" i="1"/>
  <c r="AX349" i="1"/>
  <c r="CG349" i="1"/>
  <c r="CI349" i="1"/>
  <c r="CN349" i="1" s="1"/>
  <c r="CE349" i="1"/>
  <c r="CJ349" i="1" s="1"/>
  <c r="CO349" i="1" s="1"/>
  <c r="AZ364" i="1"/>
  <c r="AY364" i="1"/>
  <c r="AP364" i="1"/>
  <c r="AQ364" i="1" s="1"/>
  <c r="AX364" i="1"/>
  <c r="AN364" i="1"/>
  <c r="AR364" i="1" s="1"/>
  <c r="CC365" i="1"/>
  <c r="AM365" i="1"/>
  <c r="AU366" i="1"/>
  <c r="CC367" i="1"/>
  <c r="AM367" i="1"/>
  <c r="CC368" i="1"/>
  <c r="AM368" i="1"/>
  <c r="CG381" i="1"/>
  <c r="CI381" i="1"/>
  <c r="CN381" i="1" s="1"/>
  <c r="CE381" i="1"/>
  <c r="CJ381" i="1" s="1"/>
  <c r="CO381" i="1" s="1"/>
  <c r="BE383" i="1"/>
  <c r="AN311" i="1"/>
  <c r="AR311" i="1" s="1"/>
  <c r="AN312" i="1"/>
  <c r="AR312" i="1" s="1"/>
  <c r="AN313" i="1"/>
  <c r="AR313" i="1" s="1"/>
  <c r="AN314" i="1"/>
  <c r="AR314" i="1" s="1"/>
  <c r="CE317" i="1"/>
  <c r="CJ317" i="1" s="1"/>
  <c r="CO317" i="1" s="1"/>
  <c r="AM319" i="1"/>
  <c r="AZ320" i="1"/>
  <c r="AM323" i="1"/>
  <c r="CE329" i="1"/>
  <c r="CJ329" i="1" s="1"/>
  <c r="CO329" i="1" s="1"/>
  <c r="BC338" i="1"/>
  <c r="CD341" i="1"/>
  <c r="AU341" i="1"/>
  <c r="AX346" i="1"/>
  <c r="AN346" i="1"/>
  <c r="AR346" i="1" s="1"/>
  <c r="AZ346" i="1"/>
  <c r="AW346" i="1"/>
  <c r="AP347" i="1"/>
  <c r="AQ347" i="1" s="1"/>
  <c r="BD347" i="1" s="1"/>
  <c r="AY347" i="1"/>
  <c r="AZ350" i="1"/>
  <c r="AX350" i="1"/>
  <c r="AN350" i="1"/>
  <c r="AR350" i="1" s="1"/>
  <c r="AW350" i="1"/>
  <c r="CC352" i="1"/>
  <c r="AM352" i="1"/>
  <c r="AX355" i="1"/>
  <c r="AW373" i="1"/>
  <c r="CG377" i="1"/>
  <c r="CI377" i="1"/>
  <c r="CN377" i="1" s="1"/>
  <c r="CE377" i="1"/>
  <c r="CJ377" i="1" s="1"/>
  <c r="CO377" i="1" s="1"/>
  <c r="BE379" i="1"/>
  <c r="CI337" i="1"/>
  <c r="CN337" i="1" s="1"/>
  <c r="CI340" i="1"/>
  <c r="CN340" i="1" s="1"/>
  <c r="AX342" i="1"/>
  <c r="AN342" i="1"/>
  <c r="AR342" i="1" s="1"/>
  <c r="AZ342" i="1"/>
  <c r="AW342" i="1"/>
  <c r="AX343" i="1"/>
  <c r="AN343" i="1"/>
  <c r="AR343" i="1" s="1"/>
  <c r="AZ343" i="1"/>
  <c r="AW343" i="1"/>
  <c r="AX344" i="1"/>
  <c r="AN344" i="1"/>
  <c r="AR344" i="1" s="1"/>
  <c r="AZ344" i="1"/>
  <c r="AW344" i="1"/>
  <c r="AX345" i="1"/>
  <c r="AN345" i="1"/>
  <c r="AR345" i="1" s="1"/>
  <c r="AZ345" i="1"/>
  <c r="AW345" i="1"/>
  <c r="AW349" i="1"/>
  <c r="AY349" i="1"/>
  <c r="AP349" i="1"/>
  <c r="AQ349" i="1" s="1"/>
  <c r="AZ356" i="1"/>
  <c r="AY356" i="1"/>
  <c r="AP356" i="1"/>
  <c r="AQ356" i="1" s="1"/>
  <c r="AX356" i="1"/>
  <c r="AN356" i="1"/>
  <c r="AR356" i="1" s="1"/>
  <c r="CC357" i="1"/>
  <c r="AM357" i="1"/>
  <c r="CD358" i="1"/>
  <c r="AU358" i="1"/>
  <c r="CI367" i="1"/>
  <c r="CN367" i="1" s="1"/>
  <c r="CE367" i="1"/>
  <c r="CJ367" i="1" s="1"/>
  <c r="CO367" i="1" s="1"/>
  <c r="CG367" i="1"/>
  <c r="CC370" i="1"/>
  <c r="AM370" i="1"/>
  <c r="CE370" i="1"/>
  <c r="CJ370" i="1" s="1"/>
  <c r="CO370" i="1" s="1"/>
  <c r="BC376" i="1"/>
  <c r="CG409" i="1"/>
  <c r="CI409" i="1"/>
  <c r="CN409" i="1" s="1"/>
  <c r="CE409" i="1"/>
  <c r="CJ409" i="1" s="1"/>
  <c r="CO409" i="1" s="1"/>
  <c r="AP428" i="1"/>
  <c r="AQ428" i="1" s="1"/>
  <c r="BE428" i="1" s="1"/>
  <c r="AX428" i="1"/>
  <c r="BA428" i="1" s="1"/>
  <c r="AN428" i="1"/>
  <c r="AR428" i="1" s="1"/>
  <c r="AW428" i="1"/>
  <c r="AU345" i="1"/>
  <c r="AU346" i="1"/>
  <c r="AU347" i="1"/>
  <c r="AU348" i="1"/>
  <c r="CD353" i="1"/>
  <c r="AZ355" i="1"/>
  <c r="CD356" i="1"/>
  <c r="CD360" i="1"/>
  <c r="CD364" i="1"/>
  <c r="CG365" i="1"/>
  <c r="CD369" i="1"/>
  <c r="AU372" i="1"/>
  <c r="CC374" i="1"/>
  <c r="AM374" i="1"/>
  <c r="CL376" i="1"/>
  <c r="CG378" i="1"/>
  <c r="CI378" i="1"/>
  <c r="CN378" i="1" s="1"/>
  <c r="CE378" i="1"/>
  <c r="CJ378" i="1" s="1"/>
  <c r="CO378" i="1" s="1"/>
  <c r="CG382" i="1"/>
  <c r="CI382" i="1"/>
  <c r="CN382" i="1" s="1"/>
  <c r="CE382" i="1"/>
  <c r="CJ382" i="1" s="1"/>
  <c r="CO382" i="1" s="1"/>
  <c r="CG386" i="1"/>
  <c r="CI386" i="1"/>
  <c r="CN386" i="1" s="1"/>
  <c r="CE386" i="1"/>
  <c r="CJ386" i="1" s="1"/>
  <c r="CO386" i="1" s="1"/>
  <c r="BC395" i="1"/>
  <c r="CG400" i="1"/>
  <c r="CI400" i="1"/>
  <c r="CN400" i="1" s="1"/>
  <c r="CE400" i="1"/>
  <c r="CJ400" i="1" s="1"/>
  <c r="CO400" i="1" s="1"/>
  <c r="BC425" i="1"/>
  <c r="CR425" i="1" s="1"/>
  <c r="AW355" i="1"/>
  <c r="CD371" i="1"/>
  <c r="CD375" i="1"/>
  <c r="AU375" i="1"/>
  <c r="AX376" i="1"/>
  <c r="CG379" i="1"/>
  <c r="CI379" i="1"/>
  <c r="CN379" i="1" s="1"/>
  <c r="CE379" i="1"/>
  <c r="CJ379" i="1" s="1"/>
  <c r="CO379" i="1" s="1"/>
  <c r="CG383" i="1"/>
  <c r="CI383" i="1"/>
  <c r="CN383" i="1" s="1"/>
  <c r="CE383" i="1"/>
  <c r="CJ383" i="1" s="1"/>
  <c r="CO383" i="1" s="1"/>
  <c r="BC386" i="1"/>
  <c r="CG387" i="1"/>
  <c r="CI387" i="1"/>
  <c r="CN387" i="1" s="1"/>
  <c r="CE387" i="1"/>
  <c r="CJ387" i="1" s="1"/>
  <c r="CO387" i="1" s="1"/>
  <c r="CF390" i="1"/>
  <c r="CK390" i="1" s="1"/>
  <c r="CL390" i="1"/>
  <c r="CH390" i="1"/>
  <c r="CM390" i="1" s="1"/>
  <c r="AX391" i="1"/>
  <c r="AN391" i="1"/>
  <c r="AR391" i="1" s="1"/>
  <c r="AY391" i="1"/>
  <c r="AW391" i="1"/>
  <c r="AP391" i="1"/>
  <c r="AQ391" i="1" s="1"/>
  <c r="BE391" i="1" s="1"/>
  <c r="AN355" i="1"/>
  <c r="AR355" i="1" s="1"/>
  <c r="AM359" i="1"/>
  <c r="AM363" i="1"/>
  <c r="CE365" i="1"/>
  <c r="CJ365" i="1" s="1"/>
  <c r="CO365" i="1" s="1"/>
  <c r="AM366" i="1"/>
  <c r="CC371" i="1"/>
  <c r="AM371" i="1"/>
  <c r="AU371" i="1"/>
  <c r="CD372" i="1"/>
  <c r="BE378" i="1"/>
  <c r="BC379" i="1"/>
  <c r="CG380" i="1"/>
  <c r="CI380" i="1"/>
  <c r="CN380" i="1" s="1"/>
  <c r="CE380" i="1"/>
  <c r="CJ380" i="1" s="1"/>
  <c r="CO380" i="1" s="1"/>
  <c r="BC383" i="1"/>
  <c r="CG384" i="1"/>
  <c r="CI384" i="1"/>
  <c r="CN384" i="1" s="1"/>
  <c r="CE384" i="1"/>
  <c r="CJ384" i="1" s="1"/>
  <c r="CO384" i="1" s="1"/>
  <c r="BE386" i="1"/>
  <c r="CG388" i="1"/>
  <c r="CI388" i="1"/>
  <c r="CN388" i="1" s="1"/>
  <c r="CE388" i="1"/>
  <c r="CJ388" i="1" s="1"/>
  <c r="CO388" i="1" s="1"/>
  <c r="AZ390" i="1"/>
  <c r="AY390" i="1"/>
  <c r="AP390" i="1"/>
  <c r="AQ390" i="1" s="1"/>
  <c r="AX390" i="1"/>
  <c r="AN390" i="1"/>
  <c r="AR390" i="1" s="1"/>
  <c r="CG406" i="1"/>
  <c r="CI406" i="1"/>
  <c r="CN406" i="1" s="1"/>
  <c r="CE406" i="1"/>
  <c r="CJ406" i="1" s="1"/>
  <c r="CO406" i="1" s="1"/>
  <c r="AU376" i="1"/>
  <c r="CD389" i="1"/>
  <c r="CG392" i="1"/>
  <c r="CD393" i="1"/>
  <c r="AU394" i="1"/>
  <c r="AZ398" i="1"/>
  <c r="AY398" i="1"/>
  <c r="AP398" i="1"/>
  <c r="AQ398" i="1" s="1"/>
  <c r="BB398" i="1" s="1"/>
  <c r="AX398" i="1"/>
  <c r="AN398" i="1"/>
  <c r="AR398" i="1" s="1"/>
  <c r="AU400" i="1"/>
  <c r="CG408" i="1"/>
  <c r="CI408" i="1"/>
  <c r="CN408" i="1" s="1"/>
  <c r="CE408" i="1"/>
  <c r="CJ408" i="1" s="1"/>
  <c r="CO408" i="1" s="1"/>
  <c r="CI410" i="1"/>
  <c r="CN410" i="1" s="1"/>
  <c r="CE410" i="1"/>
  <c r="CJ410" i="1" s="1"/>
  <c r="CO410" i="1" s="1"/>
  <c r="CG410" i="1"/>
  <c r="CD418" i="1"/>
  <c r="BE418" i="1"/>
  <c r="AU418" i="1"/>
  <c r="AP419" i="1"/>
  <c r="AQ419" i="1" s="1"/>
  <c r="BE419" i="1" s="1"/>
  <c r="AX419" i="1"/>
  <c r="BA419" i="1" s="1"/>
  <c r="AN419" i="1"/>
  <c r="AR419" i="1" s="1"/>
  <c r="AW419" i="1"/>
  <c r="BC426" i="1"/>
  <c r="AM375" i="1"/>
  <c r="AW376" i="1"/>
  <c r="BE376" i="1"/>
  <c r="AU377" i="1"/>
  <c r="AU378" i="1"/>
  <c r="AU379" i="1"/>
  <c r="AU380" i="1"/>
  <c r="AU381" i="1"/>
  <c r="AU382" i="1"/>
  <c r="AU383" i="1"/>
  <c r="AU384" i="1"/>
  <c r="AU385" i="1"/>
  <c r="AU386" i="1"/>
  <c r="AU387" i="1"/>
  <c r="AU388" i="1"/>
  <c r="CI392" i="1"/>
  <c r="CN392" i="1" s="1"/>
  <c r="AU393" i="1"/>
  <c r="CD394" i="1"/>
  <c r="CF397" i="1"/>
  <c r="CK397" i="1" s="1"/>
  <c r="CL397" i="1"/>
  <c r="CH397" i="1"/>
  <c r="CM397" i="1" s="1"/>
  <c r="CC399" i="1"/>
  <c r="AM399" i="1"/>
  <c r="CG405" i="1"/>
  <c r="CI405" i="1"/>
  <c r="CN405" i="1" s="1"/>
  <c r="CE405" i="1"/>
  <c r="CJ405" i="1" s="1"/>
  <c r="CO405" i="1" s="1"/>
  <c r="CG407" i="1"/>
  <c r="CI407" i="1"/>
  <c r="CN407" i="1" s="1"/>
  <c r="CE407" i="1"/>
  <c r="CJ407" i="1" s="1"/>
  <c r="CO407" i="1" s="1"/>
  <c r="AM372" i="1"/>
  <c r="CE374" i="1"/>
  <c r="CJ374" i="1" s="1"/>
  <c r="CO374" i="1" s="1"/>
  <c r="AN376" i="1"/>
  <c r="AR376" i="1" s="1"/>
  <c r="AX392" i="1"/>
  <c r="AN392" i="1"/>
  <c r="AR392" i="1" s="1"/>
  <c r="AZ392" i="1"/>
  <c r="AP401" i="1"/>
  <c r="AQ401" i="1" s="1"/>
  <c r="AY401" i="1"/>
  <c r="AP402" i="1"/>
  <c r="AQ402" i="1" s="1"/>
  <c r="BD402" i="1" s="1"/>
  <c r="AY402" i="1"/>
  <c r="AP403" i="1"/>
  <c r="AQ403" i="1" s="1"/>
  <c r="AY403" i="1"/>
  <c r="AP404" i="1"/>
  <c r="AQ404" i="1" s="1"/>
  <c r="AY404" i="1"/>
  <c r="AP405" i="1"/>
  <c r="AQ405" i="1" s="1"/>
  <c r="AY405" i="1"/>
  <c r="AP406" i="1"/>
  <c r="AQ406" i="1" s="1"/>
  <c r="AY406" i="1"/>
  <c r="AP407" i="1"/>
  <c r="AQ407" i="1" s="1"/>
  <c r="AY407" i="1"/>
  <c r="AP408" i="1"/>
  <c r="AQ408" i="1" s="1"/>
  <c r="BE408" i="1" s="1"/>
  <c r="AY408" i="1"/>
  <c r="AP409" i="1"/>
  <c r="AQ409" i="1" s="1"/>
  <c r="AY409" i="1"/>
  <c r="AP410" i="1"/>
  <c r="AQ410" i="1" s="1"/>
  <c r="BD410" i="1" s="1"/>
  <c r="AZ410" i="1"/>
  <c r="CD412" i="1"/>
  <c r="CD414" i="1"/>
  <c r="CD416" i="1"/>
  <c r="CI425" i="1"/>
  <c r="CN425" i="1" s="1"/>
  <c r="CG433" i="1"/>
  <c r="CI433" i="1"/>
  <c r="CN433" i="1" s="1"/>
  <c r="CE433" i="1"/>
  <c r="CJ433" i="1" s="1"/>
  <c r="CO433" i="1" s="1"/>
  <c r="AU437" i="1"/>
  <c r="CD437" i="1"/>
  <c r="BC437" i="1"/>
  <c r="AZ395" i="1"/>
  <c r="AZ396" i="1"/>
  <c r="CE397" i="1"/>
  <c r="CJ397" i="1" s="1"/>
  <c r="CO397" i="1" s="1"/>
  <c r="CE398" i="1"/>
  <c r="CJ398" i="1" s="1"/>
  <c r="CO398" i="1" s="1"/>
  <c r="AZ401" i="1"/>
  <c r="AZ402" i="1"/>
  <c r="AZ403" i="1"/>
  <c r="AZ404" i="1"/>
  <c r="AZ405" i="1"/>
  <c r="AU406" i="1"/>
  <c r="AZ406" i="1"/>
  <c r="AU407" i="1"/>
  <c r="AZ407" i="1"/>
  <c r="AU408" i="1"/>
  <c r="AU409" i="1"/>
  <c r="AU410" i="1"/>
  <c r="BC418" i="1"/>
  <c r="AP420" i="1"/>
  <c r="AQ420" i="1" s="1"/>
  <c r="BD420" i="1" s="1"/>
  <c r="AX420" i="1"/>
  <c r="BA420" i="1" s="1"/>
  <c r="AN420" i="1"/>
  <c r="AR420" i="1" s="1"/>
  <c r="CG422" i="1"/>
  <c r="CI422" i="1"/>
  <c r="CN422" i="1" s="1"/>
  <c r="CE422" i="1"/>
  <c r="CJ422" i="1" s="1"/>
  <c r="CO422" i="1" s="1"/>
  <c r="CG423" i="1"/>
  <c r="CI423" i="1"/>
  <c r="CN423" i="1" s="1"/>
  <c r="CE423" i="1"/>
  <c r="CJ423" i="1" s="1"/>
  <c r="CO423" i="1" s="1"/>
  <c r="CL425" i="1"/>
  <c r="CH425" i="1"/>
  <c r="CM425" i="1" s="1"/>
  <c r="CF425" i="1"/>
  <c r="CK425" i="1" s="1"/>
  <c r="AP427" i="1"/>
  <c r="AQ427" i="1" s="1"/>
  <c r="AX427" i="1"/>
  <c r="BA427" i="1" s="1"/>
  <c r="AN427" i="1"/>
  <c r="AR427" i="1" s="1"/>
  <c r="AW410" i="1"/>
  <c r="CD411" i="1"/>
  <c r="CD413" i="1"/>
  <c r="CD415" i="1"/>
  <c r="CD417" i="1"/>
  <c r="AU417" i="1"/>
  <c r="CG421" i="1"/>
  <c r="CI421" i="1"/>
  <c r="CN421" i="1" s="1"/>
  <c r="CE421" i="1"/>
  <c r="CJ421" i="1" s="1"/>
  <c r="CO421" i="1" s="1"/>
  <c r="CG424" i="1"/>
  <c r="CI424" i="1"/>
  <c r="CN424" i="1" s="1"/>
  <c r="CE424" i="1"/>
  <c r="CJ424" i="1" s="1"/>
  <c r="AX425" i="1"/>
  <c r="BA425" i="1" s="1"/>
  <c r="CD426" i="1"/>
  <c r="BE426" i="1"/>
  <c r="AW411" i="1"/>
  <c r="AW412" i="1"/>
  <c r="AW413" i="1"/>
  <c r="AW414" i="1"/>
  <c r="AW415" i="1"/>
  <c r="AW416" i="1"/>
  <c r="AW417" i="1"/>
  <c r="CD419" i="1"/>
  <c r="CD420" i="1"/>
  <c r="AP421" i="1"/>
  <c r="AQ421" i="1" s="1"/>
  <c r="BD421" i="1" s="1"/>
  <c r="AY421" i="1"/>
  <c r="AP422" i="1"/>
  <c r="AQ422" i="1" s="1"/>
  <c r="BE422" i="1" s="1"/>
  <c r="AY422" i="1"/>
  <c r="AP423" i="1"/>
  <c r="AQ423" i="1" s="1"/>
  <c r="BD423" i="1" s="1"/>
  <c r="AY424" i="1"/>
  <c r="AU425" i="1"/>
  <c r="AW426" i="1"/>
  <c r="CD427" i="1"/>
  <c r="CD428" i="1"/>
  <c r="AP429" i="1"/>
  <c r="AQ429" i="1" s="1"/>
  <c r="BD429" i="1" s="1"/>
  <c r="BC436" i="1"/>
  <c r="AX416" i="1"/>
  <c r="AN417" i="1"/>
  <c r="AR417" i="1" s="1"/>
  <c r="AX417" i="1"/>
  <c r="AN418" i="1"/>
  <c r="AR418" i="1" s="1"/>
  <c r="AU421" i="1"/>
  <c r="AU422" i="1"/>
  <c r="AU423" i="1"/>
  <c r="AU424" i="1"/>
  <c r="AW425" i="1"/>
  <c r="AX426" i="1"/>
  <c r="BA426" i="1" s="1"/>
  <c r="AU429" i="1"/>
  <c r="CD429" i="1"/>
  <c r="CI430" i="1"/>
  <c r="CN430" i="1" s="1"/>
  <c r="CI432" i="1"/>
  <c r="CN432" i="1" s="1"/>
  <c r="BE433" i="1"/>
  <c r="BC435" i="1"/>
  <c r="CD444" i="1"/>
  <c r="BE444" i="1"/>
  <c r="AU444" i="1"/>
  <c r="AP411" i="1"/>
  <c r="AQ411" i="1" s="1"/>
  <c r="BD411" i="1" s="1"/>
  <c r="AP412" i="1"/>
  <c r="AQ412" i="1" s="1"/>
  <c r="BD412" i="1" s="1"/>
  <c r="AP413" i="1"/>
  <c r="AQ413" i="1" s="1"/>
  <c r="BD413" i="1" s="1"/>
  <c r="AP414" i="1"/>
  <c r="AQ414" i="1" s="1"/>
  <c r="AP415" i="1"/>
  <c r="AQ415" i="1" s="1"/>
  <c r="AP416" i="1"/>
  <c r="AQ416" i="1" s="1"/>
  <c r="BE416" i="1" s="1"/>
  <c r="AP417" i="1"/>
  <c r="AQ417" i="1" s="1"/>
  <c r="AN425" i="1"/>
  <c r="AR425" i="1" s="1"/>
  <c r="CL430" i="1"/>
  <c r="BE434" i="1"/>
  <c r="CG436" i="1"/>
  <c r="CE436" i="1"/>
  <c r="CJ436" i="1" s="1"/>
  <c r="CO436" i="1" s="1"/>
  <c r="CD440" i="1"/>
  <c r="AU440" i="1"/>
  <c r="CD447" i="1"/>
  <c r="AU447" i="1"/>
  <c r="AU430" i="1"/>
  <c r="AU431" i="1"/>
  <c r="AU432" i="1"/>
  <c r="AU433" i="1"/>
  <c r="AZ433" i="1"/>
  <c r="AU434" i="1"/>
  <c r="AZ434" i="1"/>
  <c r="BE436" i="1"/>
  <c r="AU436" i="1"/>
  <c r="CD441" i="1"/>
  <c r="AU445" i="1"/>
  <c r="CD450" i="1"/>
  <c r="AX436" i="1"/>
  <c r="BA436" i="1" s="1"/>
  <c r="CD438" i="1"/>
  <c r="CD442" i="1"/>
  <c r="BC452" i="1"/>
  <c r="CD439" i="1"/>
  <c r="BA439" i="1"/>
  <c r="CD443" i="1"/>
  <c r="CI445" i="1"/>
  <c r="CN445" i="1" s="1"/>
  <c r="CE445" i="1"/>
  <c r="CJ445" i="1" s="1"/>
  <c r="CO445" i="1" s="1"/>
  <c r="CG445" i="1"/>
  <c r="AX446" i="1"/>
  <c r="AX450" i="1"/>
  <c r="CD451" i="1"/>
  <c r="AU451" i="1"/>
  <c r="AX445" i="1"/>
  <c r="AY445" i="1"/>
  <c r="AP445" i="1"/>
  <c r="AQ445" i="1" s="1"/>
  <c r="AZ445" i="1"/>
  <c r="CD449" i="1"/>
  <c r="AX451" i="1"/>
  <c r="BE452" i="1"/>
  <c r="AU452" i="1"/>
  <c r="CD452" i="1"/>
  <c r="CD446" i="1"/>
  <c r="AU446" i="1"/>
  <c r="CD448" i="1"/>
  <c r="AX449" i="1"/>
  <c r="AU449" i="1"/>
  <c r="AW452" i="1"/>
  <c r="AX452" i="1"/>
  <c r="BA452" i="1" s="1"/>
  <c r="AN452" i="1"/>
  <c r="AP454" i="1"/>
  <c r="AQ454" i="1" s="1"/>
  <c r="CQ454" i="1" s="1"/>
  <c r="AN454" i="1"/>
  <c r="AR454" i="1" s="1"/>
  <c r="AP446" i="1"/>
  <c r="AQ446" i="1" s="1"/>
  <c r="BD446" i="1" s="1"/>
  <c r="AY446" i="1"/>
  <c r="AY447" i="1"/>
  <c r="AP448" i="1"/>
  <c r="AQ448" i="1" s="1"/>
  <c r="BD448" i="1" s="1"/>
  <c r="AP449" i="1"/>
  <c r="AQ449" i="1" s="1"/>
  <c r="AY449" i="1"/>
  <c r="AP450" i="1"/>
  <c r="AQ450" i="1" s="1"/>
  <c r="BE450" i="1" s="1"/>
  <c r="AY450" i="1"/>
  <c r="AP451" i="1"/>
  <c r="AQ451" i="1" s="1"/>
  <c r="AY451" i="1"/>
  <c r="AW446" i="1"/>
  <c r="AW449" i="1"/>
  <c r="AW450" i="1"/>
  <c r="AW451" i="1"/>
  <c r="AN446" i="1"/>
  <c r="AR446" i="1" s="1"/>
  <c r="AN450" i="1"/>
  <c r="AR450" i="1" s="1"/>
  <c r="AN451" i="1"/>
  <c r="AR451" i="1" s="1"/>
  <c r="BE338" i="1" l="1"/>
  <c r="BE312" i="1"/>
  <c r="BE133" i="1"/>
  <c r="BE453" i="1"/>
  <c r="BE257" i="1"/>
  <c r="BE443" i="1"/>
  <c r="BE355" i="1"/>
  <c r="BE380" i="1"/>
  <c r="AN175" i="1"/>
  <c r="AR175" i="1" s="1"/>
  <c r="AP151" i="1"/>
  <c r="AQ151" i="1" s="1"/>
  <c r="BD151" i="1" s="1"/>
  <c r="CH391" i="1"/>
  <c r="CM391" i="1" s="1"/>
  <c r="AY316" i="1"/>
  <c r="AZ175" i="1"/>
  <c r="AS243" i="1"/>
  <c r="AS277" i="1"/>
  <c r="BA409" i="1"/>
  <c r="CE337" i="1"/>
  <c r="CJ337" i="1" s="1"/>
  <c r="CO337" i="1" s="1"/>
  <c r="BA433" i="1"/>
  <c r="CL432" i="1"/>
  <c r="AP369" i="1"/>
  <c r="AQ369" i="1" s="1"/>
  <c r="BE369" i="1" s="1"/>
  <c r="AW353" i="1"/>
  <c r="CE293" i="1"/>
  <c r="CJ293" i="1" s="1"/>
  <c r="CO293" i="1" s="1"/>
  <c r="AZ182" i="1"/>
  <c r="AZ316" i="1"/>
  <c r="AP182" i="1"/>
  <c r="AQ182" i="1" s="1"/>
  <c r="BE182" i="1" s="1"/>
  <c r="AX175" i="1"/>
  <c r="BA175" i="1" s="1"/>
  <c r="BD385" i="1"/>
  <c r="AY151" i="1"/>
  <c r="BE442" i="1"/>
  <c r="BC424" i="1"/>
  <c r="CR424" i="1" s="1"/>
  <c r="CI402" i="1"/>
  <c r="CN402" i="1" s="1"/>
  <c r="AY369" i="1"/>
  <c r="AP353" i="1"/>
  <c r="AQ353" i="1" s="1"/>
  <c r="BE353" i="1" s="1"/>
  <c r="CH317" i="1"/>
  <c r="CM317" i="1" s="1"/>
  <c r="AN316" i="1"/>
  <c r="AR316" i="1" s="1"/>
  <c r="AP175" i="1"/>
  <c r="AQ175" i="1" s="1"/>
  <c r="BD175" i="1" s="1"/>
  <c r="AN202" i="1"/>
  <c r="AR202" i="1" s="1"/>
  <c r="BD244" i="1"/>
  <c r="BD443" i="1"/>
  <c r="CR443" i="1" s="1"/>
  <c r="AS227" i="1"/>
  <c r="AX182" i="1"/>
  <c r="CG293" i="1"/>
  <c r="CH293" i="1" s="1"/>
  <c r="CM293" i="1" s="1"/>
  <c r="CI396" i="1"/>
  <c r="CN396" i="1" s="1"/>
  <c r="CG399" i="1"/>
  <c r="CL399" i="1" s="1"/>
  <c r="CG396" i="1"/>
  <c r="CH396" i="1" s="1"/>
  <c r="CM396" i="1" s="1"/>
  <c r="BE340" i="1"/>
  <c r="BA416" i="1"/>
  <c r="BD314" i="1"/>
  <c r="CR314" i="1" s="1"/>
  <c r="AS259" i="1"/>
  <c r="BA275" i="1"/>
  <c r="BE314" i="1"/>
  <c r="BA263" i="1"/>
  <c r="CE318" i="1"/>
  <c r="CJ318" i="1" s="1"/>
  <c r="CO318" i="1" s="1"/>
  <c r="CF107" i="1"/>
  <c r="CK107" i="1" s="1"/>
  <c r="BC240" i="1"/>
  <c r="CG401" i="1"/>
  <c r="CF401" i="1" s="1"/>
  <c r="CK401" i="1" s="1"/>
  <c r="CI395" i="1"/>
  <c r="CN395" i="1" s="1"/>
  <c r="CE399" i="1"/>
  <c r="CJ399" i="1" s="1"/>
  <c r="CO399" i="1" s="1"/>
  <c r="CG352" i="1"/>
  <c r="CL352" i="1" s="1"/>
  <c r="CI318" i="1"/>
  <c r="CN318" i="1" s="1"/>
  <c r="CE174" i="1"/>
  <c r="CJ174" i="1" s="1"/>
  <c r="CO174" i="1" s="1"/>
  <c r="CI201" i="1"/>
  <c r="CN201" i="1" s="1"/>
  <c r="BD228" i="1"/>
  <c r="BE240" i="1"/>
  <c r="BA355" i="1"/>
  <c r="BA169" i="1"/>
  <c r="BE228" i="1"/>
  <c r="BD123" i="1"/>
  <c r="CR123" i="1" s="1"/>
  <c r="AS244" i="1"/>
  <c r="CI113" i="1"/>
  <c r="CN113" i="1" s="1"/>
  <c r="CF113" i="1"/>
  <c r="CK113" i="1" s="1"/>
  <c r="CI107" i="1"/>
  <c r="CN107" i="1" s="1"/>
  <c r="CR386" i="1"/>
  <c r="BA312" i="1"/>
  <c r="CI316" i="1"/>
  <c r="CN316" i="1" s="1"/>
  <c r="BC343" i="1"/>
  <c r="CR343" i="1" s="1"/>
  <c r="BE275" i="1"/>
  <c r="BD275" i="1"/>
  <c r="BD338" i="1"/>
  <c r="CR338" i="1" s="1"/>
  <c r="BE270" i="1"/>
  <c r="CE113" i="1"/>
  <c r="CJ113" i="1" s="1"/>
  <c r="AY236" i="1"/>
  <c r="CG357" i="1"/>
  <c r="BC350" i="1"/>
  <c r="CR350" i="1" s="1"/>
  <c r="CE280" i="1"/>
  <c r="CJ280" i="1" s="1"/>
  <c r="CO280" i="1" s="1"/>
  <c r="AN212" i="1"/>
  <c r="AR212" i="1" s="1"/>
  <c r="AN214" i="1"/>
  <c r="AR214" i="1" s="1"/>
  <c r="CR437" i="1"/>
  <c r="BC444" i="1"/>
  <c r="CR444" i="1" s="1"/>
  <c r="BC430" i="1"/>
  <c r="CR430" i="1" s="1"/>
  <c r="CE357" i="1"/>
  <c r="CJ357" i="1" s="1"/>
  <c r="CO357" i="1" s="1"/>
  <c r="CH346" i="1"/>
  <c r="CM346" i="1" s="1"/>
  <c r="AX317" i="1"/>
  <c r="BC306" i="1"/>
  <c r="CR306" i="1" s="1"/>
  <c r="AW238" i="1"/>
  <c r="CI122" i="1"/>
  <c r="CN122" i="1" s="1"/>
  <c r="BE437" i="1"/>
  <c r="BA305" i="1"/>
  <c r="AY238" i="1"/>
  <c r="CL112" i="1"/>
  <c r="AY198" i="1"/>
  <c r="AP214" i="1"/>
  <c r="AQ214" i="1" s="1"/>
  <c r="BE214" i="1" s="1"/>
  <c r="CG453" i="1"/>
  <c r="BC441" i="1"/>
  <c r="CR441" i="1" s="1"/>
  <c r="CE361" i="1"/>
  <c r="CJ361" i="1" s="1"/>
  <c r="CO361" i="1" s="1"/>
  <c r="CG361" i="1"/>
  <c r="CF361" i="1" s="1"/>
  <c r="CK361" i="1" s="1"/>
  <c r="AY373" i="1"/>
  <c r="CR346" i="1"/>
  <c r="BE273" i="1"/>
  <c r="AY247" i="1"/>
  <c r="AZ255" i="1"/>
  <c r="AW230" i="1"/>
  <c r="AY230" i="1"/>
  <c r="BE145" i="1"/>
  <c r="AW255" i="1"/>
  <c r="AX132" i="1"/>
  <c r="BA132" i="1" s="1"/>
  <c r="AX231" i="1"/>
  <c r="CE106" i="1"/>
  <c r="CJ106" i="1" s="1"/>
  <c r="CI106" i="1"/>
  <c r="CN106" i="1" s="1"/>
  <c r="CE435" i="1"/>
  <c r="CJ435" i="1" s="1"/>
  <c r="CO435" i="1" s="1"/>
  <c r="AN231" i="1"/>
  <c r="AR231" i="1" s="1"/>
  <c r="AN161" i="1"/>
  <c r="AR161" i="1" s="1"/>
  <c r="AY161" i="1"/>
  <c r="BA149" i="1"/>
  <c r="CE453" i="1"/>
  <c r="CJ453" i="1" s="1"/>
  <c r="CO453" i="1" s="1"/>
  <c r="AZ247" i="1"/>
  <c r="AP247" i="1"/>
  <c r="AQ247" i="1" s="1"/>
  <c r="BC247" i="1" s="1"/>
  <c r="AY231" i="1"/>
  <c r="AN230" i="1"/>
  <c r="AR230" i="1" s="1"/>
  <c r="AZ230" i="1"/>
  <c r="AP132" i="1"/>
  <c r="AQ132" i="1" s="1"/>
  <c r="BE132" i="1" s="1"/>
  <c r="CF122" i="1"/>
  <c r="CK122" i="1" s="1"/>
  <c r="CL106" i="1"/>
  <c r="AW126" i="1"/>
  <c r="BA431" i="1"/>
  <c r="BA413" i="1"/>
  <c r="BA387" i="1"/>
  <c r="AW231" i="1"/>
  <c r="AP239" i="1"/>
  <c r="AQ239" i="1" s="1"/>
  <c r="BC239" i="1" s="1"/>
  <c r="AY223" i="1"/>
  <c r="AY201" i="1"/>
  <c r="BD259" i="1"/>
  <c r="AX247" i="1"/>
  <c r="AX223" i="1"/>
  <c r="AX161" i="1"/>
  <c r="CF106" i="1"/>
  <c r="CK106" i="1" s="1"/>
  <c r="AW223" i="1"/>
  <c r="CI370" i="1"/>
  <c r="CN370" i="1" s="1"/>
  <c r="CL346" i="1"/>
  <c r="CG336" i="1"/>
  <c r="CL336" i="1" s="1"/>
  <c r="AN373" i="1"/>
  <c r="AR373" i="1" s="1"/>
  <c r="AZ373" i="1"/>
  <c r="CL345" i="1"/>
  <c r="BA313" i="1"/>
  <c r="BC342" i="1"/>
  <c r="CR342" i="1" s="1"/>
  <c r="AZ223" i="1"/>
  <c r="CE320" i="1"/>
  <c r="CJ320" i="1" s="1"/>
  <c r="CO320" i="1" s="1"/>
  <c r="AP223" i="1"/>
  <c r="AQ223" i="1" s="1"/>
  <c r="BC223" i="1" s="1"/>
  <c r="AX202" i="1"/>
  <c r="AN238" i="1"/>
  <c r="AR238" i="1" s="1"/>
  <c r="AZ238" i="1"/>
  <c r="AZ212" i="1"/>
  <c r="CG201" i="1"/>
  <c r="CF201" i="1" s="1"/>
  <c r="CK201" i="1" s="1"/>
  <c r="BD453" i="1"/>
  <c r="AN124" i="1"/>
  <c r="AR124" i="1" s="1"/>
  <c r="AS247" i="1"/>
  <c r="AX239" i="1"/>
  <c r="BA219" i="1"/>
  <c r="AS228" i="1"/>
  <c r="CF112" i="1"/>
  <c r="CK112" i="1" s="1"/>
  <c r="AZ198" i="1"/>
  <c r="CF128" i="1"/>
  <c r="CK128" i="1" s="1"/>
  <c r="CG435" i="1"/>
  <c r="AP165" i="1"/>
  <c r="AQ165" i="1" s="1"/>
  <c r="BD165" i="1" s="1"/>
  <c r="AP124" i="1"/>
  <c r="AQ124" i="1" s="1"/>
  <c r="BD124" i="1" s="1"/>
  <c r="CE403" i="1"/>
  <c r="CJ403" i="1" s="1"/>
  <c r="CO403" i="1" s="1"/>
  <c r="CL391" i="1"/>
  <c r="CR426" i="1"/>
  <c r="BC387" i="1"/>
  <c r="CR387" i="1" s="1"/>
  <c r="BC453" i="1"/>
  <c r="CR453" i="1" s="1"/>
  <c r="BC432" i="1"/>
  <c r="BA424" i="1"/>
  <c r="BA396" i="1"/>
  <c r="CI403" i="1"/>
  <c r="CN403" i="1" s="1"/>
  <c r="CE352" i="1"/>
  <c r="CJ352" i="1" s="1"/>
  <c r="CO352" i="1" s="1"/>
  <c r="BA349" i="1"/>
  <c r="CE336" i="1"/>
  <c r="CJ336" i="1" s="1"/>
  <c r="CO336" i="1" s="1"/>
  <c r="AX373" i="1"/>
  <c r="AZ239" i="1"/>
  <c r="CI320" i="1"/>
  <c r="CN320" i="1" s="1"/>
  <c r="BA264" i="1"/>
  <c r="BA240" i="1"/>
  <c r="AZ202" i="1"/>
  <c r="AX238" i="1"/>
  <c r="AP222" i="1"/>
  <c r="AQ222" i="1" s="1"/>
  <c r="BC222" i="1" s="1"/>
  <c r="BD382" i="1"/>
  <c r="CR382" i="1" s="1"/>
  <c r="AX124" i="1"/>
  <c r="BA124" i="1" s="1"/>
  <c r="CE110" i="1"/>
  <c r="CJ110" i="1" s="1"/>
  <c r="CO110" i="1" s="1"/>
  <c r="AX165" i="1"/>
  <c r="BA146" i="1"/>
  <c r="CE112" i="1"/>
  <c r="CJ112" i="1" s="1"/>
  <c r="BA378" i="1"/>
  <c r="BA339" i="1"/>
  <c r="BA444" i="1"/>
  <c r="BA388" i="1"/>
  <c r="BA270" i="1"/>
  <c r="AP161" i="1"/>
  <c r="AQ161" i="1" s="1"/>
  <c r="BD161" i="1" s="1"/>
  <c r="CG288" i="1"/>
  <c r="CF288" i="1" s="1"/>
  <c r="CK288" i="1" s="1"/>
  <c r="AN169" i="1"/>
  <c r="AR169" i="1" s="1"/>
  <c r="BA443" i="1"/>
  <c r="CR385" i="1"/>
  <c r="BE382" i="1"/>
  <c r="CE288" i="1"/>
  <c r="CJ288" i="1" s="1"/>
  <c r="CO288" i="1" s="1"/>
  <c r="BA276" i="1"/>
  <c r="BC312" i="1"/>
  <c r="BA218" i="1"/>
  <c r="AY239" i="1"/>
  <c r="CR344" i="1"/>
  <c r="AZ165" i="1"/>
  <c r="BA165" i="1" s="1"/>
  <c r="AZ161" i="1"/>
  <c r="BD257" i="1"/>
  <c r="AW234" i="1"/>
  <c r="CI112" i="1"/>
  <c r="CN112" i="1" s="1"/>
  <c r="AN198" i="1"/>
  <c r="AR198" i="1" s="1"/>
  <c r="CL162" i="1"/>
  <c r="CF110" i="1"/>
  <c r="CK110" i="1" s="1"/>
  <c r="CR109" i="1"/>
  <c r="BA414" i="1"/>
  <c r="BA385" i="1"/>
  <c r="AN239" i="1"/>
  <c r="AR239" i="1" s="1"/>
  <c r="AN165" i="1"/>
  <c r="AR165" i="1" s="1"/>
  <c r="BA430" i="1"/>
  <c r="CE339" i="1"/>
  <c r="CJ339" i="1" s="1"/>
  <c r="CO339" i="1" s="1"/>
  <c r="AZ328" i="1"/>
  <c r="AP328" i="1"/>
  <c r="AQ328" i="1" s="1"/>
  <c r="BE328" i="1" s="1"/>
  <c r="BA310" i="1"/>
  <c r="CI308" i="1"/>
  <c r="CN308" i="1" s="1"/>
  <c r="AN179" i="1"/>
  <c r="AR179" i="1" s="1"/>
  <c r="BD396" i="1"/>
  <c r="CR396" i="1" s="1"/>
  <c r="BA119" i="1"/>
  <c r="BE440" i="1"/>
  <c r="CE289" i="1"/>
  <c r="CJ289" i="1" s="1"/>
  <c r="CO289" i="1" s="1"/>
  <c r="AY255" i="1"/>
  <c r="BA255" i="1" s="1"/>
  <c r="BE244" i="1"/>
  <c r="CG178" i="1"/>
  <c r="CH178" i="1" s="1"/>
  <c r="CM178" i="1" s="1"/>
  <c r="AX214" i="1"/>
  <c r="AP252" i="1"/>
  <c r="AQ252" i="1" s="1"/>
  <c r="BD252" i="1" s="1"/>
  <c r="CF376" i="1"/>
  <c r="CK376" i="1" s="1"/>
  <c r="AZ358" i="1"/>
  <c r="CG354" i="1"/>
  <c r="CL354" i="1" s="1"/>
  <c r="AN369" i="1"/>
  <c r="AR369" i="1" s="1"/>
  <c r="AZ369" i="1"/>
  <c r="CI359" i="1"/>
  <c r="CN359" i="1" s="1"/>
  <c r="CG340" i="1"/>
  <c r="CL340" i="1" s="1"/>
  <c r="CI339" i="1"/>
  <c r="CN339" i="1" s="1"/>
  <c r="AX351" i="1"/>
  <c r="BC336" i="1"/>
  <c r="CR336" i="1" s="1"/>
  <c r="AN353" i="1"/>
  <c r="AR353" i="1" s="1"/>
  <c r="AZ353" i="1"/>
  <c r="BA353" i="1" s="1"/>
  <c r="CE282" i="1"/>
  <c r="CJ282" i="1" s="1"/>
  <c r="CO282" i="1" s="1"/>
  <c r="CR345" i="1"/>
  <c r="BE306" i="1"/>
  <c r="BA303" i="1"/>
  <c r="CI363" i="1"/>
  <c r="CN363" i="1" s="1"/>
  <c r="AX316" i="1"/>
  <c r="AP251" i="1"/>
  <c r="AQ251" i="1" s="1"/>
  <c r="BC251" i="1" s="1"/>
  <c r="AP197" i="1"/>
  <c r="AQ197" i="1" s="1"/>
  <c r="BD197" i="1" s="1"/>
  <c r="CI197" i="1"/>
  <c r="CN197" i="1" s="1"/>
  <c r="BE221" i="1"/>
  <c r="AZ179" i="1"/>
  <c r="AP216" i="1"/>
  <c r="AQ216" i="1" s="1"/>
  <c r="BD216" i="1" s="1"/>
  <c r="BD303" i="1"/>
  <c r="CR303" i="1" s="1"/>
  <c r="BD355" i="1"/>
  <c r="CR355" i="1" s="1"/>
  <c r="BD392" i="1"/>
  <c r="CR392" i="1" s="1"/>
  <c r="BD442" i="1"/>
  <c r="CR442" i="1" s="1"/>
  <c r="CE215" i="1"/>
  <c r="CJ215" i="1" s="1"/>
  <c r="CO215" i="1" s="1"/>
  <c r="AN151" i="1"/>
  <c r="AR151" i="1" s="1"/>
  <c r="AZ151" i="1"/>
  <c r="BC141" i="1"/>
  <c r="CR141" i="1" s="1"/>
  <c r="AX235" i="1"/>
  <c r="BA147" i="1"/>
  <c r="BA340" i="1"/>
  <c r="CI167" i="1"/>
  <c r="CN167" i="1" s="1"/>
  <c r="CF115" i="1"/>
  <c r="CK115" i="1" s="1"/>
  <c r="BC147" i="1"/>
  <c r="CR147" i="1" s="1"/>
  <c r="CI139" i="1"/>
  <c r="CN139" i="1" s="1"/>
  <c r="AW130" i="1"/>
  <c r="CR127" i="1"/>
  <c r="BA441" i="1"/>
  <c r="BA412" i="1"/>
  <c r="BA379" i="1"/>
  <c r="AY362" i="1"/>
  <c r="CG280" i="1"/>
  <c r="CF280" i="1" s="1"/>
  <c r="CK280" i="1" s="1"/>
  <c r="CG282" i="1"/>
  <c r="BA384" i="1"/>
  <c r="BE439" i="1"/>
  <c r="CH432" i="1"/>
  <c r="CM432" i="1" s="1"/>
  <c r="BE424" i="1"/>
  <c r="CG404" i="1"/>
  <c r="CF404" i="1" s="1"/>
  <c r="CK404" i="1" s="1"/>
  <c r="BE350" i="1"/>
  <c r="CI326" i="1"/>
  <c r="CN326" i="1" s="1"/>
  <c r="CF329" i="1"/>
  <c r="CK329" i="1" s="1"/>
  <c r="AZ197" i="1"/>
  <c r="CE158" i="1"/>
  <c r="CJ158" i="1" s="1"/>
  <c r="CO158" i="1" s="1"/>
  <c r="AZ216" i="1"/>
  <c r="AY183" i="1"/>
  <c r="AX201" i="1"/>
  <c r="BE447" i="1"/>
  <c r="BE431" i="1"/>
  <c r="BE430" i="1"/>
  <c r="BE432" i="1"/>
  <c r="BA410" i="1"/>
  <c r="BA408" i="1"/>
  <c r="AX397" i="1"/>
  <c r="CR379" i="1"/>
  <c r="AN358" i="1"/>
  <c r="AR358" i="1" s="1"/>
  <c r="BE385" i="1"/>
  <c r="BC378" i="1"/>
  <c r="CR378" i="1" s="1"/>
  <c r="CR452" i="1"/>
  <c r="BA421" i="1"/>
  <c r="BE392" i="1"/>
  <c r="CI401" i="1"/>
  <c r="CN401" i="1" s="1"/>
  <c r="BE388" i="1"/>
  <c r="AZ362" i="1"/>
  <c r="AX369" i="1"/>
  <c r="CG359" i="1"/>
  <c r="CH359" i="1" s="1"/>
  <c r="CM359" i="1" s="1"/>
  <c r="BE336" i="1"/>
  <c r="CE281" i="1"/>
  <c r="CJ281" i="1" s="1"/>
  <c r="CO281" i="1" s="1"/>
  <c r="CR313" i="1"/>
  <c r="AX250" i="1"/>
  <c r="BD264" i="1"/>
  <c r="BD431" i="1"/>
  <c r="CR431" i="1" s="1"/>
  <c r="BD439" i="1"/>
  <c r="CR439" i="1" s="1"/>
  <c r="AX151" i="1"/>
  <c r="BA148" i="1"/>
  <c r="AS275" i="1"/>
  <c r="AX252" i="1"/>
  <c r="BA380" i="1"/>
  <c r="AN142" i="1"/>
  <c r="AR142" i="1" s="1"/>
  <c r="CL113" i="1"/>
  <c r="AX130" i="1"/>
  <c r="BA130" i="1" s="1"/>
  <c r="CI289" i="1"/>
  <c r="CN289" i="1" s="1"/>
  <c r="CH289" i="1"/>
  <c r="CM289" i="1" s="1"/>
  <c r="CF289" i="1"/>
  <c r="CK289" i="1" s="1"/>
  <c r="CL289" i="1"/>
  <c r="BE146" i="1"/>
  <c r="BA447" i="1"/>
  <c r="BE438" i="1"/>
  <c r="CR418" i="1"/>
  <c r="CE404" i="1"/>
  <c r="CJ404" i="1" s="1"/>
  <c r="CO404" i="1" s="1"/>
  <c r="AX362" i="1"/>
  <c r="AZ351" i="1"/>
  <c r="BC339" i="1"/>
  <c r="CR339" i="1" s="1"/>
  <c r="BC380" i="1"/>
  <c r="BE362" i="1"/>
  <c r="BC362" i="1"/>
  <c r="CR362" i="1" s="1"/>
  <c r="CL317" i="1"/>
  <c r="CE328" i="1"/>
  <c r="CJ328" i="1" s="1"/>
  <c r="CO328" i="1" s="1"/>
  <c r="BE302" i="1"/>
  <c r="BA272" i="1"/>
  <c r="BE304" i="1"/>
  <c r="BA248" i="1"/>
  <c r="AZ217" i="1"/>
  <c r="AZ214" i="1"/>
  <c r="CG197" i="1"/>
  <c r="CF197" i="1" s="1"/>
  <c r="CK197" i="1" s="1"/>
  <c r="AX179" i="1"/>
  <c r="BE149" i="1"/>
  <c r="BC304" i="1"/>
  <c r="CR304" i="1" s="1"/>
  <c r="AW216" i="1"/>
  <c r="AY216" i="1"/>
  <c r="AN183" i="1"/>
  <c r="AR183" i="1" s="1"/>
  <c r="AZ183" i="1"/>
  <c r="CR150" i="1"/>
  <c r="BD148" i="1"/>
  <c r="CR148" i="1" s="1"/>
  <c r="BD146" i="1"/>
  <c r="CR146" i="1" s="1"/>
  <c r="BD312" i="1"/>
  <c r="BD380" i="1"/>
  <c r="BD440" i="1"/>
  <c r="CR440" i="1" s="1"/>
  <c r="CI215" i="1"/>
  <c r="CN215" i="1" s="1"/>
  <c r="AX217" i="1"/>
  <c r="AX236" i="1"/>
  <c r="BA337" i="1"/>
  <c r="BC165" i="1"/>
  <c r="CR165" i="1" s="1"/>
  <c r="CH138" i="1"/>
  <c r="CM138" i="1" s="1"/>
  <c r="CE120" i="1"/>
  <c r="CJ120" i="1" s="1"/>
  <c r="CO120" i="1" s="1"/>
  <c r="CG285" i="1"/>
  <c r="AN236" i="1"/>
  <c r="AR236" i="1" s="1"/>
  <c r="AY252" i="1"/>
  <c r="CG281" i="1"/>
  <c r="AW252" i="1"/>
  <c r="CR302" i="1"/>
  <c r="BC447" i="1"/>
  <c r="CR447" i="1" s="1"/>
  <c r="CR436" i="1"/>
  <c r="AN362" i="1"/>
  <c r="AR362" i="1" s="1"/>
  <c r="BA376" i="1"/>
  <c r="AW362" i="1"/>
  <c r="BE339" i="1"/>
  <c r="AY328" i="1"/>
  <c r="BA328" i="1" s="1"/>
  <c r="CH329" i="1"/>
  <c r="CM329" i="1" s="1"/>
  <c r="CI328" i="1"/>
  <c r="CN328" i="1" s="1"/>
  <c r="CG308" i="1"/>
  <c r="CF308" i="1" s="1"/>
  <c r="CK308" i="1" s="1"/>
  <c r="BE303" i="1"/>
  <c r="AZ252" i="1"/>
  <c r="BE216" i="1"/>
  <c r="AZ196" i="1"/>
  <c r="AP179" i="1"/>
  <c r="AQ179" i="1" s="1"/>
  <c r="BD179" i="1" s="1"/>
  <c r="BE148" i="1"/>
  <c r="AN216" i="1"/>
  <c r="AR216" i="1" s="1"/>
  <c r="AX183" i="1"/>
  <c r="BD438" i="1"/>
  <c r="CR438" i="1" s="1"/>
  <c r="BB443" i="1"/>
  <c r="BF443" i="1" s="1"/>
  <c r="CP443" i="1" s="1"/>
  <c r="CQ443" i="1" s="1"/>
  <c r="AS443" i="1" s="1"/>
  <c r="AX251" i="1"/>
  <c r="AS239" i="1"/>
  <c r="CG167" i="1"/>
  <c r="CL167" i="1" s="1"/>
  <c r="CL138" i="1"/>
  <c r="CG104" i="1"/>
  <c r="CF104" i="1" s="1"/>
  <c r="CK104" i="1" s="1"/>
  <c r="CR131" i="1"/>
  <c r="CH128" i="1"/>
  <c r="CM128" i="1" s="1"/>
  <c r="CE104" i="1"/>
  <c r="CJ104" i="1" s="1"/>
  <c r="CO104" i="1" s="1"/>
  <c r="CE107" i="1"/>
  <c r="CJ107" i="1" s="1"/>
  <c r="CO107" i="1" s="1"/>
  <c r="CI120" i="1"/>
  <c r="CN120" i="1" s="1"/>
  <c r="AN251" i="1"/>
  <c r="BA150" i="1"/>
  <c r="BA257" i="1"/>
  <c r="AZ251" i="1"/>
  <c r="AZ235" i="1"/>
  <c r="AY251" i="1"/>
  <c r="BD221" i="1"/>
  <c r="BC277" i="1"/>
  <c r="AY179" i="1"/>
  <c r="BE147" i="1"/>
  <c r="BD149" i="1"/>
  <c r="CR149" i="1" s="1"/>
  <c r="CR173" i="1"/>
  <c r="AS273" i="1"/>
  <c r="CL107" i="1"/>
  <c r="BA123" i="1"/>
  <c r="BA273" i="1"/>
  <c r="AY214" i="1"/>
  <c r="CG158" i="1"/>
  <c r="CF158" i="1" s="1"/>
  <c r="CK158" i="1" s="1"/>
  <c r="AR252" i="1"/>
  <c r="AS252" i="1"/>
  <c r="BA320" i="1"/>
  <c r="BA232" i="1"/>
  <c r="AP202" i="1"/>
  <c r="AQ202" i="1" s="1"/>
  <c r="BE202" i="1" s="1"/>
  <c r="CI174" i="1"/>
  <c r="CN174" i="1" s="1"/>
  <c r="BE305" i="1"/>
  <c r="AN255" i="1"/>
  <c r="AR255" i="1" s="1"/>
  <c r="BD145" i="1"/>
  <c r="CR145" i="1" s="1"/>
  <c r="BD270" i="1"/>
  <c r="BC257" i="1"/>
  <c r="AY234" i="1"/>
  <c r="AX209" i="1"/>
  <c r="AW198" i="1"/>
  <c r="BA381" i="1"/>
  <c r="BA386" i="1"/>
  <c r="BA442" i="1"/>
  <c r="AX198" i="1"/>
  <c r="CF142" i="1"/>
  <c r="CK142" i="1" s="1"/>
  <c r="CE122" i="1"/>
  <c r="CJ122" i="1" s="1"/>
  <c r="CO122" i="1" s="1"/>
  <c r="CE118" i="1"/>
  <c r="CJ118" i="1" s="1"/>
  <c r="CO118" i="1" s="1"/>
  <c r="AP130" i="1"/>
  <c r="AQ130" i="1" s="1"/>
  <c r="BC130" i="1" s="1"/>
  <c r="AX126" i="1"/>
  <c r="BA126" i="1" s="1"/>
  <c r="AY358" i="1"/>
  <c r="BA220" i="1"/>
  <c r="AW202" i="1"/>
  <c r="AP255" i="1"/>
  <c r="AQ255" i="1" s="1"/>
  <c r="BC255" i="1" s="1"/>
  <c r="BA145" i="1"/>
  <c r="AS232" i="1"/>
  <c r="AX162" i="1"/>
  <c r="CL122" i="1"/>
  <c r="AN126" i="1"/>
  <c r="AR126" i="1" s="1"/>
  <c r="BB330" i="1"/>
  <c r="BE448" i="1"/>
  <c r="BA451" i="1"/>
  <c r="BA449" i="1"/>
  <c r="BA402" i="1"/>
  <c r="BA262" i="1"/>
  <c r="BA173" i="1"/>
  <c r="BE120" i="1"/>
  <c r="BE381" i="1"/>
  <c r="BE311" i="1"/>
  <c r="BA221" i="1"/>
  <c r="BA289" i="1"/>
  <c r="BA415" i="1"/>
  <c r="BA338" i="1"/>
  <c r="BA383" i="1"/>
  <c r="BA411" i="1"/>
  <c r="BA261" i="1"/>
  <c r="BE158" i="1"/>
  <c r="AY141" i="1"/>
  <c r="BA141" i="1" s="1"/>
  <c r="AR452" i="1"/>
  <c r="BE156" i="1"/>
  <c r="BC234" i="1"/>
  <c r="BD234" i="1"/>
  <c r="BC358" i="1"/>
  <c r="BD358" i="1"/>
  <c r="BE358" i="1"/>
  <c r="BE441" i="1"/>
  <c r="BB427" i="1"/>
  <c r="BA395" i="1"/>
  <c r="BB407" i="1"/>
  <c r="BB405" i="1"/>
  <c r="AP397" i="1"/>
  <c r="AQ397" i="1" s="1"/>
  <c r="BE397" i="1" s="1"/>
  <c r="CG395" i="1"/>
  <c r="CH395" i="1" s="1"/>
  <c r="CM395" i="1" s="1"/>
  <c r="CG402" i="1"/>
  <c r="CF402" i="1" s="1"/>
  <c r="CK402" i="1" s="1"/>
  <c r="AW358" i="1"/>
  <c r="BC388" i="1"/>
  <c r="CR388" i="1" s="1"/>
  <c r="BB349" i="1"/>
  <c r="CG338" i="1"/>
  <c r="CL338" i="1" s="1"/>
  <c r="BB373" i="1"/>
  <c r="BC337" i="1"/>
  <c r="CR337" i="1" s="1"/>
  <c r="AX358" i="1"/>
  <c r="AP317" i="1"/>
  <c r="AQ317" i="1" s="1"/>
  <c r="BB317" i="1" s="1"/>
  <c r="CG316" i="1"/>
  <c r="CH316" i="1" s="1"/>
  <c r="CM316" i="1" s="1"/>
  <c r="BB308" i="1"/>
  <c r="BA274" i="1"/>
  <c r="BB298" i="1"/>
  <c r="CG363" i="1"/>
  <c r="CF363" i="1" s="1"/>
  <c r="CK363" i="1" s="1"/>
  <c r="BA304" i="1"/>
  <c r="BA243" i="1"/>
  <c r="AW177" i="1"/>
  <c r="BB293" i="1"/>
  <c r="BA285" i="1"/>
  <c r="BB215" i="1"/>
  <c r="AP201" i="1"/>
  <c r="AQ201" i="1" s="1"/>
  <c r="BE201" i="1" s="1"/>
  <c r="CH290" i="1"/>
  <c r="CM290" i="1" s="1"/>
  <c r="AP250" i="1"/>
  <c r="AQ250" i="1" s="1"/>
  <c r="BC250" i="1" s="1"/>
  <c r="BB192" i="1"/>
  <c r="BB188" i="1"/>
  <c r="BB184" i="1"/>
  <c r="BD169" i="1"/>
  <c r="CR169" i="1" s="1"/>
  <c r="BE268" i="1"/>
  <c r="BC260" i="1"/>
  <c r="AW222" i="1"/>
  <c r="AY222" i="1"/>
  <c r="AX212" i="1"/>
  <c r="BA212" i="1" s="1"/>
  <c r="BD311" i="1"/>
  <c r="CR311" i="1" s="1"/>
  <c r="BD340" i="1"/>
  <c r="CR340" i="1" s="1"/>
  <c r="AN234" i="1"/>
  <c r="AR234" i="1" s="1"/>
  <c r="AZ234" i="1"/>
  <c r="AP209" i="1"/>
  <c r="AQ209" i="1" s="1"/>
  <c r="BB209" i="1" s="1"/>
  <c r="BE141" i="1"/>
  <c r="BB137" i="1"/>
  <c r="AS223" i="1"/>
  <c r="AX224" i="1"/>
  <c r="CI110" i="1"/>
  <c r="CN110" i="1" s="1"/>
  <c r="AP162" i="1"/>
  <c r="AQ162" i="1" s="1"/>
  <c r="BD162" i="1" s="1"/>
  <c r="AX142" i="1"/>
  <c r="BA142" i="1" s="1"/>
  <c r="CL117" i="1"/>
  <c r="BC268" i="1"/>
  <c r="CF162" i="1"/>
  <c r="CK162" i="1" s="1"/>
  <c r="CI115" i="1"/>
  <c r="CN115" i="1" s="1"/>
  <c r="CL110" i="1"/>
  <c r="BE429" i="1"/>
  <c r="BA417" i="1"/>
  <c r="BA422" i="1"/>
  <c r="BE410" i="1"/>
  <c r="AW397" i="1"/>
  <c r="AY397" i="1"/>
  <c r="BE384" i="1"/>
  <c r="BC381" i="1"/>
  <c r="CR381" i="1" s="1"/>
  <c r="CE338" i="1"/>
  <c r="CJ338" i="1" s="1"/>
  <c r="CO338" i="1" s="1"/>
  <c r="BA346" i="1"/>
  <c r="BE337" i="1"/>
  <c r="BB364" i="1"/>
  <c r="CF345" i="1"/>
  <c r="CK345" i="1" s="1"/>
  <c r="AW317" i="1"/>
  <c r="AY317" i="1"/>
  <c r="BE387" i="1"/>
  <c r="BA302" i="1"/>
  <c r="BA299" i="1"/>
  <c r="BA295" i="1"/>
  <c r="BA291" i="1"/>
  <c r="BA287" i="1"/>
  <c r="BA283" i="1"/>
  <c r="BA279" i="1"/>
  <c r="BC384" i="1"/>
  <c r="CR384" i="1" s="1"/>
  <c r="BB289" i="1"/>
  <c r="CL290" i="1"/>
  <c r="BE260" i="1"/>
  <c r="AW250" i="1"/>
  <c r="AY250" i="1"/>
  <c r="BB206" i="1"/>
  <c r="BD158" i="1"/>
  <c r="AN222" i="1"/>
  <c r="AR222" i="1" s="1"/>
  <c r="AZ222" i="1"/>
  <c r="AP212" i="1"/>
  <c r="AQ212" i="1" s="1"/>
  <c r="BB212" i="1" s="1"/>
  <c r="BB183" i="1"/>
  <c r="BD119" i="1"/>
  <c r="CR119" i="1" s="1"/>
  <c r="BD332" i="1"/>
  <c r="AX234" i="1"/>
  <c r="AW209" i="1"/>
  <c r="AY209" i="1"/>
  <c r="BB157" i="1"/>
  <c r="BA122" i="1"/>
  <c r="AX197" i="1"/>
  <c r="AW162" i="1"/>
  <c r="AY162" i="1"/>
  <c r="AP142" i="1"/>
  <c r="AQ142" i="1" s="1"/>
  <c r="BD142" i="1" s="1"/>
  <c r="CL118" i="1"/>
  <c r="CF117" i="1"/>
  <c r="CK117" i="1" s="1"/>
  <c r="CI118" i="1"/>
  <c r="CN118" i="1" s="1"/>
  <c r="CH142" i="1"/>
  <c r="CM142" i="1" s="1"/>
  <c r="CE117" i="1"/>
  <c r="CJ117" i="1" s="1"/>
  <c r="CE115" i="1"/>
  <c r="CJ115" i="1" s="1"/>
  <c r="BC108" i="1"/>
  <c r="CR108" i="1" s="1"/>
  <c r="CG139" i="1"/>
  <c r="CH139" i="1" s="1"/>
  <c r="CM139" i="1" s="1"/>
  <c r="BB415" i="1"/>
  <c r="CR435" i="1"/>
  <c r="BA406" i="1"/>
  <c r="BA403" i="1"/>
  <c r="BB406" i="1"/>
  <c r="AN397" i="1"/>
  <c r="AR397" i="1" s="1"/>
  <c r="CE354" i="1"/>
  <c r="CJ354" i="1" s="1"/>
  <c r="CO354" i="1" s="1"/>
  <c r="AN317" i="1"/>
  <c r="AR317" i="1" s="1"/>
  <c r="BA335" i="1"/>
  <c r="BB333" i="1"/>
  <c r="BA331" i="1"/>
  <c r="BB316" i="1"/>
  <c r="BA293" i="1"/>
  <c r="BB285" i="1"/>
  <c r="BA266" i="1"/>
  <c r="AN250" i="1"/>
  <c r="AR250" i="1" s="1"/>
  <c r="BA207" i="1"/>
  <c r="BA203" i="1"/>
  <c r="BE264" i="1"/>
  <c r="AW212" i="1"/>
  <c r="BD258" i="1"/>
  <c r="AN209" i="1"/>
  <c r="AR209" i="1" s="1"/>
  <c r="AS219" i="1"/>
  <c r="AS256" i="1"/>
  <c r="BA336" i="1"/>
  <c r="BA382" i="1"/>
  <c r="AN162" i="1"/>
  <c r="AR162" i="1" s="1"/>
  <c r="AW142" i="1"/>
  <c r="CF118" i="1"/>
  <c r="CK118" i="1" s="1"/>
  <c r="CL115" i="1"/>
  <c r="AW328" i="1"/>
  <c r="AN328" i="1"/>
  <c r="AR328" i="1" s="1"/>
  <c r="AW236" i="1"/>
  <c r="AP236" i="1"/>
  <c r="AQ236" i="1" s="1"/>
  <c r="BB236" i="1" s="1"/>
  <c r="AW217" i="1"/>
  <c r="AP217" i="1"/>
  <c r="AQ217" i="1" s="1"/>
  <c r="AN217" i="1"/>
  <c r="AR217" i="1" s="1"/>
  <c r="BA450" i="1"/>
  <c r="BE413" i="1"/>
  <c r="BE411" i="1"/>
  <c r="BE412" i="1"/>
  <c r="BA391" i="1"/>
  <c r="BA364" i="1"/>
  <c r="BA309" i="1"/>
  <c r="BA308" i="1"/>
  <c r="BE274" i="1"/>
  <c r="BA260" i="1"/>
  <c r="BA330" i="1"/>
  <c r="BD207" i="1"/>
  <c r="BD242" i="1"/>
  <c r="BD282" i="1"/>
  <c r="BD298" i="1"/>
  <c r="BD331" i="1"/>
  <c r="BE136" i="1"/>
  <c r="BE128" i="1"/>
  <c r="BA156" i="1"/>
  <c r="BE118" i="1"/>
  <c r="BE117" i="1"/>
  <c r="BE116" i="1"/>
  <c r="BE115" i="1"/>
  <c r="BE114" i="1"/>
  <c r="BE113" i="1"/>
  <c r="BE112" i="1"/>
  <c r="BE108" i="1"/>
  <c r="BE107" i="1"/>
  <c r="BE106" i="1"/>
  <c r="BE262" i="1"/>
  <c r="BE227" i="1"/>
  <c r="BE294" i="1"/>
  <c r="BE402" i="1"/>
  <c r="BA170" i="1"/>
  <c r="BA166" i="1"/>
  <c r="BB122" i="1"/>
  <c r="BB118" i="1"/>
  <c r="BB114" i="1"/>
  <c r="CI343" i="1"/>
  <c r="CN343" i="1" s="1"/>
  <c r="CG343" i="1"/>
  <c r="CE343" i="1"/>
  <c r="CJ343" i="1" s="1"/>
  <c r="CO343" i="1" s="1"/>
  <c r="CF434" i="1"/>
  <c r="CK434" i="1" s="1"/>
  <c r="CH434" i="1"/>
  <c r="CM434" i="1" s="1"/>
  <c r="CF431" i="1"/>
  <c r="CK431" i="1" s="1"/>
  <c r="CH431" i="1"/>
  <c r="CM431" i="1" s="1"/>
  <c r="CI373" i="1"/>
  <c r="CN373" i="1" s="1"/>
  <c r="CG373" i="1"/>
  <c r="CI342" i="1"/>
  <c r="CN342" i="1" s="1"/>
  <c r="CG342" i="1"/>
  <c r="CE342" i="1"/>
  <c r="CJ342" i="1" s="1"/>
  <c r="CO342" i="1" s="1"/>
  <c r="CI286" i="1"/>
  <c r="CN286" i="1" s="1"/>
  <c r="CG286" i="1"/>
  <c r="CI292" i="1"/>
  <c r="CN292" i="1" s="1"/>
  <c r="CG292" i="1"/>
  <c r="CI137" i="1"/>
  <c r="CN137" i="1" s="1"/>
  <c r="CG137" i="1"/>
  <c r="BA281" i="1"/>
  <c r="BA192" i="1"/>
  <c r="BA188" i="1"/>
  <c r="BA184" i="1"/>
  <c r="BA226" i="1"/>
  <c r="BD398" i="1"/>
  <c r="AS264" i="1"/>
  <c r="BE127" i="1"/>
  <c r="BF127" i="1" s="1"/>
  <c r="CP127" i="1" s="1"/>
  <c r="CQ127" i="1" s="1"/>
  <c r="AS127" i="1" s="1"/>
  <c r="BE293" i="1"/>
  <c r="BE243" i="1"/>
  <c r="BE345" i="1"/>
  <c r="CC455" i="1"/>
  <c r="CE344" i="1"/>
  <c r="CJ344" i="1" s="1"/>
  <c r="CO344" i="1" s="1"/>
  <c r="CI344" i="1"/>
  <c r="CN344" i="1" s="1"/>
  <c r="CG344" i="1"/>
  <c r="CI279" i="1"/>
  <c r="CN279" i="1" s="1"/>
  <c r="CG279" i="1"/>
  <c r="CI291" i="1"/>
  <c r="CN291" i="1" s="1"/>
  <c r="CG291" i="1"/>
  <c r="AY177" i="1"/>
  <c r="BA177" i="1" s="1"/>
  <c r="AP177" i="1"/>
  <c r="AQ177" i="1" s="1"/>
  <c r="BB177" i="1" s="1"/>
  <c r="CI156" i="1"/>
  <c r="CN156" i="1" s="1"/>
  <c r="CG156" i="1"/>
  <c r="BA446" i="1"/>
  <c r="BE421" i="1"/>
  <c r="BA398" i="1"/>
  <c r="CR305" i="1"/>
  <c r="BA294" i="1"/>
  <c r="BA290" i="1"/>
  <c r="BA286" i="1"/>
  <c r="BA282" i="1"/>
  <c r="BA278" i="1"/>
  <c r="BA271" i="1"/>
  <c r="BA269" i="1"/>
  <c r="BD223" i="1"/>
  <c r="BD226" i="1"/>
  <c r="BD316" i="1"/>
  <c r="BD335" i="1"/>
  <c r="BD364" i="1"/>
  <c r="BD406" i="1"/>
  <c r="AS272" i="1"/>
  <c r="BB138" i="1"/>
  <c r="BE279" i="1"/>
  <c r="BE263" i="1"/>
  <c r="BE435" i="1"/>
  <c r="BF435" i="1" s="1"/>
  <c r="CP435" i="1" s="1"/>
  <c r="CQ435" i="1" s="1"/>
  <c r="AS435" i="1" s="1"/>
  <c r="BE169" i="1"/>
  <c r="BA155" i="1"/>
  <c r="BB106" i="1"/>
  <c r="BE203" i="1"/>
  <c r="BB126" i="1"/>
  <c r="CI454" i="1"/>
  <c r="CN454" i="1" s="1"/>
  <c r="CG454" i="1"/>
  <c r="CF430" i="1"/>
  <c r="CK430" i="1" s="1"/>
  <c r="CH430" i="1"/>
  <c r="CM430" i="1" s="1"/>
  <c r="CI294" i="1"/>
  <c r="CN294" i="1" s="1"/>
  <c r="CG294" i="1"/>
  <c r="CI278" i="1"/>
  <c r="CN278" i="1" s="1"/>
  <c r="CG278" i="1"/>
  <c r="CI284" i="1"/>
  <c r="CN284" i="1" s="1"/>
  <c r="CG284" i="1"/>
  <c r="CI155" i="1"/>
  <c r="CN155" i="1" s="1"/>
  <c r="CG155" i="1"/>
  <c r="AW224" i="1"/>
  <c r="AY224" i="1"/>
  <c r="AP224" i="1"/>
  <c r="AQ224" i="1" s="1"/>
  <c r="BB224" i="1" s="1"/>
  <c r="AN224" i="1"/>
  <c r="AW201" i="1"/>
  <c r="AN201" i="1"/>
  <c r="AR201" i="1" s="1"/>
  <c r="AW197" i="1"/>
  <c r="AN197" i="1"/>
  <c r="AR197" i="1" s="1"/>
  <c r="BA242" i="1"/>
  <c r="BD274" i="1"/>
  <c r="BD269" i="1"/>
  <c r="BD278" i="1"/>
  <c r="AS271" i="1"/>
  <c r="BE215" i="1"/>
  <c r="BE271" i="1"/>
  <c r="BE427" i="1"/>
  <c r="CI398" i="1"/>
  <c r="CN398" i="1" s="1"/>
  <c r="CG398" i="1"/>
  <c r="CI374" i="1"/>
  <c r="CN374" i="1" s="1"/>
  <c r="CG374" i="1"/>
  <c r="CI287" i="1"/>
  <c r="CN287" i="1" s="1"/>
  <c r="CG287" i="1"/>
  <c r="CI283" i="1"/>
  <c r="CN283" i="1" s="1"/>
  <c r="CG283" i="1"/>
  <c r="AY351" i="1"/>
  <c r="AP351" i="1"/>
  <c r="AQ351" i="1" s="1"/>
  <c r="BE351" i="1" s="1"/>
  <c r="AW351" i="1"/>
  <c r="CI154" i="1"/>
  <c r="CN154" i="1" s="1"/>
  <c r="CG154" i="1"/>
  <c r="CI136" i="1"/>
  <c r="CN136" i="1" s="1"/>
  <c r="CG136" i="1"/>
  <c r="AW235" i="1"/>
  <c r="AN235" i="1"/>
  <c r="AW200" i="1"/>
  <c r="AP200" i="1"/>
  <c r="AQ200" i="1" s="1"/>
  <c r="BB200" i="1" s="1"/>
  <c r="AN200" i="1"/>
  <c r="AR200" i="1" s="1"/>
  <c r="AY200" i="1"/>
  <c r="BA200" i="1" s="1"/>
  <c r="AW196" i="1"/>
  <c r="AP196" i="1"/>
  <c r="AQ196" i="1" s="1"/>
  <c r="BB196" i="1" s="1"/>
  <c r="AN196" i="1"/>
  <c r="AR196" i="1" s="1"/>
  <c r="AY196" i="1"/>
  <c r="CI157" i="1"/>
  <c r="CN157" i="1" s="1"/>
  <c r="CG157" i="1"/>
  <c r="CF129" i="1"/>
  <c r="CK129" i="1" s="1"/>
  <c r="CH129" i="1"/>
  <c r="CM129" i="1" s="1"/>
  <c r="CL129" i="1"/>
  <c r="AX327" i="1"/>
  <c r="AN327" i="1"/>
  <c r="AR327" i="1" s="1"/>
  <c r="AW327" i="1"/>
  <c r="AZ327" i="1"/>
  <c r="AP327" i="1"/>
  <c r="AQ327" i="1" s="1"/>
  <c r="AY327" i="1"/>
  <c r="BC451" i="1"/>
  <c r="BC449" i="1"/>
  <c r="CG442" i="1"/>
  <c r="CI442" i="1"/>
  <c r="CN442" i="1" s="1"/>
  <c r="CE442" i="1"/>
  <c r="CJ442" i="1" s="1"/>
  <c r="CO442" i="1" s="1"/>
  <c r="CG440" i="1"/>
  <c r="CE440" i="1"/>
  <c r="CJ440" i="1" s="1"/>
  <c r="CO440" i="1" s="1"/>
  <c r="CI440" i="1"/>
  <c r="CN440" i="1" s="1"/>
  <c r="BC414" i="1"/>
  <c r="CI444" i="1"/>
  <c r="CN444" i="1" s="1"/>
  <c r="CE444" i="1"/>
  <c r="CJ444" i="1" s="1"/>
  <c r="CO444" i="1" s="1"/>
  <c r="CG444" i="1"/>
  <c r="CI426" i="1"/>
  <c r="CN426" i="1" s="1"/>
  <c r="CE426" i="1"/>
  <c r="CJ426" i="1" s="1"/>
  <c r="CG426" i="1"/>
  <c r="BE414" i="1"/>
  <c r="BC409" i="1"/>
  <c r="BC403" i="1"/>
  <c r="BC390" i="1"/>
  <c r="CG372" i="1"/>
  <c r="CI372" i="1"/>
  <c r="CN372" i="1" s="1"/>
  <c r="CE372" i="1"/>
  <c r="CJ372" i="1" s="1"/>
  <c r="CO372" i="1" s="1"/>
  <c r="CG375" i="1"/>
  <c r="CI375" i="1"/>
  <c r="CN375" i="1" s="1"/>
  <c r="CE375" i="1"/>
  <c r="CJ375" i="1" s="1"/>
  <c r="CO375" i="1" s="1"/>
  <c r="CI360" i="1"/>
  <c r="CN360" i="1" s="1"/>
  <c r="CE360" i="1"/>
  <c r="CJ360" i="1" s="1"/>
  <c r="CO360" i="1" s="1"/>
  <c r="CG360" i="1"/>
  <c r="CG358" i="1"/>
  <c r="CI358" i="1"/>
  <c r="CN358" i="1" s="1"/>
  <c r="CE358" i="1"/>
  <c r="CJ358" i="1" s="1"/>
  <c r="CO358" i="1" s="1"/>
  <c r="CL339" i="1"/>
  <c r="CH339" i="1"/>
  <c r="CM339" i="1" s="1"/>
  <c r="CF339" i="1"/>
  <c r="CK339" i="1" s="1"/>
  <c r="AW368" i="1"/>
  <c r="AZ368" i="1"/>
  <c r="AY368" i="1"/>
  <c r="AP368" i="1"/>
  <c r="AQ368" i="1" s="1"/>
  <c r="AN368" i="1"/>
  <c r="AR368" i="1" s="1"/>
  <c r="AX368" i="1"/>
  <c r="CF385" i="1"/>
  <c r="CK385" i="1" s="1"/>
  <c r="CL385" i="1"/>
  <c r="CH385" i="1"/>
  <c r="CM385" i="1" s="1"/>
  <c r="CG368" i="1"/>
  <c r="CI368" i="1"/>
  <c r="CN368" i="1" s="1"/>
  <c r="CE368" i="1"/>
  <c r="CJ368" i="1" s="1"/>
  <c r="CO368" i="1" s="1"/>
  <c r="CG327" i="1"/>
  <c r="CI327" i="1"/>
  <c r="CN327" i="1" s="1"/>
  <c r="CE327" i="1"/>
  <c r="CJ327" i="1" s="1"/>
  <c r="CO327" i="1" s="1"/>
  <c r="CG312" i="1"/>
  <c r="CE312" i="1"/>
  <c r="CJ312" i="1" s="1"/>
  <c r="CO312" i="1" s="1"/>
  <c r="CI312" i="1"/>
  <c r="CN312" i="1" s="1"/>
  <c r="CG310" i="1"/>
  <c r="CE310" i="1"/>
  <c r="CJ310" i="1" s="1"/>
  <c r="CO310" i="1" s="1"/>
  <c r="CI310" i="1"/>
  <c r="CN310" i="1" s="1"/>
  <c r="BC297" i="1"/>
  <c r="CI304" i="1"/>
  <c r="CN304" i="1" s="1"/>
  <c r="CE304" i="1"/>
  <c r="CJ304" i="1" s="1"/>
  <c r="CO304" i="1" s="1"/>
  <c r="CG304" i="1"/>
  <c r="CI188" i="1"/>
  <c r="CN188" i="1" s="1"/>
  <c r="CE188" i="1"/>
  <c r="CJ188" i="1" s="1"/>
  <c r="CO188" i="1" s="1"/>
  <c r="CG188" i="1"/>
  <c r="AY195" i="1"/>
  <c r="AP195" i="1"/>
  <c r="AQ195" i="1" s="1"/>
  <c r="AX195" i="1"/>
  <c r="AN195" i="1"/>
  <c r="AR195" i="1" s="1"/>
  <c r="AW195" i="1"/>
  <c r="AZ195" i="1"/>
  <c r="BC190" i="1"/>
  <c r="BE190" i="1"/>
  <c r="CL199" i="1"/>
  <c r="CH199" i="1"/>
  <c r="CM199" i="1" s="1"/>
  <c r="CF199" i="1"/>
  <c r="CK199" i="1" s="1"/>
  <c r="CI108" i="1"/>
  <c r="CN108" i="1" s="1"/>
  <c r="CE108" i="1"/>
  <c r="CJ108" i="1" s="1"/>
  <c r="CO108" i="1" s="1"/>
  <c r="CG108" i="1"/>
  <c r="AS226" i="1"/>
  <c r="BB108" i="1"/>
  <c r="CE119" i="1"/>
  <c r="CJ119" i="1" s="1"/>
  <c r="CO119" i="1" s="1"/>
  <c r="CI119" i="1"/>
  <c r="CN119" i="1" s="1"/>
  <c r="CG119" i="1"/>
  <c r="AY163" i="1"/>
  <c r="AP163" i="1"/>
  <c r="AQ163" i="1" s="1"/>
  <c r="AX163" i="1"/>
  <c r="AN163" i="1"/>
  <c r="AR163" i="1" s="1"/>
  <c r="AW163" i="1"/>
  <c r="AZ163" i="1"/>
  <c r="BB220" i="1"/>
  <c r="BB271" i="1"/>
  <c r="BB148" i="1"/>
  <c r="BB211" i="1"/>
  <c r="BB187" i="1"/>
  <c r="BB198" i="1"/>
  <c r="BB221" i="1"/>
  <c r="BB269" i="1"/>
  <c r="BB240" i="1"/>
  <c r="BB280" i="1"/>
  <c r="BB288" i="1"/>
  <c r="BB296" i="1"/>
  <c r="BB272" i="1"/>
  <c r="BF272" i="1" s="1"/>
  <c r="BB306" i="1"/>
  <c r="BB378" i="1"/>
  <c r="BF378" i="1" s="1"/>
  <c r="CP378" i="1" s="1"/>
  <c r="CQ378" i="1" s="1"/>
  <c r="AS378" i="1" s="1"/>
  <c r="BB386" i="1"/>
  <c r="BF386" i="1" s="1"/>
  <c r="BB360" i="1"/>
  <c r="BB344" i="1"/>
  <c r="BB348" i="1"/>
  <c r="BB385" i="1"/>
  <c r="BB404" i="1"/>
  <c r="BB421" i="1"/>
  <c r="BB420" i="1"/>
  <c r="BF418" i="1"/>
  <c r="CP418" i="1" s="1"/>
  <c r="CQ418" i="1" s="1"/>
  <c r="AS418" i="1" s="1"/>
  <c r="BB429" i="1"/>
  <c r="BB437" i="1"/>
  <c r="BB440" i="1"/>
  <c r="BB444" i="1"/>
  <c r="BF444" i="1" s="1"/>
  <c r="BB447" i="1"/>
  <c r="BB451" i="1"/>
  <c r="BC166" i="1"/>
  <c r="CR166" i="1" s="1"/>
  <c r="CF141" i="1"/>
  <c r="CK141" i="1" s="1"/>
  <c r="CL141" i="1"/>
  <c r="CH141" i="1"/>
  <c r="CM141" i="1" s="1"/>
  <c r="BD128" i="1"/>
  <c r="BC128" i="1"/>
  <c r="BE126" i="1"/>
  <c r="AX393" i="1"/>
  <c r="AN393" i="1"/>
  <c r="AR393" i="1" s="1"/>
  <c r="AW393" i="1"/>
  <c r="AY393" i="1"/>
  <c r="AP393" i="1"/>
  <c r="AQ393" i="1" s="1"/>
  <c r="AZ393" i="1"/>
  <c r="BC448" i="1"/>
  <c r="CR448" i="1" s="1"/>
  <c r="CG448" i="1"/>
  <c r="CI448" i="1"/>
  <c r="CN448" i="1" s="1"/>
  <c r="CE448" i="1"/>
  <c r="CJ448" i="1" s="1"/>
  <c r="CO448" i="1" s="1"/>
  <c r="CG446" i="1"/>
  <c r="CI446" i="1"/>
  <c r="CN446" i="1" s="1"/>
  <c r="CE446" i="1"/>
  <c r="CJ446" i="1" s="1"/>
  <c r="CO446" i="1" s="1"/>
  <c r="CG452" i="1"/>
  <c r="CI452" i="1"/>
  <c r="CN452" i="1" s="1"/>
  <c r="CE452" i="1"/>
  <c r="CJ452" i="1" s="1"/>
  <c r="CO452" i="1" s="1"/>
  <c r="BA445" i="1"/>
  <c r="BE451" i="1"/>
  <c r="BC417" i="1"/>
  <c r="BC413" i="1"/>
  <c r="CR413" i="1" s="1"/>
  <c r="BC429" i="1"/>
  <c r="CR429" i="1" s="1"/>
  <c r="BC422" i="1"/>
  <c r="CI419" i="1"/>
  <c r="CN419" i="1" s="1"/>
  <c r="CE419" i="1"/>
  <c r="CJ419" i="1" s="1"/>
  <c r="CO419" i="1" s="1"/>
  <c r="CG419" i="1"/>
  <c r="BE415" i="1"/>
  <c r="CI413" i="1"/>
  <c r="CN413" i="1" s="1"/>
  <c r="CE413" i="1"/>
  <c r="CJ413" i="1" s="1"/>
  <c r="CO413" i="1" s="1"/>
  <c r="CG413" i="1"/>
  <c r="CI411" i="1"/>
  <c r="CN411" i="1" s="1"/>
  <c r="CE411" i="1"/>
  <c r="CJ411" i="1" s="1"/>
  <c r="CO411" i="1" s="1"/>
  <c r="CG411" i="1"/>
  <c r="BA407" i="1"/>
  <c r="BA405" i="1"/>
  <c r="BA401" i="1"/>
  <c r="CF433" i="1"/>
  <c r="CK433" i="1" s="1"/>
  <c r="CH433" i="1"/>
  <c r="CM433" i="1" s="1"/>
  <c r="CL433" i="1"/>
  <c r="CI414" i="1"/>
  <c r="CN414" i="1" s="1"/>
  <c r="CE414" i="1"/>
  <c r="CJ414" i="1" s="1"/>
  <c r="CO414" i="1" s="1"/>
  <c r="CG414" i="1"/>
  <c r="BA392" i="1"/>
  <c r="CF396" i="1"/>
  <c r="CK396" i="1" s="1"/>
  <c r="CG394" i="1"/>
  <c r="CE394" i="1"/>
  <c r="CJ394" i="1" s="1"/>
  <c r="CO394" i="1" s="1"/>
  <c r="CI394" i="1"/>
  <c r="CN394" i="1" s="1"/>
  <c r="CI418" i="1"/>
  <c r="CN418" i="1" s="1"/>
  <c r="CE418" i="1"/>
  <c r="CJ418" i="1" s="1"/>
  <c r="CG418" i="1"/>
  <c r="CF399" i="1"/>
  <c r="CK399" i="1" s="1"/>
  <c r="CL392" i="1"/>
  <c r="CH392" i="1"/>
  <c r="CM392" i="1" s="1"/>
  <c r="CF392" i="1"/>
  <c r="CK392" i="1" s="1"/>
  <c r="CF388" i="1"/>
  <c r="CK388" i="1" s="1"/>
  <c r="CL388" i="1"/>
  <c r="CH388" i="1"/>
  <c r="CM388" i="1" s="1"/>
  <c r="CR383" i="1"/>
  <c r="AW359" i="1"/>
  <c r="AZ359" i="1"/>
  <c r="AY359" i="1"/>
  <c r="AP359" i="1"/>
  <c r="AQ359" i="1" s="1"/>
  <c r="AX359" i="1"/>
  <c r="AN359" i="1"/>
  <c r="AR359" i="1" s="1"/>
  <c r="CF387" i="1"/>
  <c r="CK387" i="1" s="1"/>
  <c r="CH387" i="1"/>
  <c r="CM387" i="1" s="1"/>
  <c r="CL387" i="1"/>
  <c r="CG371" i="1"/>
  <c r="CE371" i="1"/>
  <c r="CJ371" i="1" s="1"/>
  <c r="CO371" i="1" s="1"/>
  <c r="CI371" i="1"/>
  <c r="CN371" i="1" s="1"/>
  <c r="CR395" i="1"/>
  <c r="CI364" i="1"/>
  <c r="CN364" i="1" s="1"/>
  <c r="CE364" i="1"/>
  <c r="CJ364" i="1" s="1"/>
  <c r="CO364" i="1" s="1"/>
  <c r="CG364" i="1"/>
  <c r="CF409" i="1"/>
  <c r="CK409" i="1" s="1"/>
  <c r="CL409" i="1"/>
  <c r="CH409" i="1"/>
  <c r="CM409" i="1" s="1"/>
  <c r="CR376" i="1"/>
  <c r="AY370" i="1"/>
  <c r="AZ370" i="1"/>
  <c r="AP370" i="1"/>
  <c r="AQ370" i="1" s="1"/>
  <c r="AX370" i="1"/>
  <c r="AN370" i="1"/>
  <c r="AR370" i="1" s="1"/>
  <c r="AW370" i="1"/>
  <c r="AY357" i="1"/>
  <c r="AP357" i="1"/>
  <c r="AQ357" i="1" s="1"/>
  <c r="AX357" i="1"/>
  <c r="AN357" i="1"/>
  <c r="AR357" i="1" s="1"/>
  <c r="AW357" i="1"/>
  <c r="AZ357" i="1"/>
  <c r="BC356" i="1"/>
  <c r="BC347" i="1"/>
  <c r="CR347" i="1" s="1"/>
  <c r="AX323" i="1"/>
  <c r="AN323" i="1"/>
  <c r="AR323" i="1" s="1"/>
  <c r="AW323" i="1"/>
  <c r="AZ323" i="1"/>
  <c r="AP323" i="1"/>
  <c r="AQ323" i="1" s="1"/>
  <c r="AY323" i="1"/>
  <c r="CH349" i="1"/>
  <c r="CM349" i="1" s="1"/>
  <c r="CF349" i="1"/>
  <c r="CK349" i="1" s="1"/>
  <c r="CL349" i="1"/>
  <c r="BA347" i="1"/>
  <c r="CI335" i="1"/>
  <c r="CN335" i="1" s="1"/>
  <c r="CE335" i="1"/>
  <c r="CJ335" i="1" s="1"/>
  <c r="CO335" i="1" s="1"/>
  <c r="CG335" i="1"/>
  <c r="CI331" i="1"/>
  <c r="CN331" i="1" s="1"/>
  <c r="CE331" i="1"/>
  <c r="CJ331" i="1" s="1"/>
  <c r="CO331" i="1" s="1"/>
  <c r="CG331" i="1"/>
  <c r="CG350" i="1"/>
  <c r="CE350" i="1"/>
  <c r="CJ350" i="1" s="1"/>
  <c r="CO350" i="1" s="1"/>
  <c r="CI350" i="1"/>
  <c r="CN350" i="1" s="1"/>
  <c r="BA360" i="1"/>
  <c r="BC341" i="1"/>
  <c r="BA329" i="1"/>
  <c r="CL326" i="1"/>
  <c r="CH326" i="1"/>
  <c r="CM326" i="1" s="1"/>
  <c r="CF326" i="1"/>
  <c r="CK326" i="1" s="1"/>
  <c r="BA325" i="1"/>
  <c r="AY354" i="1"/>
  <c r="AP354" i="1"/>
  <c r="AQ354" i="1" s="1"/>
  <c r="AX354" i="1"/>
  <c r="AN354" i="1"/>
  <c r="AR354" i="1" s="1"/>
  <c r="AW354" i="1"/>
  <c r="AZ354" i="1"/>
  <c r="CF324" i="1"/>
  <c r="CK324" i="1" s="1"/>
  <c r="CL324" i="1"/>
  <c r="CH324" i="1"/>
  <c r="CM324" i="1" s="1"/>
  <c r="CI299" i="1"/>
  <c r="CN299" i="1" s="1"/>
  <c r="CE299" i="1"/>
  <c r="CJ299" i="1" s="1"/>
  <c r="CO299" i="1" s="1"/>
  <c r="CG299" i="1"/>
  <c r="CI295" i="1"/>
  <c r="CN295" i="1" s="1"/>
  <c r="CE295" i="1"/>
  <c r="CJ295" i="1" s="1"/>
  <c r="CO295" i="1" s="1"/>
  <c r="CG295" i="1"/>
  <c r="BC348" i="1"/>
  <c r="BA307" i="1"/>
  <c r="AY301" i="1"/>
  <c r="AP301" i="1"/>
  <c r="AQ301" i="1" s="1"/>
  <c r="AX301" i="1"/>
  <c r="AN301" i="1"/>
  <c r="AR301" i="1" s="1"/>
  <c r="AW301" i="1"/>
  <c r="AZ301" i="1"/>
  <c r="BC300" i="1"/>
  <c r="BA298" i="1"/>
  <c r="BC296" i="1"/>
  <c r="AY361" i="1"/>
  <c r="AP361" i="1"/>
  <c r="AQ361" i="1" s="1"/>
  <c r="AX361" i="1"/>
  <c r="AN361" i="1"/>
  <c r="AR361" i="1" s="1"/>
  <c r="AW361" i="1"/>
  <c r="AZ361" i="1"/>
  <c r="CI307" i="1"/>
  <c r="CN307" i="1" s="1"/>
  <c r="CE307" i="1"/>
  <c r="CJ307" i="1" s="1"/>
  <c r="CO307" i="1" s="1"/>
  <c r="CG307" i="1"/>
  <c r="CL301" i="1"/>
  <c r="CH301" i="1"/>
  <c r="CM301" i="1" s="1"/>
  <c r="CF301" i="1"/>
  <c r="CK301" i="1" s="1"/>
  <c r="CL347" i="1"/>
  <c r="CH347" i="1"/>
  <c r="CM347" i="1" s="1"/>
  <c r="CF347" i="1"/>
  <c r="CK347" i="1" s="1"/>
  <c r="BA259" i="1"/>
  <c r="BA244" i="1"/>
  <c r="BA228" i="1"/>
  <c r="CI207" i="1"/>
  <c r="CN207" i="1" s="1"/>
  <c r="CE207" i="1"/>
  <c r="CJ207" i="1" s="1"/>
  <c r="CO207" i="1" s="1"/>
  <c r="CG207" i="1"/>
  <c r="CI203" i="1"/>
  <c r="CN203" i="1" s="1"/>
  <c r="CE203" i="1"/>
  <c r="CJ203" i="1" s="1"/>
  <c r="CO203" i="1" s="1"/>
  <c r="CG203" i="1"/>
  <c r="CI191" i="1"/>
  <c r="CN191" i="1" s="1"/>
  <c r="CE191" i="1"/>
  <c r="CJ191" i="1" s="1"/>
  <c r="CO191" i="1" s="1"/>
  <c r="CG191" i="1"/>
  <c r="CI187" i="1"/>
  <c r="CN187" i="1" s="1"/>
  <c r="CE187" i="1"/>
  <c r="CJ187" i="1" s="1"/>
  <c r="CO187" i="1" s="1"/>
  <c r="CG187" i="1"/>
  <c r="BC334" i="1"/>
  <c r="BA288" i="1"/>
  <c r="BA206" i="1"/>
  <c r="BC204" i="1"/>
  <c r="BC193" i="1"/>
  <c r="CR193" i="1" s="1"/>
  <c r="BE193" i="1"/>
  <c r="BA191" i="1"/>
  <c r="BC189" i="1"/>
  <c r="CR189" i="1" s="1"/>
  <c r="BE189" i="1"/>
  <c r="BA187" i="1"/>
  <c r="BC185" i="1"/>
  <c r="CR185" i="1" s="1"/>
  <c r="BE185" i="1"/>
  <c r="AY213" i="1"/>
  <c r="AP213" i="1"/>
  <c r="AQ213" i="1" s="1"/>
  <c r="AX213" i="1"/>
  <c r="AN213" i="1"/>
  <c r="AR213" i="1" s="1"/>
  <c r="AW213" i="1"/>
  <c r="AZ213" i="1"/>
  <c r="CL195" i="1"/>
  <c r="CH195" i="1"/>
  <c r="CM195" i="1" s="1"/>
  <c r="CF195" i="1"/>
  <c r="CK195" i="1" s="1"/>
  <c r="CF172" i="1"/>
  <c r="CK172" i="1" s="1"/>
  <c r="CL172" i="1"/>
  <c r="CH172" i="1"/>
  <c r="CM172" i="1" s="1"/>
  <c r="AX168" i="1"/>
  <c r="AN168" i="1"/>
  <c r="AR168" i="1" s="1"/>
  <c r="AW168" i="1"/>
  <c r="AZ168" i="1"/>
  <c r="AY168" i="1"/>
  <c r="AP168" i="1"/>
  <c r="AQ168" i="1" s="1"/>
  <c r="CR307" i="1"/>
  <c r="BC280" i="1"/>
  <c r="CG214" i="1"/>
  <c r="CI214" i="1"/>
  <c r="CN214" i="1" s="1"/>
  <c r="CE214" i="1"/>
  <c r="CJ214" i="1" s="1"/>
  <c r="CO214" i="1" s="1"/>
  <c r="CG181" i="1"/>
  <c r="CI181" i="1"/>
  <c r="CN181" i="1" s="1"/>
  <c r="CE181" i="1"/>
  <c r="CJ181" i="1" s="1"/>
  <c r="CO181" i="1" s="1"/>
  <c r="BD276" i="1"/>
  <c r="BD215" i="1"/>
  <c r="BD227" i="1"/>
  <c r="BD243" i="1"/>
  <c r="BD256" i="1"/>
  <c r="BD190" i="1"/>
  <c r="BD204" i="1"/>
  <c r="BD230" i="1"/>
  <c r="BD246" i="1"/>
  <c r="BD349" i="1"/>
  <c r="BD263" i="1"/>
  <c r="BD271" i="1"/>
  <c r="BD308" i="1"/>
  <c r="BD287" i="1"/>
  <c r="BD291" i="1"/>
  <c r="BD295" i="1"/>
  <c r="BD325" i="1"/>
  <c r="BD348" i="1"/>
  <c r="BD369" i="1"/>
  <c r="BD414" i="1"/>
  <c r="BD390" i="1"/>
  <c r="BD417" i="1"/>
  <c r="BD403" i="1"/>
  <c r="BD407" i="1"/>
  <c r="BD415" i="1"/>
  <c r="BD427" i="1"/>
  <c r="BD451" i="1"/>
  <c r="BA332" i="1"/>
  <c r="AY241" i="1"/>
  <c r="AP241" i="1"/>
  <c r="AQ241" i="1" s="1"/>
  <c r="AX241" i="1"/>
  <c r="AN241" i="1"/>
  <c r="AW241" i="1"/>
  <c r="AZ241" i="1"/>
  <c r="AY225" i="1"/>
  <c r="AP225" i="1"/>
  <c r="AQ225" i="1" s="1"/>
  <c r="AX225" i="1"/>
  <c r="AN225" i="1"/>
  <c r="AW225" i="1"/>
  <c r="AZ225" i="1"/>
  <c r="CF211" i="1"/>
  <c r="CK211" i="1" s="1"/>
  <c r="CL211" i="1"/>
  <c r="CH211" i="1"/>
  <c r="CM211" i="1" s="1"/>
  <c r="BC209" i="1"/>
  <c r="BE166" i="1"/>
  <c r="BC135" i="1"/>
  <c r="BD135" i="1"/>
  <c r="CF132" i="1"/>
  <c r="CK132" i="1" s="1"/>
  <c r="CL132" i="1"/>
  <c r="CH132" i="1"/>
  <c r="CM132" i="1" s="1"/>
  <c r="BB123" i="1"/>
  <c r="BB119" i="1"/>
  <c r="BB109" i="1"/>
  <c r="AS261" i="1"/>
  <c r="AS246" i="1"/>
  <c r="AS258" i="1"/>
  <c r="AS266" i="1"/>
  <c r="AS274" i="1"/>
  <c r="BE204" i="1"/>
  <c r="AY171" i="1"/>
  <c r="AP171" i="1"/>
  <c r="AQ171" i="1" s="1"/>
  <c r="AX171" i="1"/>
  <c r="AN171" i="1"/>
  <c r="AR171" i="1" s="1"/>
  <c r="AW171" i="1"/>
  <c r="AZ171" i="1"/>
  <c r="BE165" i="1"/>
  <c r="BE155" i="1"/>
  <c r="BA136" i="1"/>
  <c r="CI126" i="1"/>
  <c r="CN126" i="1" s="1"/>
  <c r="CG126" i="1"/>
  <c r="CE126" i="1"/>
  <c r="CJ126" i="1" s="1"/>
  <c r="CO126" i="1" s="1"/>
  <c r="BE134" i="1"/>
  <c r="BE230" i="1"/>
  <c r="BE234" i="1"/>
  <c r="BE131" i="1"/>
  <c r="BF131" i="1" s="1"/>
  <c r="CP131" i="1" s="1"/>
  <c r="CQ131" i="1" s="1"/>
  <c r="AS131" i="1" s="1"/>
  <c r="BE281" i="1"/>
  <c r="BE218" i="1"/>
  <c r="BE231" i="1"/>
  <c r="BE247" i="1"/>
  <c r="BE265" i="1"/>
  <c r="BE316" i="1"/>
  <c r="BE341" i="1"/>
  <c r="BE308" i="1"/>
  <c r="BE390" i="1"/>
  <c r="BE342" i="1"/>
  <c r="BE373" i="1"/>
  <c r="BE398" i="1"/>
  <c r="BE395" i="1"/>
  <c r="BE403" i="1"/>
  <c r="BC158" i="1"/>
  <c r="BC154" i="1"/>
  <c r="CR154" i="1" s="1"/>
  <c r="CL130" i="1"/>
  <c r="CH130" i="1"/>
  <c r="CM130" i="1" s="1"/>
  <c r="CF130" i="1"/>
  <c r="CK130" i="1" s="1"/>
  <c r="CH127" i="1"/>
  <c r="CM127" i="1" s="1"/>
  <c r="CF127" i="1"/>
  <c r="CK127" i="1" s="1"/>
  <c r="CL127" i="1"/>
  <c r="BB227" i="1"/>
  <c r="BB105" i="1"/>
  <c r="BF105" i="1" s="1"/>
  <c r="CP105" i="1" s="1"/>
  <c r="CQ105" i="1" s="1"/>
  <c r="AS105" i="1" s="1"/>
  <c r="BB128" i="1"/>
  <c r="BB154" i="1"/>
  <c r="BB158" i="1"/>
  <c r="BB231" i="1"/>
  <c r="BB145" i="1"/>
  <c r="BB149" i="1"/>
  <c r="BB238" i="1"/>
  <c r="BB256" i="1"/>
  <c r="BB261" i="1"/>
  <c r="BB273" i="1"/>
  <c r="BB228" i="1"/>
  <c r="BF228" i="1" s="1"/>
  <c r="BB244" i="1"/>
  <c r="BB297" i="1"/>
  <c r="BB258" i="1"/>
  <c r="BB266" i="1"/>
  <c r="BF266" i="1" s="1"/>
  <c r="BB274" i="1"/>
  <c r="BB303" i="1"/>
  <c r="BB307" i="1"/>
  <c r="BF307" i="1" s="1"/>
  <c r="BB334" i="1"/>
  <c r="BB338" i="1"/>
  <c r="BF338" i="1" s="1"/>
  <c r="BB310" i="1"/>
  <c r="BF310" i="1" s="1"/>
  <c r="BB314" i="1"/>
  <c r="BB350" i="1"/>
  <c r="BB383" i="1"/>
  <c r="BF383" i="1" s="1"/>
  <c r="BB380" i="1"/>
  <c r="BB341" i="1"/>
  <c r="BB345" i="1"/>
  <c r="BB396" i="1"/>
  <c r="BB376" i="1"/>
  <c r="BF376" i="1" s="1"/>
  <c r="BB392" i="1"/>
  <c r="BB424" i="1"/>
  <c r="BB426" i="1"/>
  <c r="BF426" i="1" s="1"/>
  <c r="CP426" i="1" s="1"/>
  <c r="CQ426" i="1" s="1"/>
  <c r="AS426" i="1" s="1"/>
  <c r="BB431" i="1"/>
  <c r="BB453" i="1"/>
  <c r="BB441" i="1"/>
  <c r="BB452" i="1"/>
  <c r="BF452" i="1" s="1"/>
  <c r="CP452" i="1" s="1"/>
  <c r="CQ452" i="1" s="1"/>
  <c r="AS452" i="1" s="1"/>
  <c r="BB448" i="1"/>
  <c r="CF161" i="1"/>
  <c r="CK161" i="1" s="1"/>
  <c r="CL161" i="1"/>
  <c r="CH161" i="1"/>
  <c r="CM161" i="1" s="1"/>
  <c r="BE154" i="1"/>
  <c r="AY139" i="1"/>
  <c r="AP139" i="1"/>
  <c r="AQ139" i="1" s="1"/>
  <c r="AX139" i="1"/>
  <c r="AN139" i="1"/>
  <c r="AR139" i="1" s="1"/>
  <c r="AW139" i="1"/>
  <c r="AZ139" i="1"/>
  <c r="BE129" i="1"/>
  <c r="BF129" i="1" s="1"/>
  <c r="CP129" i="1" s="1"/>
  <c r="CQ129" i="1" s="1"/>
  <c r="AS129" i="1" s="1"/>
  <c r="BE123" i="1"/>
  <c r="BE119" i="1"/>
  <c r="BD117" i="1"/>
  <c r="BC117" i="1"/>
  <c r="BD113" i="1"/>
  <c r="BC113" i="1"/>
  <c r="AU455" i="1"/>
  <c r="CF165" i="1"/>
  <c r="CK165" i="1" s="1"/>
  <c r="CL165" i="1"/>
  <c r="CH165" i="1"/>
  <c r="CM165" i="1" s="1"/>
  <c r="CG160" i="1"/>
  <c r="CI160" i="1"/>
  <c r="CN160" i="1" s="1"/>
  <c r="CE160" i="1"/>
  <c r="CJ160" i="1" s="1"/>
  <c r="CO160" i="1" s="1"/>
  <c r="BA153" i="1"/>
  <c r="CG140" i="1"/>
  <c r="CI140" i="1"/>
  <c r="CN140" i="1" s="1"/>
  <c r="CE140" i="1"/>
  <c r="CJ140" i="1" s="1"/>
  <c r="CO140" i="1" s="1"/>
  <c r="CF103" i="1"/>
  <c r="CK103" i="1" s="1"/>
  <c r="CH103" i="1"/>
  <c r="CM103" i="1" s="1"/>
  <c r="CL103" i="1"/>
  <c r="AW400" i="1"/>
  <c r="AZ400" i="1"/>
  <c r="AY400" i="1"/>
  <c r="AP400" i="1"/>
  <c r="AQ400" i="1" s="1"/>
  <c r="AN400" i="1"/>
  <c r="AR400" i="1" s="1"/>
  <c r="AX400" i="1"/>
  <c r="AW377" i="1"/>
  <c r="AZ377" i="1"/>
  <c r="AY377" i="1"/>
  <c r="AP377" i="1"/>
  <c r="AQ377" i="1" s="1"/>
  <c r="AN377" i="1"/>
  <c r="AR377" i="1" s="1"/>
  <c r="AX377" i="1"/>
  <c r="AW315" i="1"/>
  <c r="AZ315" i="1"/>
  <c r="AX315" i="1"/>
  <c r="AN315" i="1"/>
  <c r="AR315" i="1" s="1"/>
  <c r="AP315" i="1"/>
  <c r="AQ315" i="1" s="1"/>
  <c r="AY315" i="1"/>
  <c r="BC446" i="1"/>
  <c r="CR446" i="1" s="1"/>
  <c r="BE446" i="1"/>
  <c r="CI420" i="1"/>
  <c r="CN420" i="1" s="1"/>
  <c r="CE420" i="1"/>
  <c r="CJ420" i="1" s="1"/>
  <c r="CG420" i="1"/>
  <c r="CF424" i="1"/>
  <c r="CK424" i="1" s="1"/>
  <c r="CL424" i="1"/>
  <c r="CH424" i="1"/>
  <c r="CM424" i="1" s="1"/>
  <c r="BC407" i="1"/>
  <c r="BC401" i="1"/>
  <c r="BE409" i="1"/>
  <c r="AW366" i="1"/>
  <c r="AZ366" i="1"/>
  <c r="AY366" i="1"/>
  <c r="AP366" i="1"/>
  <c r="AQ366" i="1" s="1"/>
  <c r="AX366" i="1"/>
  <c r="AN366" i="1"/>
  <c r="AR366" i="1" s="1"/>
  <c r="CF400" i="1"/>
  <c r="CK400" i="1" s="1"/>
  <c r="CL400" i="1"/>
  <c r="CH400" i="1"/>
  <c r="CM400" i="1" s="1"/>
  <c r="CL365" i="1"/>
  <c r="CH365" i="1"/>
  <c r="CM365" i="1" s="1"/>
  <c r="CF365" i="1"/>
  <c r="CK365" i="1" s="1"/>
  <c r="CL367" i="1"/>
  <c r="CH367" i="1"/>
  <c r="CM367" i="1" s="1"/>
  <c r="CF367" i="1"/>
  <c r="CK367" i="1" s="1"/>
  <c r="CF377" i="1"/>
  <c r="CK377" i="1" s="1"/>
  <c r="CL377" i="1"/>
  <c r="CH377" i="1"/>
  <c r="CM377" i="1" s="1"/>
  <c r="CF381" i="1"/>
  <c r="CK381" i="1" s="1"/>
  <c r="CL381" i="1"/>
  <c r="CH381" i="1"/>
  <c r="CM381" i="1" s="1"/>
  <c r="BC320" i="1"/>
  <c r="CR320" i="1" s="1"/>
  <c r="CG314" i="1"/>
  <c r="CE314" i="1"/>
  <c r="CJ314" i="1" s="1"/>
  <c r="CO314" i="1" s="1"/>
  <c r="CI314" i="1"/>
  <c r="CN314" i="1" s="1"/>
  <c r="CI300" i="1"/>
  <c r="CN300" i="1" s="1"/>
  <c r="CE300" i="1"/>
  <c r="CJ300" i="1" s="1"/>
  <c r="CO300" i="1" s="1"/>
  <c r="CG300" i="1"/>
  <c r="CI296" i="1"/>
  <c r="CN296" i="1" s="1"/>
  <c r="CE296" i="1"/>
  <c r="CJ296" i="1" s="1"/>
  <c r="CO296" i="1" s="1"/>
  <c r="CG296" i="1"/>
  <c r="AW178" i="1"/>
  <c r="AZ178" i="1"/>
  <c r="AY178" i="1"/>
  <c r="AP178" i="1"/>
  <c r="AQ178" i="1" s="1"/>
  <c r="AN178" i="1"/>
  <c r="AR178" i="1" s="1"/>
  <c r="AX178" i="1"/>
  <c r="BC333" i="1"/>
  <c r="CI302" i="1"/>
  <c r="CN302" i="1" s="1"/>
  <c r="CE302" i="1"/>
  <c r="CJ302" i="1" s="1"/>
  <c r="CO302" i="1" s="1"/>
  <c r="CG302" i="1"/>
  <c r="CI184" i="1"/>
  <c r="CN184" i="1" s="1"/>
  <c r="CE184" i="1"/>
  <c r="CJ184" i="1" s="1"/>
  <c r="CO184" i="1" s="1"/>
  <c r="CG184" i="1"/>
  <c r="CI179" i="1"/>
  <c r="CN179" i="1" s="1"/>
  <c r="CE179" i="1"/>
  <c r="CJ179" i="1" s="1"/>
  <c r="CO179" i="1" s="1"/>
  <c r="CG179" i="1"/>
  <c r="CL318" i="1"/>
  <c r="CH318" i="1"/>
  <c r="CM318" i="1" s="1"/>
  <c r="CF318" i="1"/>
  <c r="CK318" i="1" s="1"/>
  <c r="AY237" i="1"/>
  <c r="AP237" i="1"/>
  <c r="AQ237" i="1" s="1"/>
  <c r="AX237" i="1"/>
  <c r="AN237" i="1"/>
  <c r="AW237" i="1"/>
  <c r="AZ237" i="1"/>
  <c r="BC194" i="1"/>
  <c r="CR194" i="1" s="1"/>
  <c r="BE194" i="1"/>
  <c r="BC186" i="1"/>
  <c r="CR186" i="1" s="1"/>
  <c r="BE186" i="1"/>
  <c r="BC292" i="1"/>
  <c r="AY180" i="1"/>
  <c r="AP180" i="1"/>
  <c r="AQ180" i="1" s="1"/>
  <c r="AX180" i="1"/>
  <c r="AN180" i="1"/>
  <c r="AR180" i="1" s="1"/>
  <c r="AW180" i="1"/>
  <c r="AZ180" i="1"/>
  <c r="AX210" i="1"/>
  <c r="AN210" i="1"/>
  <c r="AR210" i="1" s="1"/>
  <c r="AW210" i="1"/>
  <c r="AZ210" i="1"/>
  <c r="AP210" i="1"/>
  <c r="AQ210" i="1" s="1"/>
  <c r="AY210" i="1"/>
  <c r="BC183" i="1"/>
  <c r="CI153" i="1"/>
  <c r="CN153" i="1" s="1"/>
  <c r="CE153" i="1"/>
  <c r="CJ153" i="1" s="1"/>
  <c r="CO153" i="1" s="1"/>
  <c r="CG153" i="1"/>
  <c r="BD261" i="1"/>
  <c r="BC284" i="1"/>
  <c r="BC157" i="1"/>
  <c r="BE157" i="1"/>
  <c r="BC137" i="1"/>
  <c r="CR137" i="1" s="1"/>
  <c r="BE137" i="1"/>
  <c r="BC133" i="1"/>
  <c r="BD133" i="1"/>
  <c r="BB169" i="1"/>
  <c r="BE261" i="1"/>
  <c r="BC170" i="1"/>
  <c r="BB153" i="1"/>
  <c r="BB170" i="1"/>
  <c r="BB133" i="1"/>
  <c r="BB257" i="1"/>
  <c r="BB191" i="1"/>
  <c r="BB205" i="1"/>
  <c r="BB234" i="1"/>
  <c r="BB259" i="1"/>
  <c r="BB284" i="1"/>
  <c r="BB292" i="1"/>
  <c r="BB300" i="1"/>
  <c r="BB264" i="1"/>
  <c r="BB302" i="1"/>
  <c r="BB309" i="1"/>
  <c r="BB329" i="1"/>
  <c r="BB337" i="1"/>
  <c r="BB313" i="1"/>
  <c r="BF313" i="1" s="1"/>
  <c r="BB379" i="1"/>
  <c r="BF379" i="1" s="1"/>
  <c r="BB408" i="1"/>
  <c r="BB362" i="1"/>
  <c r="BB395" i="1"/>
  <c r="BB391" i="1"/>
  <c r="BB414" i="1"/>
  <c r="BB120" i="1"/>
  <c r="BB117" i="1"/>
  <c r="BD116" i="1"/>
  <c r="BC116" i="1"/>
  <c r="BB113" i="1"/>
  <c r="BD112" i="1"/>
  <c r="BC112" i="1"/>
  <c r="BC110" i="1"/>
  <c r="BE110" i="1"/>
  <c r="BD110" i="1"/>
  <c r="BC450" i="1"/>
  <c r="CF453" i="1"/>
  <c r="CK453" i="1" s="1"/>
  <c r="CH453" i="1"/>
  <c r="CM453" i="1" s="1"/>
  <c r="CL453" i="1"/>
  <c r="BE449" i="1"/>
  <c r="BC445" i="1"/>
  <c r="CG451" i="1"/>
  <c r="CI451" i="1"/>
  <c r="CN451" i="1" s="1"/>
  <c r="CE451" i="1"/>
  <c r="CJ451" i="1" s="1"/>
  <c r="CO451" i="1" s="1"/>
  <c r="CL445" i="1"/>
  <c r="CH445" i="1"/>
  <c r="CM445" i="1" s="1"/>
  <c r="CF445" i="1"/>
  <c r="CK445" i="1" s="1"/>
  <c r="CG439" i="1"/>
  <c r="CI439" i="1"/>
  <c r="CN439" i="1" s="1"/>
  <c r="CE439" i="1"/>
  <c r="CJ439" i="1" s="1"/>
  <c r="CO439" i="1" s="1"/>
  <c r="CG450" i="1"/>
  <c r="CI450" i="1"/>
  <c r="CN450" i="1" s="1"/>
  <c r="CE450" i="1"/>
  <c r="CJ450" i="1" s="1"/>
  <c r="CO450" i="1" s="1"/>
  <c r="CG447" i="1"/>
  <c r="CI447" i="1"/>
  <c r="CN447" i="1" s="1"/>
  <c r="CE447" i="1"/>
  <c r="CJ447" i="1" s="1"/>
  <c r="CO447" i="1" s="1"/>
  <c r="CL436" i="1"/>
  <c r="CF436" i="1"/>
  <c r="CK436" i="1" s="1"/>
  <c r="CH436" i="1"/>
  <c r="CM436" i="1" s="1"/>
  <c r="BC416" i="1"/>
  <c r="BC412" i="1"/>
  <c r="CR412" i="1" s="1"/>
  <c r="CG429" i="1"/>
  <c r="CE429" i="1"/>
  <c r="CJ429" i="1" s="1"/>
  <c r="CO429" i="1" s="1"/>
  <c r="CI429" i="1"/>
  <c r="CN429" i="1" s="1"/>
  <c r="CI428" i="1"/>
  <c r="CN428" i="1" s="1"/>
  <c r="CE428" i="1"/>
  <c r="CJ428" i="1" s="1"/>
  <c r="CG428" i="1"/>
  <c r="BE417" i="1"/>
  <c r="CI415" i="1"/>
  <c r="CN415" i="1" s="1"/>
  <c r="CE415" i="1"/>
  <c r="CJ415" i="1" s="1"/>
  <c r="CO415" i="1" s="1"/>
  <c r="CG415" i="1"/>
  <c r="CF422" i="1"/>
  <c r="CK422" i="1" s="1"/>
  <c r="CH422" i="1"/>
  <c r="CM422" i="1" s="1"/>
  <c r="CL422" i="1"/>
  <c r="BC420" i="1"/>
  <c r="CR420" i="1" s="1"/>
  <c r="BA404" i="1"/>
  <c r="CI416" i="1"/>
  <c r="CN416" i="1" s="1"/>
  <c r="CE416" i="1"/>
  <c r="CJ416" i="1" s="1"/>
  <c r="CO416" i="1" s="1"/>
  <c r="CG416" i="1"/>
  <c r="BC410" i="1"/>
  <c r="CR410" i="1" s="1"/>
  <c r="BC408" i="1"/>
  <c r="BC406" i="1"/>
  <c r="BC404" i="1"/>
  <c r="BC402" i="1"/>
  <c r="CR402" i="1" s="1"/>
  <c r="BE407" i="1"/>
  <c r="AW372" i="1"/>
  <c r="AZ372" i="1"/>
  <c r="AY372" i="1"/>
  <c r="AP372" i="1"/>
  <c r="AQ372" i="1" s="1"/>
  <c r="AN372" i="1"/>
  <c r="AR372" i="1" s="1"/>
  <c r="AX372" i="1"/>
  <c r="CF403" i="1"/>
  <c r="CK403" i="1" s="1"/>
  <c r="CH403" i="1"/>
  <c r="CM403" i="1" s="1"/>
  <c r="CL403" i="1"/>
  <c r="AY399" i="1"/>
  <c r="AP399" i="1"/>
  <c r="AQ399" i="1" s="1"/>
  <c r="AX399" i="1"/>
  <c r="AN399" i="1"/>
  <c r="AR399" i="1" s="1"/>
  <c r="AW399" i="1"/>
  <c r="AZ399" i="1"/>
  <c r="BC419" i="1"/>
  <c r="BE406" i="1"/>
  <c r="BC398" i="1"/>
  <c r="CI389" i="1"/>
  <c r="CN389" i="1" s="1"/>
  <c r="CE389" i="1"/>
  <c r="CJ389" i="1" s="1"/>
  <c r="CO389" i="1" s="1"/>
  <c r="CG389" i="1"/>
  <c r="CH402" i="1"/>
  <c r="CM402" i="1" s="1"/>
  <c r="BA390" i="1"/>
  <c r="AX371" i="1"/>
  <c r="AN371" i="1"/>
  <c r="AR371" i="1" s="1"/>
  <c r="AW371" i="1"/>
  <c r="AZ371" i="1"/>
  <c r="AP371" i="1"/>
  <c r="AQ371" i="1" s="1"/>
  <c r="AY371" i="1"/>
  <c r="AW363" i="1"/>
  <c r="AZ363" i="1"/>
  <c r="AY363" i="1"/>
  <c r="AP363" i="1"/>
  <c r="AQ363" i="1" s="1"/>
  <c r="AX363" i="1"/>
  <c r="AN363" i="1"/>
  <c r="AR363" i="1" s="1"/>
  <c r="CF378" i="1"/>
  <c r="CK378" i="1" s="1"/>
  <c r="CL378" i="1"/>
  <c r="CH378" i="1"/>
  <c r="CM378" i="1" s="1"/>
  <c r="AY374" i="1"/>
  <c r="AP374" i="1"/>
  <c r="AQ374" i="1" s="1"/>
  <c r="AX374" i="1"/>
  <c r="AN374" i="1"/>
  <c r="AR374" i="1" s="1"/>
  <c r="AW374" i="1"/>
  <c r="AZ374" i="1"/>
  <c r="CI369" i="1"/>
  <c r="CN369" i="1" s="1"/>
  <c r="CE369" i="1"/>
  <c r="CJ369" i="1" s="1"/>
  <c r="CO369" i="1" s="1"/>
  <c r="CG369" i="1"/>
  <c r="CL357" i="1"/>
  <c r="CH357" i="1"/>
  <c r="CM357" i="1" s="1"/>
  <c r="CF357" i="1"/>
  <c r="CK357" i="1" s="1"/>
  <c r="CI353" i="1"/>
  <c r="CN353" i="1" s="1"/>
  <c r="CE353" i="1"/>
  <c r="CJ353" i="1" s="1"/>
  <c r="CO353" i="1" s="1"/>
  <c r="CG353" i="1"/>
  <c r="BC428" i="1"/>
  <c r="CH370" i="1"/>
  <c r="CM370" i="1" s="1"/>
  <c r="CL370" i="1"/>
  <c r="CF370" i="1"/>
  <c r="CK370" i="1" s="1"/>
  <c r="CF352" i="1"/>
  <c r="CK352" i="1" s="1"/>
  <c r="BA345" i="1"/>
  <c r="BA344" i="1"/>
  <c r="BA343" i="1"/>
  <c r="BA342" i="1"/>
  <c r="CL337" i="1"/>
  <c r="CH337" i="1"/>
  <c r="CM337" i="1" s="1"/>
  <c r="CF337" i="1"/>
  <c r="CK337" i="1" s="1"/>
  <c r="AW352" i="1"/>
  <c r="AY352" i="1"/>
  <c r="AP352" i="1"/>
  <c r="AQ352" i="1" s="1"/>
  <c r="AN352" i="1"/>
  <c r="AR352" i="1" s="1"/>
  <c r="AZ352" i="1"/>
  <c r="AX352" i="1"/>
  <c r="BA350" i="1"/>
  <c r="AY367" i="1"/>
  <c r="AP367" i="1"/>
  <c r="AQ367" i="1" s="1"/>
  <c r="AX367" i="1"/>
  <c r="AN367" i="1"/>
  <c r="AR367" i="1" s="1"/>
  <c r="AW367" i="1"/>
  <c r="AZ367" i="1"/>
  <c r="AY365" i="1"/>
  <c r="AP365" i="1"/>
  <c r="AQ365" i="1" s="1"/>
  <c r="AX365" i="1"/>
  <c r="AN365" i="1"/>
  <c r="AR365" i="1" s="1"/>
  <c r="AW365" i="1"/>
  <c r="AZ365" i="1"/>
  <c r="BC364" i="1"/>
  <c r="CI334" i="1"/>
  <c r="CN334" i="1" s="1"/>
  <c r="CE334" i="1"/>
  <c r="CJ334" i="1" s="1"/>
  <c r="CO334" i="1" s="1"/>
  <c r="CG334" i="1"/>
  <c r="CI330" i="1"/>
  <c r="CN330" i="1" s="1"/>
  <c r="CE330" i="1"/>
  <c r="CJ330" i="1" s="1"/>
  <c r="CO330" i="1" s="1"/>
  <c r="CG330" i="1"/>
  <c r="CG362" i="1"/>
  <c r="CI362" i="1"/>
  <c r="CN362" i="1" s="1"/>
  <c r="CE362" i="1"/>
  <c r="CJ362" i="1" s="1"/>
  <c r="CO362" i="1" s="1"/>
  <c r="CG313" i="1"/>
  <c r="CE313" i="1"/>
  <c r="CJ313" i="1" s="1"/>
  <c r="CO313" i="1" s="1"/>
  <c r="CI313" i="1"/>
  <c r="CN313" i="1" s="1"/>
  <c r="CG311" i="1"/>
  <c r="CE311" i="1"/>
  <c r="CJ311" i="1" s="1"/>
  <c r="CO311" i="1" s="1"/>
  <c r="CI311" i="1"/>
  <c r="CN311" i="1" s="1"/>
  <c r="CF328" i="1"/>
  <c r="CK328" i="1" s="1"/>
  <c r="CL328" i="1"/>
  <c r="CH328" i="1"/>
  <c r="CM328" i="1" s="1"/>
  <c r="AY322" i="1"/>
  <c r="AP322" i="1"/>
  <c r="AQ322" i="1" s="1"/>
  <c r="AX322" i="1"/>
  <c r="AN322" i="1"/>
  <c r="AR322" i="1" s="1"/>
  <c r="AW322" i="1"/>
  <c r="AZ322" i="1"/>
  <c r="CG319" i="1"/>
  <c r="CI319" i="1"/>
  <c r="CN319" i="1" s="1"/>
  <c r="CE319" i="1"/>
  <c r="CJ319" i="1" s="1"/>
  <c r="CO319" i="1" s="1"/>
  <c r="CI298" i="1"/>
  <c r="CN298" i="1" s="1"/>
  <c r="CE298" i="1"/>
  <c r="CJ298" i="1" s="1"/>
  <c r="CO298" i="1" s="1"/>
  <c r="CG298" i="1"/>
  <c r="CG323" i="1"/>
  <c r="CI323" i="1"/>
  <c r="CN323" i="1" s="1"/>
  <c r="CE323" i="1"/>
  <c r="CJ323" i="1" s="1"/>
  <c r="CO323" i="1" s="1"/>
  <c r="CI306" i="1"/>
  <c r="CN306" i="1" s="1"/>
  <c r="CE306" i="1"/>
  <c r="CJ306" i="1" s="1"/>
  <c r="CO306" i="1" s="1"/>
  <c r="CG306" i="1"/>
  <c r="BC299" i="1"/>
  <c r="CR299" i="1" s="1"/>
  <c r="BA297" i="1"/>
  <c r="BC295" i="1"/>
  <c r="BC291" i="1"/>
  <c r="BC287" i="1"/>
  <c r="BC283" i="1"/>
  <c r="CR283" i="1" s="1"/>
  <c r="BC279" i="1"/>
  <c r="CR279" i="1" s="1"/>
  <c r="BE276" i="1"/>
  <c r="AW174" i="1"/>
  <c r="AZ174" i="1"/>
  <c r="AY174" i="1"/>
  <c r="AP174" i="1"/>
  <c r="AQ174" i="1" s="1"/>
  <c r="AX174" i="1"/>
  <c r="AN174" i="1"/>
  <c r="AR174" i="1" s="1"/>
  <c r="BC335" i="1"/>
  <c r="BA333" i="1"/>
  <c r="BC331" i="1"/>
  <c r="BC294" i="1"/>
  <c r="CR294" i="1" s="1"/>
  <c r="BC290" i="1"/>
  <c r="CR290" i="1" s="1"/>
  <c r="BC286" i="1"/>
  <c r="CR286" i="1" s="1"/>
  <c r="BC282" i="1"/>
  <c r="BC278" i="1"/>
  <c r="BA265" i="1"/>
  <c r="BA256" i="1"/>
  <c r="BA227" i="1"/>
  <c r="BA215" i="1"/>
  <c r="BC293" i="1"/>
  <c r="BC289" i="1"/>
  <c r="BC285" i="1"/>
  <c r="BC281" i="1"/>
  <c r="BC215" i="1"/>
  <c r="BC211" i="1"/>
  <c r="CR211" i="1" s="1"/>
  <c r="CI206" i="1"/>
  <c r="CN206" i="1" s="1"/>
  <c r="CE206" i="1"/>
  <c r="CJ206" i="1" s="1"/>
  <c r="CO206" i="1" s="1"/>
  <c r="CG206" i="1"/>
  <c r="CI194" i="1"/>
  <c r="CN194" i="1" s="1"/>
  <c r="CE194" i="1"/>
  <c r="CJ194" i="1" s="1"/>
  <c r="CO194" i="1" s="1"/>
  <c r="CG194" i="1"/>
  <c r="CI190" i="1"/>
  <c r="CN190" i="1" s="1"/>
  <c r="CE190" i="1"/>
  <c r="CJ190" i="1" s="1"/>
  <c r="CO190" i="1" s="1"/>
  <c r="CG190" i="1"/>
  <c r="CI186" i="1"/>
  <c r="CN186" i="1" s="1"/>
  <c r="CE186" i="1"/>
  <c r="CJ186" i="1" s="1"/>
  <c r="CO186" i="1" s="1"/>
  <c r="CG186" i="1"/>
  <c r="BA254" i="1"/>
  <c r="BA246" i="1"/>
  <c r="CL216" i="1"/>
  <c r="CH216" i="1"/>
  <c r="CM216" i="1" s="1"/>
  <c r="CF216" i="1"/>
  <c r="CK216" i="1" s="1"/>
  <c r="CF212" i="1"/>
  <c r="CK212" i="1" s="1"/>
  <c r="CL212" i="1"/>
  <c r="CH212" i="1"/>
  <c r="CM212" i="1" s="1"/>
  <c r="AX208" i="1"/>
  <c r="AN208" i="1"/>
  <c r="AR208" i="1" s="1"/>
  <c r="AW208" i="1"/>
  <c r="AZ208" i="1"/>
  <c r="AY208" i="1"/>
  <c r="AP208" i="1"/>
  <c r="AQ208" i="1" s="1"/>
  <c r="BC207" i="1"/>
  <c r="BA205" i="1"/>
  <c r="BC203" i="1"/>
  <c r="CR203" i="1" s="1"/>
  <c r="BA194" i="1"/>
  <c r="BC192" i="1"/>
  <c r="BE192" i="1"/>
  <c r="BA190" i="1"/>
  <c r="BC188" i="1"/>
  <c r="BE188" i="1"/>
  <c r="BA186" i="1"/>
  <c r="BC184" i="1"/>
  <c r="BE184" i="1"/>
  <c r="AY176" i="1"/>
  <c r="AP176" i="1"/>
  <c r="AQ176" i="1" s="1"/>
  <c r="AX176" i="1"/>
  <c r="AN176" i="1"/>
  <c r="AR176" i="1" s="1"/>
  <c r="AW176" i="1"/>
  <c r="AZ176" i="1"/>
  <c r="BC175" i="1"/>
  <c r="CR175" i="1" s="1"/>
  <c r="BE175" i="1"/>
  <c r="BA292" i="1"/>
  <c r="BA258" i="1"/>
  <c r="AY233" i="1"/>
  <c r="AP233" i="1"/>
  <c r="AQ233" i="1" s="1"/>
  <c r="AX233" i="1"/>
  <c r="AN233" i="1"/>
  <c r="AW233" i="1"/>
  <c r="AZ233" i="1"/>
  <c r="CG177" i="1"/>
  <c r="CE177" i="1"/>
  <c r="CJ177" i="1" s="1"/>
  <c r="CO177" i="1" s="1"/>
  <c r="CI177" i="1"/>
  <c r="CN177" i="1" s="1"/>
  <c r="AX164" i="1"/>
  <c r="AN164" i="1"/>
  <c r="AR164" i="1" s="1"/>
  <c r="AW164" i="1"/>
  <c r="AZ164" i="1"/>
  <c r="AY164" i="1"/>
  <c r="AP164" i="1"/>
  <c r="AQ164" i="1" s="1"/>
  <c r="AX144" i="1"/>
  <c r="AN144" i="1"/>
  <c r="AR144" i="1" s="1"/>
  <c r="AW144" i="1"/>
  <c r="AZ144" i="1"/>
  <c r="AY144" i="1"/>
  <c r="AP144" i="1"/>
  <c r="AQ144" i="1" s="1"/>
  <c r="BC330" i="1"/>
  <c r="CI305" i="1"/>
  <c r="CN305" i="1" s="1"/>
  <c r="CE305" i="1"/>
  <c r="CJ305" i="1" s="1"/>
  <c r="CO305" i="1" s="1"/>
  <c r="CG305" i="1"/>
  <c r="AY253" i="1"/>
  <c r="AP253" i="1"/>
  <c r="AQ253" i="1" s="1"/>
  <c r="AX253" i="1"/>
  <c r="AN253" i="1"/>
  <c r="AW253" i="1"/>
  <c r="AZ253" i="1"/>
  <c r="AY249" i="1"/>
  <c r="AP249" i="1"/>
  <c r="AQ249" i="1" s="1"/>
  <c r="AX249" i="1"/>
  <c r="AN249" i="1"/>
  <c r="AW249" i="1"/>
  <c r="AZ249" i="1"/>
  <c r="AY245" i="1"/>
  <c r="AP245" i="1"/>
  <c r="AQ245" i="1" s="1"/>
  <c r="AX245" i="1"/>
  <c r="AN245" i="1"/>
  <c r="AW245" i="1"/>
  <c r="AZ245" i="1"/>
  <c r="AY229" i="1"/>
  <c r="AP229" i="1"/>
  <c r="AQ229" i="1" s="1"/>
  <c r="AX229" i="1"/>
  <c r="AN229" i="1"/>
  <c r="AW229" i="1"/>
  <c r="AZ229" i="1"/>
  <c r="CL213" i="1"/>
  <c r="CH213" i="1"/>
  <c r="CM213" i="1" s="1"/>
  <c r="CF213" i="1"/>
  <c r="CK213" i="1" s="1"/>
  <c r="CL180" i="1"/>
  <c r="CH180" i="1"/>
  <c r="CM180" i="1" s="1"/>
  <c r="CF180" i="1"/>
  <c r="CK180" i="1" s="1"/>
  <c r="CG173" i="1"/>
  <c r="CI173" i="1"/>
  <c r="CN173" i="1" s="1"/>
  <c r="CE173" i="1"/>
  <c r="CJ173" i="1" s="1"/>
  <c r="CO173" i="1" s="1"/>
  <c r="CI151" i="1"/>
  <c r="CN151" i="1" s="1"/>
  <c r="CE151" i="1"/>
  <c r="CJ151" i="1" s="1"/>
  <c r="CO151" i="1" s="1"/>
  <c r="CG151" i="1"/>
  <c r="BD218" i="1"/>
  <c r="BD231" i="1"/>
  <c r="BD247" i="1"/>
  <c r="BD183" i="1"/>
  <c r="BD205" i="1"/>
  <c r="BD265" i="1"/>
  <c r="BD280" i="1"/>
  <c r="BD284" i="1"/>
  <c r="BD288" i="1"/>
  <c r="BD292" i="1"/>
  <c r="BD296" i="1"/>
  <c r="BD300" i="1"/>
  <c r="BD333" i="1"/>
  <c r="BD341" i="1"/>
  <c r="BD356" i="1"/>
  <c r="BD416" i="1"/>
  <c r="BD391" i="1"/>
  <c r="BD404" i="1"/>
  <c r="BD408" i="1"/>
  <c r="BD428" i="1"/>
  <c r="BD449" i="1"/>
  <c r="BA284" i="1"/>
  <c r="CF215" i="1"/>
  <c r="CK215" i="1" s="1"/>
  <c r="CL215" i="1"/>
  <c r="CH215" i="1"/>
  <c r="CM215" i="1" s="1"/>
  <c r="CF182" i="1"/>
  <c r="CK182" i="1" s="1"/>
  <c r="CL182" i="1"/>
  <c r="CH182" i="1"/>
  <c r="CM182" i="1" s="1"/>
  <c r="CF169" i="1"/>
  <c r="CK169" i="1" s="1"/>
  <c r="CL169" i="1"/>
  <c r="CH169" i="1"/>
  <c r="CM169" i="1" s="1"/>
  <c r="BB165" i="1"/>
  <c r="CG164" i="1"/>
  <c r="CE164" i="1"/>
  <c r="CJ164" i="1" s="1"/>
  <c r="CO164" i="1" s="1"/>
  <c r="CI164" i="1"/>
  <c r="CN164" i="1" s="1"/>
  <c r="BA157" i="1"/>
  <c r="AX152" i="1"/>
  <c r="AN152" i="1"/>
  <c r="AR152" i="1" s="1"/>
  <c r="AW152" i="1"/>
  <c r="AZ152" i="1"/>
  <c r="AY152" i="1"/>
  <c r="AP152" i="1"/>
  <c r="AQ152" i="1" s="1"/>
  <c r="BC151" i="1"/>
  <c r="CR151" i="1" s="1"/>
  <c r="BE151" i="1"/>
  <c r="CG144" i="1"/>
  <c r="CE144" i="1"/>
  <c r="CJ144" i="1" s="1"/>
  <c r="CO144" i="1" s="1"/>
  <c r="CI144" i="1"/>
  <c r="CN144" i="1" s="1"/>
  <c r="BA137" i="1"/>
  <c r="CL134" i="1"/>
  <c r="CH134" i="1"/>
  <c r="CM134" i="1" s="1"/>
  <c r="CF134" i="1"/>
  <c r="CK134" i="1" s="1"/>
  <c r="BD132" i="1"/>
  <c r="BC132" i="1"/>
  <c r="AQ103" i="1"/>
  <c r="AS267" i="1"/>
  <c r="AS260" i="1"/>
  <c r="AS268" i="1"/>
  <c r="AS276" i="1"/>
  <c r="BA138" i="1"/>
  <c r="BC156" i="1"/>
  <c r="CR156" i="1" s="1"/>
  <c r="BE142" i="1"/>
  <c r="CL135" i="1"/>
  <c r="CH135" i="1"/>
  <c r="CM135" i="1" s="1"/>
  <c r="CF135" i="1"/>
  <c r="CK135" i="1" s="1"/>
  <c r="CE123" i="1"/>
  <c r="CJ123" i="1" s="1"/>
  <c r="CO123" i="1" s="1"/>
  <c r="CI123" i="1"/>
  <c r="CN123" i="1" s="1"/>
  <c r="CG123" i="1"/>
  <c r="BE122" i="1"/>
  <c r="BC120" i="1"/>
  <c r="BD120" i="1"/>
  <c r="BE226" i="1"/>
  <c r="BE296" i="1"/>
  <c r="BE135" i="1"/>
  <c r="BE246" i="1"/>
  <c r="BE297" i="1"/>
  <c r="BE283" i="1"/>
  <c r="BE238" i="1"/>
  <c r="BE299" i="1"/>
  <c r="BE285" i="1"/>
  <c r="BE220" i="1"/>
  <c r="BE235" i="1"/>
  <c r="BE267" i="1"/>
  <c r="BE286" i="1"/>
  <c r="BE333" i="1"/>
  <c r="BE348" i="1"/>
  <c r="BE346" i="1"/>
  <c r="BE320" i="1"/>
  <c r="BE343" i="1"/>
  <c r="BE396" i="1"/>
  <c r="BE404" i="1"/>
  <c r="BE425" i="1"/>
  <c r="AY143" i="1"/>
  <c r="AP143" i="1"/>
  <c r="AQ143" i="1" s="1"/>
  <c r="AX143" i="1"/>
  <c r="AN143" i="1"/>
  <c r="AR143" i="1" s="1"/>
  <c r="AW143" i="1"/>
  <c r="AZ143" i="1"/>
  <c r="CR434" i="1"/>
  <c r="CR433" i="1"/>
  <c r="BB243" i="1"/>
  <c r="BB111" i="1"/>
  <c r="BB142" i="1"/>
  <c r="BB155" i="1"/>
  <c r="BB247" i="1"/>
  <c r="BB146" i="1"/>
  <c r="BB150" i="1"/>
  <c r="BF150" i="1" s="1"/>
  <c r="BB223" i="1"/>
  <c r="BB175" i="1"/>
  <c r="BB185" i="1"/>
  <c r="BB189" i="1"/>
  <c r="BB193" i="1"/>
  <c r="BB203" i="1"/>
  <c r="BB207" i="1"/>
  <c r="BB226" i="1"/>
  <c r="BB242" i="1"/>
  <c r="BB263" i="1"/>
  <c r="BB265" i="1"/>
  <c r="BB275" i="1"/>
  <c r="BB232" i="1"/>
  <c r="BF232" i="1" s="1"/>
  <c r="BB248" i="1"/>
  <c r="BF248" i="1" s="1"/>
  <c r="BB278" i="1"/>
  <c r="BB282" i="1"/>
  <c r="BB286" i="1"/>
  <c r="BB290" i="1"/>
  <c r="BB294" i="1"/>
  <c r="BB260" i="1"/>
  <c r="BB268" i="1"/>
  <c r="BB276" i="1"/>
  <c r="BB304" i="1"/>
  <c r="BB320" i="1"/>
  <c r="BB331" i="1"/>
  <c r="BB335" i="1"/>
  <c r="BB339" i="1"/>
  <c r="BB311" i="1"/>
  <c r="BB369" i="1"/>
  <c r="BB387" i="1"/>
  <c r="BB384" i="1"/>
  <c r="BB342" i="1"/>
  <c r="BB346" i="1"/>
  <c r="BB355" i="1"/>
  <c r="BB401" i="1"/>
  <c r="BB409" i="1"/>
  <c r="BB422" i="1"/>
  <c r="BB428" i="1"/>
  <c r="BB412" i="1"/>
  <c r="BB416" i="1"/>
  <c r="BB433" i="1"/>
  <c r="BF433" i="1" s="1"/>
  <c r="CP433" i="1" s="1"/>
  <c r="CQ433" i="1" s="1"/>
  <c r="AS433" i="1" s="1"/>
  <c r="BB434" i="1"/>
  <c r="BF434" i="1" s="1"/>
  <c r="BB438" i="1"/>
  <c r="BB442" i="1"/>
  <c r="BB445" i="1"/>
  <c r="BB449" i="1"/>
  <c r="AY159" i="1"/>
  <c r="AP159" i="1"/>
  <c r="AQ159" i="1" s="1"/>
  <c r="AX159" i="1"/>
  <c r="AN159" i="1"/>
  <c r="AR159" i="1" s="1"/>
  <c r="AW159" i="1"/>
  <c r="AZ159" i="1"/>
  <c r="BC155" i="1"/>
  <c r="CR155" i="1" s="1"/>
  <c r="BE153" i="1"/>
  <c r="BE125" i="1"/>
  <c r="BF125" i="1" s="1"/>
  <c r="CP125" i="1" s="1"/>
  <c r="CQ125" i="1" s="1"/>
  <c r="AS125" i="1" s="1"/>
  <c r="BD122" i="1"/>
  <c r="BC122" i="1"/>
  <c r="BD118" i="1"/>
  <c r="BC118" i="1"/>
  <c r="BB115" i="1"/>
  <c r="BD114" i="1"/>
  <c r="BC114" i="1"/>
  <c r="BD111" i="1"/>
  <c r="BE111" i="1"/>
  <c r="BC111" i="1"/>
  <c r="BE109" i="1"/>
  <c r="BD106" i="1"/>
  <c r="BC106" i="1"/>
  <c r="CL159" i="1"/>
  <c r="CH159" i="1"/>
  <c r="CM159" i="1" s="1"/>
  <c r="CF159" i="1"/>
  <c r="CK159" i="1" s="1"/>
  <c r="BB141" i="1"/>
  <c r="BC134" i="1"/>
  <c r="BD134" i="1"/>
  <c r="BC104" i="1"/>
  <c r="BE104" i="1"/>
  <c r="BD104" i="1"/>
  <c r="CR105" i="1"/>
  <c r="AW394" i="1"/>
  <c r="AZ394" i="1"/>
  <c r="AY394" i="1"/>
  <c r="AP394" i="1"/>
  <c r="AQ394" i="1" s="1"/>
  <c r="AX394" i="1"/>
  <c r="AN394" i="1"/>
  <c r="AR394" i="1" s="1"/>
  <c r="AZ321" i="1"/>
  <c r="AY321" i="1"/>
  <c r="AP321" i="1"/>
  <c r="AQ321" i="1" s="1"/>
  <c r="AX321" i="1"/>
  <c r="AN321" i="1"/>
  <c r="AR321" i="1" s="1"/>
  <c r="AW321" i="1"/>
  <c r="AY318" i="1"/>
  <c r="AP318" i="1"/>
  <c r="AQ318" i="1" s="1"/>
  <c r="AX318" i="1"/>
  <c r="AN318" i="1"/>
  <c r="AR318" i="1" s="1"/>
  <c r="AW318" i="1"/>
  <c r="AZ318" i="1"/>
  <c r="CG437" i="1"/>
  <c r="CE437" i="1"/>
  <c r="CJ437" i="1" s="1"/>
  <c r="CO437" i="1" s="1"/>
  <c r="CI437" i="1"/>
  <c r="CN437" i="1" s="1"/>
  <c r="CI412" i="1"/>
  <c r="CN412" i="1" s="1"/>
  <c r="CE412" i="1"/>
  <c r="CJ412" i="1" s="1"/>
  <c r="CO412" i="1" s="1"/>
  <c r="CG412" i="1"/>
  <c r="BC405" i="1"/>
  <c r="CF407" i="1"/>
  <c r="CK407" i="1" s="1"/>
  <c r="CH407" i="1"/>
  <c r="CM407" i="1" s="1"/>
  <c r="CL407" i="1"/>
  <c r="AX375" i="1"/>
  <c r="AN375" i="1"/>
  <c r="AR375" i="1" s="1"/>
  <c r="AW375" i="1"/>
  <c r="AZ375" i="1"/>
  <c r="AY375" i="1"/>
  <c r="AP375" i="1"/>
  <c r="AQ375" i="1" s="1"/>
  <c r="CF408" i="1"/>
  <c r="CK408" i="1" s="1"/>
  <c r="CL408" i="1"/>
  <c r="CH408" i="1"/>
  <c r="CM408" i="1" s="1"/>
  <c r="CG393" i="1"/>
  <c r="CE393" i="1"/>
  <c r="CJ393" i="1" s="1"/>
  <c r="CO393" i="1" s="1"/>
  <c r="CI393" i="1"/>
  <c r="CN393" i="1" s="1"/>
  <c r="CF384" i="1"/>
  <c r="CK384" i="1" s="1"/>
  <c r="CL384" i="1"/>
  <c r="CH384" i="1"/>
  <c r="CM384" i="1" s="1"/>
  <c r="CF383" i="1"/>
  <c r="CK383" i="1" s="1"/>
  <c r="CH383" i="1"/>
  <c r="CM383" i="1" s="1"/>
  <c r="CL383" i="1"/>
  <c r="CF386" i="1"/>
  <c r="CK386" i="1" s="1"/>
  <c r="CL386" i="1"/>
  <c r="CH386" i="1"/>
  <c r="CM386" i="1" s="1"/>
  <c r="BC373" i="1"/>
  <c r="CI332" i="1"/>
  <c r="CN332" i="1" s="1"/>
  <c r="CE332" i="1"/>
  <c r="CJ332" i="1" s="1"/>
  <c r="CO332" i="1" s="1"/>
  <c r="CG332" i="1"/>
  <c r="BC308" i="1"/>
  <c r="CI204" i="1"/>
  <c r="CN204" i="1" s="1"/>
  <c r="CE204" i="1"/>
  <c r="CJ204" i="1" s="1"/>
  <c r="CO204" i="1" s="1"/>
  <c r="CG204" i="1"/>
  <c r="CI192" i="1"/>
  <c r="CN192" i="1" s="1"/>
  <c r="CE192" i="1"/>
  <c r="CJ192" i="1" s="1"/>
  <c r="CO192" i="1" s="1"/>
  <c r="CG192" i="1"/>
  <c r="BC205" i="1"/>
  <c r="CG196" i="1"/>
  <c r="CI196" i="1"/>
  <c r="CN196" i="1" s="1"/>
  <c r="CE196" i="1"/>
  <c r="CJ196" i="1" s="1"/>
  <c r="CO196" i="1" s="1"/>
  <c r="CF174" i="1"/>
  <c r="CK174" i="1" s="1"/>
  <c r="CH174" i="1"/>
  <c r="CM174" i="1" s="1"/>
  <c r="CL174" i="1"/>
  <c r="BD254" i="1"/>
  <c r="AS242" i="1"/>
  <c r="BC138" i="1"/>
  <c r="BC126" i="1"/>
  <c r="CG449" i="1"/>
  <c r="CI449" i="1"/>
  <c r="CN449" i="1" s="1"/>
  <c r="CE449" i="1"/>
  <c r="CJ449" i="1" s="1"/>
  <c r="CO449" i="1" s="1"/>
  <c r="CG443" i="1"/>
  <c r="CI443" i="1"/>
  <c r="CN443" i="1" s="1"/>
  <c r="CE443" i="1"/>
  <c r="CJ443" i="1" s="1"/>
  <c r="CO443" i="1" s="1"/>
  <c r="CG438" i="1"/>
  <c r="CI438" i="1"/>
  <c r="CN438" i="1" s="1"/>
  <c r="CE438" i="1"/>
  <c r="CJ438" i="1" s="1"/>
  <c r="CO438" i="1" s="1"/>
  <c r="CG441" i="1"/>
  <c r="CE441" i="1"/>
  <c r="CJ441" i="1" s="1"/>
  <c r="CO441" i="1" s="1"/>
  <c r="CI441" i="1"/>
  <c r="CN441" i="1" s="1"/>
  <c r="BA434" i="1"/>
  <c r="BC415" i="1"/>
  <c r="BC411" i="1"/>
  <c r="CR411" i="1" s="1"/>
  <c r="CI427" i="1"/>
  <c r="CN427" i="1" s="1"/>
  <c r="CE427" i="1"/>
  <c r="CJ427" i="1" s="1"/>
  <c r="CO427" i="1" s="1"/>
  <c r="CG427" i="1"/>
  <c r="BC423" i="1"/>
  <c r="CR423" i="1" s="1"/>
  <c r="BC421" i="1"/>
  <c r="CR421" i="1" s="1"/>
  <c r="CF421" i="1"/>
  <c r="CK421" i="1" s="1"/>
  <c r="CL421" i="1"/>
  <c r="CH421" i="1"/>
  <c r="CM421" i="1" s="1"/>
  <c r="CI417" i="1"/>
  <c r="CN417" i="1" s="1"/>
  <c r="CE417" i="1"/>
  <c r="CJ417" i="1" s="1"/>
  <c r="CO417" i="1" s="1"/>
  <c r="CG417" i="1"/>
  <c r="BC427" i="1"/>
  <c r="CR427" i="1" s="1"/>
  <c r="CF423" i="1"/>
  <c r="CK423" i="1" s="1"/>
  <c r="CH423" i="1"/>
  <c r="CM423" i="1" s="1"/>
  <c r="CL423" i="1"/>
  <c r="BE423" i="1"/>
  <c r="CF405" i="1"/>
  <c r="CK405" i="1" s="1"/>
  <c r="CH405" i="1"/>
  <c r="CM405" i="1" s="1"/>
  <c r="CL405" i="1"/>
  <c r="CH410" i="1"/>
  <c r="CM410" i="1" s="1"/>
  <c r="CF410" i="1"/>
  <c r="CK410" i="1" s="1"/>
  <c r="CL410" i="1"/>
  <c r="CF406" i="1"/>
  <c r="CK406" i="1" s="1"/>
  <c r="CL406" i="1"/>
  <c r="CH406" i="1"/>
  <c r="CM406" i="1" s="1"/>
  <c r="CF380" i="1"/>
  <c r="CK380" i="1" s="1"/>
  <c r="CL380" i="1"/>
  <c r="CH380" i="1"/>
  <c r="CM380" i="1" s="1"/>
  <c r="BC391" i="1"/>
  <c r="CF379" i="1"/>
  <c r="CK379" i="1" s="1"/>
  <c r="CH379" i="1"/>
  <c r="CM379" i="1" s="1"/>
  <c r="CL379" i="1"/>
  <c r="CF382" i="1"/>
  <c r="CK382" i="1" s="1"/>
  <c r="CL382" i="1"/>
  <c r="CH382" i="1"/>
  <c r="CM382" i="1" s="1"/>
  <c r="CI356" i="1"/>
  <c r="CN356" i="1" s="1"/>
  <c r="CE356" i="1"/>
  <c r="CJ356" i="1" s="1"/>
  <c r="CO356" i="1" s="1"/>
  <c r="CG356" i="1"/>
  <c r="BA356" i="1"/>
  <c r="BC349" i="1"/>
  <c r="BE349" i="1"/>
  <c r="CI341" i="1"/>
  <c r="CN341" i="1" s="1"/>
  <c r="CG341" i="1"/>
  <c r="CE341" i="1"/>
  <c r="CJ341" i="1" s="1"/>
  <c r="CO341" i="1" s="1"/>
  <c r="AX319" i="1"/>
  <c r="AN319" i="1"/>
  <c r="AR319" i="1" s="1"/>
  <c r="AW319" i="1"/>
  <c r="AZ319" i="1"/>
  <c r="AP319" i="1"/>
  <c r="AQ319" i="1" s="1"/>
  <c r="AY319" i="1"/>
  <c r="CL348" i="1"/>
  <c r="CH348" i="1"/>
  <c r="CM348" i="1" s="1"/>
  <c r="CF348" i="1"/>
  <c r="CK348" i="1" s="1"/>
  <c r="CI333" i="1"/>
  <c r="CN333" i="1" s="1"/>
  <c r="CE333" i="1"/>
  <c r="CJ333" i="1" s="1"/>
  <c r="CO333" i="1" s="1"/>
  <c r="CG333" i="1"/>
  <c r="CF366" i="1"/>
  <c r="CK366" i="1" s="1"/>
  <c r="CL366" i="1"/>
  <c r="CH366" i="1"/>
  <c r="CM366" i="1" s="1"/>
  <c r="AY326" i="1"/>
  <c r="AP326" i="1"/>
  <c r="AQ326" i="1" s="1"/>
  <c r="AX326" i="1"/>
  <c r="AN326" i="1"/>
  <c r="AR326" i="1" s="1"/>
  <c r="AW326" i="1"/>
  <c r="AZ326" i="1"/>
  <c r="BC309" i="1"/>
  <c r="BC360" i="1"/>
  <c r="BA341" i="1"/>
  <c r="BC329" i="1"/>
  <c r="CR329" i="1" s="1"/>
  <c r="BC325" i="1"/>
  <c r="BA277" i="1"/>
  <c r="CI297" i="1"/>
  <c r="CN297" i="1" s="1"/>
  <c r="CE297" i="1"/>
  <c r="CJ297" i="1" s="1"/>
  <c r="CO297" i="1" s="1"/>
  <c r="CG297" i="1"/>
  <c r="CG355" i="1"/>
  <c r="CI355" i="1"/>
  <c r="CN355" i="1" s="1"/>
  <c r="CE355" i="1"/>
  <c r="CJ355" i="1" s="1"/>
  <c r="CO355" i="1" s="1"/>
  <c r="BA348" i="1"/>
  <c r="BA300" i="1"/>
  <c r="BC298" i="1"/>
  <c r="BA296" i="1"/>
  <c r="CR310" i="1"/>
  <c r="CI303" i="1"/>
  <c r="CN303" i="1" s="1"/>
  <c r="CE303" i="1"/>
  <c r="CJ303" i="1" s="1"/>
  <c r="CO303" i="1" s="1"/>
  <c r="CG303" i="1"/>
  <c r="BA267" i="1"/>
  <c r="BE254" i="1"/>
  <c r="BA211" i="1"/>
  <c r="AX181" i="1"/>
  <c r="AN181" i="1"/>
  <c r="AR181" i="1" s="1"/>
  <c r="AW181" i="1"/>
  <c r="AZ181" i="1"/>
  <c r="AP181" i="1"/>
  <c r="AQ181" i="1" s="1"/>
  <c r="AY181" i="1"/>
  <c r="CL322" i="1"/>
  <c r="CH322" i="1"/>
  <c r="CM322" i="1" s="1"/>
  <c r="CF322" i="1"/>
  <c r="CK322" i="1" s="1"/>
  <c r="CF320" i="1"/>
  <c r="CK320" i="1" s="1"/>
  <c r="CL320" i="1"/>
  <c r="CH320" i="1"/>
  <c r="CM320" i="1" s="1"/>
  <c r="BC316" i="1"/>
  <c r="CI205" i="1"/>
  <c r="CN205" i="1" s="1"/>
  <c r="CE205" i="1"/>
  <c r="CJ205" i="1" s="1"/>
  <c r="CO205" i="1" s="1"/>
  <c r="CG205" i="1"/>
  <c r="CI193" i="1"/>
  <c r="CN193" i="1" s="1"/>
  <c r="CE193" i="1"/>
  <c r="CJ193" i="1" s="1"/>
  <c r="CO193" i="1" s="1"/>
  <c r="CG193" i="1"/>
  <c r="CI189" i="1"/>
  <c r="CN189" i="1" s="1"/>
  <c r="CE189" i="1"/>
  <c r="CJ189" i="1" s="1"/>
  <c r="CO189" i="1" s="1"/>
  <c r="CG189" i="1"/>
  <c r="CI185" i="1"/>
  <c r="CN185" i="1" s="1"/>
  <c r="CE185" i="1"/>
  <c r="CJ185" i="1" s="1"/>
  <c r="CO185" i="1" s="1"/>
  <c r="CG185" i="1"/>
  <c r="CI175" i="1"/>
  <c r="CN175" i="1" s="1"/>
  <c r="CE175" i="1"/>
  <c r="CJ175" i="1" s="1"/>
  <c r="CO175" i="1" s="1"/>
  <c r="CG175" i="1"/>
  <c r="BA334" i="1"/>
  <c r="BC288" i="1"/>
  <c r="BC206" i="1"/>
  <c r="BE206" i="1"/>
  <c r="BA204" i="1"/>
  <c r="BA193" i="1"/>
  <c r="BC191" i="1"/>
  <c r="CR191" i="1" s="1"/>
  <c r="BE191" i="1"/>
  <c r="BA189" i="1"/>
  <c r="BC187" i="1"/>
  <c r="CR187" i="1" s="1"/>
  <c r="BE187" i="1"/>
  <c r="BA185" i="1"/>
  <c r="BD170" i="1"/>
  <c r="BD157" i="1"/>
  <c r="BD138" i="1"/>
  <c r="CF209" i="1"/>
  <c r="CK209" i="1" s="1"/>
  <c r="CL209" i="1"/>
  <c r="CH209" i="1"/>
  <c r="CM209" i="1" s="1"/>
  <c r="CF198" i="1"/>
  <c r="CK198" i="1" s="1"/>
  <c r="CL198" i="1"/>
  <c r="CH198" i="1"/>
  <c r="CM198" i="1" s="1"/>
  <c r="CL176" i="1"/>
  <c r="CH176" i="1"/>
  <c r="CM176" i="1" s="1"/>
  <c r="CF176" i="1"/>
  <c r="CK176" i="1" s="1"/>
  <c r="AX160" i="1"/>
  <c r="AN160" i="1"/>
  <c r="AR160" i="1" s="1"/>
  <c r="AW160" i="1"/>
  <c r="AZ160" i="1"/>
  <c r="AP160" i="1"/>
  <c r="AQ160" i="1" s="1"/>
  <c r="AY160" i="1"/>
  <c r="AX140" i="1"/>
  <c r="AN140" i="1"/>
  <c r="AR140" i="1" s="1"/>
  <c r="AW140" i="1"/>
  <c r="AZ140" i="1"/>
  <c r="AP140" i="1"/>
  <c r="AQ140" i="1" s="1"/>
  <c r="AY140" i="1"/>
  <c r="BA280" i="1"/>
  <c r="AY199" i="1"/>
  <c r="AP199" i="1"/>
  <c r="AQ199" i="1" s="1"/>
  <c r="AX199" i="1"/>
  <c r="AN199" i="1"/>
  <c r="AR199" i="1" s="1"/>
  <c r="AW199" i="1"/>
  <c r="AZ199" i="1"/>
  <c r="AY172" i="1"/>
  <c r="AP172" i="1"/>
  <c r="AQ172" i="1" s="1"/>
  <c r="AW172" i="1"/>
  <c r="AX172" i="1"/>
  <c r="AN172" i="1"/>
  <c r="AR172" i="1" s="1"/>
  <c r="AZ172" i="1"/>
  <c r="BD126" i="1"/>
  <c r="BD220" i="1"/>
  <c r="BD235" i="1"/>
  <c r="BD184" i="1"/>
  <c r="BD188" i="1"/>
  <c r="BD192" i="1"/>
  <c r="BD206" i="1"/>
  <c r="BD238" i="1"/>
  <c r="BD267" i="1"/>
  <c r="BD281" i="1"/>
  <c r="BD285" i="1"/>
  <c r="BD289" i="1"/>
  <c r="BD293" i="1"/>
  <c r="BD297" i="1"/>
  <c r="BD309" i="1"/>
  <c r="BD330" i="1"/>
  <c r="BD334" i="1"/>
  <c r="BD360" i="1"/>
  <c r="BD373" i="1"/>
  <c r="BD401" i="1"/>
  <c r="BD405" i="1"/>
  <c r="BD409" i="1"/>
  <c r="BD422" i="1"/>
  <c r="BD419" i="1"/>
  <c r="BD445" i="1"/>
  <c r="BD450" i="1"/>
  <c r="BC332" i="1"/>
  <c r="CG217" i="1"/>
  <c r="CE217" i="1"/>
  <c r="CJ217" i="1" s="1"/>
  <c r="CO217" i="1" s="1"/>
  <c r="CI217" i="1"/>
  <c r="CN217" i="1" s="1"/>
  <c r="BB201" i="1"/>
  <c r="AY167" i="1"/>
  <c r="AP167" i="1"/>
  <c r="AQ167" i="1" s="1"/>
  <c r="AX167" i="1"/>
  <c r="AN167" i="1"/>
  <c r="AR167" i="1" s="1"/>
  <c r="AW167" i="1"/>
  <c r="AZ167" i="1"/>
  <c r="CL163" i="1"/>
  <c r="CH163" i="1"/>
  <c r="CM163" i="1" s="1"/>
  <c r="CF163" i="1"/>
  <c r="CK163" i="1" s="1"/>
  <c r="CL143" i="1"/>
  <c r="CH143" i="1"/>
  <c r="CM143" i="1" s="1"/>
  <c r="CF143" i="1"/>
  <c r="CK143" i="1" s="1"/>
  <c r="AM455" i="1"/>
  <c r="AS254" i="1"/>
  <c r="AS269" i="1"/>
  <c r="AS262" i="1"/>
  <c r="AS270" i="1"/>
  <c r="BE170" i="1"/>
  <c r="CG168" i="1"/>
  <c r="CI168" i="1"/>
  <c r="CN168" i="1" s="1"/>
  <c r="CE168" i="1"/>
  <c r="CJ168" i="1" s="1"/>
  <c r="CO168" i="1" s="1"/>
  <c r="BC136" i="1"/>
  <c r="CR136" i="1" s="1"/>
  <c r="CF131" i="1"/>
  <c r="CK131" i="1" s="1"/>
  <c r="CL131" i="1"/>
  <c r="CH131" i="1"/>
  <c r="CM131" i="1" s="1"/>
  <c r="CH120" i="1"/>
  <c r="CM120" i="1" s="1"/>
  <c r="CL120" i="1"/>
  <c r="CF120" i="1"/>
  <c r="CK120" i="1" s="1"/>
  <c r="BA120" i="1"/>
  <c r="BE242" i="1"/>
  <c r="BE300" i="1"/>
  <c r="BE198" i="1"/>
  <c r="BE298" i="1"/>
  <c r="BE183" i="1"/>
  <c r="BE258" i="1"/>
  <c r="BE259" i="1"/>
  <c r="BE292" i="1"/>
  <c r="BE289" i="1"/>
  <c r="BE329" i="1"/>
  <c r="BE211" i="1"/>
  <c r="BE223" i="1"/>
  <c r="BE239" i="1"/>
  <c r="BE256" i="1"/>
  <c r="BE269" i="1"/>
  <c r="BE290" i="1"/>
  <c r="BE330" i="1"/>
  <c r="BE334" i="1"/>
  <c r="BE356" i="1"/>
  <c r="BE347" i="1"/>
  <c r="BE364" i="1"/>
  <c r="BE344" i="1"/>
  <c r="BE420" i="1"/>
  <c r="BE401" i="1"/>
  <c r="BE405" i="1"/>
  <c r="BE445" i="1"/>
  <c r="BC198" i="1"/>
  <c r="CR198" i="1" s="1"/>
  <c r="BA158" i="1"/>
  <c r="BA154" i="1"/>
  <c r="BB254" i="1"/>
  <c r="BB136" i="1"/>
  <c r="BB151" i="1"/>
  <c r="BB156" i="1"/>
  <c r="BB166" i="1"/>
  <c r="BB218" i="1"/>
  <c r="BB235" i="1"/>
  <c r="BB147" i="1"/>
  <c r="BB239" i="1"/>
  <c r="BB186" i="1"/>
  <c r="BB190" i="1"/>
  <c r="BB194" i="1"/>
  <c r="BB204" i="1"/>
  <c r="BB230" i="1"/>
  <c r="BB246" i="1"/>
  <c r="BB277" i="1"/>
  <c r="BB219" i="1"/>
  <c r="BF219" i="1" s="1"/>
  <c r="BB267" i="1"/>
  <c r="BB173" i="1"/>
  <c r="BF173" i="1" s="1"/>
  <c r="BB217" i="1"/>
  <c r="BB279" i="1"/>
  <c r="BB283" i="1"/>
  <c r="BB287" i="1"/>
  <c r="BB291" i="1"/>
  <c r="BB295" i="1"/>
  <c r="BB299" i="1"/>
  <c r="BB262" i="1"/>
  <c r="BB270" i="1"/>
  <c r="BB305" i="1"/>
  <c r="BB382" i="1"/>
  <c r="BB325" i="1"/>
  <c r="BB332" i="1"/>
  <c r="BB336" i="1"/>
  <c r="BB340" i="1"/>
  <c r="BB312" i="1"/>
  <c r="BB356" i="1"/>
  <c r="BB388" i="1"/>
  <c r="BB343" i="1"/>
  <c r="BB347" i="1"/>
  <c r="BB358" i="1"/>
  <c r="BB381" i="1"/>
  <c r="BB390" i="1"/>
  <c r="BB403" i="1"/>
  <c r="BB402" i="1"/>
  <c r="BB411" i="1"/>
  <c r="BB410" i="1"/>
  <c r="BB419" i="1"/>
  <c r="BB430" i="1"/>
  <c r="BB413" i="1"/>
  <c r="BB417" i="1"/>
  <c r="BB425" i="1"/>
  <c r="BB436" i="1"/>
  <c r="BF436" i="1" s="1"/>
  <c r="CP436" i="1" s="1"/>
  <c r="CQ436" i="1" s="1"/>
  <c r="AS436" i="1" s="1"/>
  <c r="BB439" i="1"/>
  <c r="BB446" i="1"/>
  <c r="BB450" i="1"/>
  <c r="CG200" i="1"/>
  <c r="CI200" i="1"/>
  <c r="CN200" i="1" s="1"/>
  <c r="CE200" i="1"/>
  <c r="CJ200" i="1" s="1"/>
  <c r="CO200" i="1" s="1"/>
  <c r="CL171" i="1"/>
  <c r="CH171" i="1"/>
  <c r="CM171" i="1" s="1"/>
  <c r="CF171" i="1"/>
  <c r="CK171" i="1" s="1"/>
  <c r="BE138" i="1"/>
  <c r="CL133" i="1"/>
  <c r="CH133" i="1"/>
  <c r="CM133" i="1" s="1"/>
  <c r="CF133" i="1"/>
  <c r="CK133" i="1" s="1"/>
  <c r="CL124" i="1"/>
  <c r="CH124" i="1"/>
  <c r="CM124" i="1" s="1"/>
  <c r="CF124" i="1"/>
  <c r="CK124" i="1" s="1"/>
  <c r="BB116" i="1"/>
  <c r="BD115" i="1"/>
  <c r="BC115" i="1"/>
  <c r="BB112" i="1"/>
  <c r="BD107" i="1"/>
  <c r="BC107" i="1"/>
  <c r="BC153" i="1"/>
  <c r="CR153" i="1" s="1"/>
  <c r="BA104" i="1"/>
  <c r="CR125" i="1"/>
  <c r="AZ389" i="1"/>
  <c r="AY389" i="1"/>
  <c r="AP389" i="1"/>
  <c r="AQ389" i="1" s="1"/>
  <c r="AX389" i="1"/>
  <c r="AN389" i="1"/>
  <c r="AR389" i="1" s="1"/>
  <c r="AW389" i="1"/>
  <c r="AW324" i="1"/>
  <c r="AZ324" i="1"/>
  <c r="AY324" i="1"/>
  <c r="AP324" i="1"/>
  <c r="AQ324" i="1" s="1"/>
  <c r="AX324" i="1"/>
  <c r="AN324" i="1"/>
  <c r="AR324" i="1" s="1"/>
  <c r="AX121" i="1"/>
  <c r="AN121" i="1"/>
  <c r="AR121" i="1" s="1"/>
  <c r="AY121" i="1"/>
  <c r="AW121" i="1"/>
  <c r="AZ121" i="1"/>
  <c r="AP121" i="1"/>
  <c r="AQ121" i="1" s="1"/>
  <c r="BA161" i="1" l="1"/>
  <c r="BA252" i="1"/>
  <c r="BF314" i="1"/>
  <c r="CP314" i="1" s="1"/>
  <c r="CQ314" i="1" s="1"/>
  <c r="AS314" i="1" s="1"/>
  <c r="BB222" i="1"/>
  <c r="BD239" i="1"/>
  <c r="BF239" i="1" s="1"/>
  <c r="BA151" i="1"/>
  <c r="CR291" i="1"/>
  <c r="BC197" i="1"/>
  <c r="CR197" i="1" s="1"/>
  <c r="BB132" i="1"/>
  <c r="BF132" i="1" s="1"/>
  <c r="CP132" i="1" s="1"/>
  <c r="CQ132" i="1" s="1"/>
  <c r="AS132" i="1" s="1"/>
  <c r="BA182" i="1"/>
  <c r="CL280" i="1"/>
  <c r="CP150" i="1"/>
  <c r="CQ150" i="1" s="1"/>
  <c r="AS150" i="1" s="1"/>
  <c r="BF392" i="1"/>
  <c r="CF293" i="1"/>
  <c r="CK293" i="1" s="1"/>
  <c r="CL293" i="1"/>
  <c r="CP173" i="1"/>
  <c r="CQ173" i="1" s="1"/>
  <c r="AS173" i="1" s="1"/>
  <c r="BF273" i="1"/>
  <c r="BD317" i="1"/>
  <c r="AS222" i="1"/>
  <c r="CF338" i="1"/>
  <c r="CK338" i="1" s="1"/>
  <c r="AW101" i="1"/>
  <c r="BD201" i="1"/>
  <c r="BC201" i="1"/>
  <c r="CH338" i="1"/>
  <c r="CM338" i="1" s="1"/>
  <c r="BD182" i="1"/>
  <c r="BB353" i="1"/>
  <c r="BF277" i="1"/>
  <c r="BC353" i="1"/>
  <c r="CL104" i="1"/>
  <c r="BC182" i="1"/>
  <c r="BD353" i="1"/>
  <c r="CH399" i="1"/>
  <c r="CM399" i="1" s="1"/>
  <c r="CL396" i="1"/>
  <c r="BF437" i="1"/>
  <c r="CP437" i="1" s="1"/>
  <c r="CQ437" i="1" s="1"/>
  <c r="AS437" i="1" s="1"/>
  <c r="BA197" i="1"/>
  <c r="BA317" i="1"/>
  <c r="BB182" i="1"/>
  <c r="CR332" i="1"/>
  <c r="CR207" i="1"/>
  <c r="CR364" i="1"/>
  <c r="BE197" i="1"/>
  <c r="BC369" i="1"/>
  <c r="BF369" i="1" s="1"/>
  <c r="BA235" i="1"/>
  <c r="BA316" i="1"/>
  <c r="BA230" i="1"/>
  <c r="CF395" i="1"/>
  <c r="CK395" i="1" s="1"/>
  <c r="BA162" i="1"/>
  <c r="CL139" i="1"/>
  <c r="BE179" i="1"/>
  <c r="BF275" i="1"/>
  <c r="CR215" i="1"/>
  <c r="BE200" i="1"/>
  <c r="BF355" i="1"/>
  <c r="CP355" i="1" s="1"/>
  <c r="CQ355" i="1" s="1"/>
  <c r="AS355" i="1" s="1"/>
  <c r="BF431" i="1"/>
  <c r="CP431" i="1" s="1"/>
  <c r="CQ431" i="1" s="1"/>
  <c r="AS431" i="1" s="1"/>
  <c r="CP376" i="1"/>
  <c r="CQ376" i="1" s="1"/>
  <c r="AS376" i="1" s="1"/>
  <c r="CL395" i="1"/>
  <c r="BA209" i="1"/>
  <c r="CL178" i="1"/>
  <c r="CR331" i="1"/>
  <c r="BB252" i="1"/>
  <c r="BB202" i="1"/>
  <c r="BC216" i="1"/>
  <c r="CR216" i="1" s="1"/>
  <c r="CL404" i="1"/>
  <c r="CL401" i="1"/>
  <c r="CL158" i="1"/>
  <c r="BB197" i="1"/>
  <c r="CR312" i="1"/>
  <c r="BD202" i="1"/>
  <c r="BC202" i="1"/>
  <c r="BF141" i="1"/>
  <c r="BC142" i="1"/>
  <c r="CR142" i="1" s="1"/>
  <c r="CH201" i="1"/>
  <c r="CM201" i="1" s="1"/>
  <c r="CF139" i="1"/>
  <c r="CK139" i="1" s="1"/>
  <c r="BF442" i="1"/>
  <c r="CP442" i="1" s="1"/>
  <c r="CQ442" i="1" s="1"/>
  <c r="AS442" i="1" s="1"/>
  <c r="CH401" i="1"/>
  <c r="CM401" i="1" s="1"/>
  <c r="BF240" i="1"/>
  <c r="BA224" i="1"/>
  <c r="BA217" i="1"/>
  <c r="BA238" i="1"/>
  <c r="BB216" i="1"/>
  <c r="BF340" i="1"/>
  <c r="CP340" i="1" s="1"/>
  <c r="CQ340" i="1" s="1"/>
  <c r="AS340" i="1" s="1"/>
  <c r="BD222" i="1"/>
  <c r="CL316" i="1"/>
  <c r="CR415" i="1"/>
  <c r="BB179" i="1"/>
  <c r="CH104" i="1"/>
  <c r="CM104" i="1" s="1"/>
  <c r="BF447" i="1"/>
  <c r="CP447" i="1" s="1"/>
  <c r="CQ447" i="1" s="1"/>
  <c r="AS447" i="1" s="1"/>
  <c r="CH361" i="1"/>
  <c r="CM361" i="1" s="1"/>
  <c r="BB214" i="1"/>
  <c r="BF165" i="1"/>
  <c r="CH352" i="1"/>
  <c r="CM352" i="1" s="1"/>
  <c r="BC179" i="1"/>
  <c r="CR179" i="1" s="1"/>
  <c r="BA236" i="1"/>
  <c r="BA247" i="1"/>
  <c r="CF178" i="1"/>
  <c r="CK178" i="1" s="1"/>
  <c r="BF270" i="1"/>
  <c r="BF247" i="1"/>
  <c r="BF440" i="1"/>
  <c r="CP440" i="1" s="1"/>
  <c r="CQ440" i="1" s="1"/>
  <c r="AS440" i="1" s="1"/>
  <c r="AS236" i="1"/>
  <c r="CH158" i="1"/>
  <c r="CM158" i="1" s="1"/>
  <c r="BA251" i="1"/>
  <c r="BF430" i="1"/>
  <c r="CP430" i="1" s="1"/>
  <c r="CQ430" i="1" s="1"/>
  <c r="AS430" i="1" s="1"/>
  <c r="AS230" i="1"/>
  <c r="AS231" i="1"/>
  <c r="BA183" i="1"/>
  <c r="BA198" i="1"/>
  <c r="BA373" i="1"/>
  <c r="BA223" i="1"/>
  <c r="BA231" i="1"/>
  <c r="CP379" i="1"/>
  <c r="CQ379" i="1" s="1"/>
  <c r="AS379" i="1" s="1"/>
  <c r="BF453" i="1"/>
  <c r="CP453" i="1" s="1"/>
  <c r="CQ453" i="1" s="1"/>
  <c r="AS453" i="1" s="1"/>
  <c r="CL359" i="1"/>
  <c r="BC214" i="1"/>
  <c r="BD214" i="1"/>
  <c r="BF390" i="1"/>
  <c r="CP390" i="1" s="1"/>
  <c r="CQ390" i="1" s="1"/>
  <c r="AS390" i="1" s="1"/>
  <c r="BF382" i="1"/>
  <c r="CP382" i="1" s="1"/>
  <c r="CQ382" i="1" s="1"/>
  <c r="AS382" i="1" s="1"/>
  <c r="AS238" i="1"/>
  <c r="BD255" i="1"/>
  <c r="CR391" i="1"/>
  <c r="CP310" i="1"/>
  <c r="CQ310" i="1" s="1"/>
  <c r="AS310" i="1" s="1"/>
  <c r="CF359" i="1"/>
  <c r="CK359" i="1" s="1"/>
  <c r="CH404" i="1"/>
  <c r="CM404" i="1" s="1"/>
  <c r="CP444" i="1"/>
  <c r="CQ444" i="1" s="1"/>
  <c r="AS444" i="1" s="1"/>
  <c r="BB255" i="1"/>
  <c r="BE255" i="1"/>
  <c r="BA201" i="1"/>
  <c r="BF312" i="1"/>
  <c r="CP312" i="1" s="1"/>
  <c r="CQ312" i="1" s="1"/>
  <c r="AS312" i="1" s="1"/>
  <c r="BF186" i="1"/>
  <c r="CP186" i="1" s="1"/>
  <c r="CQ186" i="1" s="1"/>
  <c r="AS186" i="1" s="1"/>
  <c r="BF156" i="1"/>
  <c r="CP156" i="1" s="1"/>
  <c r="CQ156" i="1" s="1"/>
  <c r="AS156" i="1" s="1"/>
  <c r="BD397" i="1"/>
  <c r="CL361" i="1"/>
  <c r="BF146" i="1"/>
  <c r="CP146" i="1" s="1"/>
  <c r="CQ146" i="1" s="1"/>
  <c r="AS146" i="1" s="1"/>
  <c r="CP165" i="1"/>
  <c r="CQ165" i="1" s="1"/>
  <c r="AS165" i="1" s="1"/>
  <c r="CL201" i="1"/>
  <c r="BB124" i="1"/>
  <c r="CR407" i="1"/>
  <c r="BF448" i="1"/>
  <c r="CP448" i="1" s="1"/>
  <c r="CQ448" i="1" s="1"/>
  <c r="AS448" i="1" s="1"/>
  <c r="BE124" i="1"/>
  <c r="CH280" i="1"/>
  <c r="CM280" i="1" s="1"/>
  <c r="BE161" i="1"/>
  <c r="BF283" i="1"/>
  <c r="CP283" i="1" s="1"/>
  <c r="CQ283" i="1" s="1"/>
  <c r="AS283" i="1" s="1"/>
  <c r="BE250" i="1"/>
  <c r="BE130" i="1"/>
  <c r="BF294" i="1"/>
  <c r="CP294" i="1" s="1"/>
  <c r="CQ294" i="1" s="1"/>
  <c r="AS294" i="1" s="1"/>
  <c r="BB130" i="1"/>
  <c r="BB161" i="1"/>
  <c r="CR335" i="1"/>
  <c r="BF274" i="1"/>
  <c r="BF149" i="1"/>
  <c r="CP149" i="1" s="1"/>
  <c r="CQ149" i="1" s="1"/>
  <c r="AS149" i="1" s="1"/>
  <c r="BD130" i="1"/>
  <c r="BA222" i="1"/>
  <c r="BA358" i="1"/>
  <c r="BA214" i="1"/>
  <c r="BA179" i="1"/>
  <c r="BA369" i="1"/>
  <c r="BA202" i="1"/>
  <c r="BA239" i="1"/>
  <c r="BF432" i="1"/>
  <c r="CP432" i="1" s="1"/>
  <c r="CQ432" i="1" s="1"/>
  <c r="AS432" i="1" s="1"/>
  <c r="BF387" i="1"/>
  <c r="CP387" i="1" s="1"/>
  <c r="CQ387" i="1" s="1"/>
  <c r="AS387" i="1" s="1"/>
  <c r="BF345" i="1"/>
  <c r="CP345" i="1" s="1"/>
  <c r="CQ345" i="1" s="1"/>
  <c r="AS345" i="1" s="1"/>
  <c r="BF145" i="1"/>
  <c r="CP145" i="1" s="1"/>
  <c r="CQ145" i="1" s="1"/>
  <c r="AS145" i="1" s="1"/>
  <c r="BE222" i="1"/>
  <c r="BF221" i="1"/>
  <c r="BC124" i="1"/>
  <c r="CR124" i="1" s="1"/>
  <c r="BC161" i="1"/>
  <c r="CR161" i="1" s="1"/>
  <c r="BF305" i="1"/>
  <c r="CP305" i="1" s="1"/>
  <c r="CQ305" i="1" s="1"/>
  <c r="AS305" i="1" s="1"/>
  <c r="BF136" i="1"/>
  <c r="CP136" i="1" s="1"/>
  <c r="CQ136" i="1" s="1"/>
  <c r="AS136" i="1" s="1"/>
  <c r="CF336" i="1"/>
  <c r="CK336" i="1" s="1"/>
  <c r="BF385" i="1"/>
  <c r="CP385" i="1" s="1"/>
  <c r="CQ385" i="1" s="1"/>
  <c r="AS385" i="1" s="1"/>
  <c r="CH308" i="1"/>
  <c r="CM308" i="1" s="1"/>
  <c r="CR432" i="1"/>
  <c r="CH288" i="1"/>
  <c r="CM288" i="1" s="1"/>
  <c r="CL288" i="1"/>
  <c r="CF435" i="1"/>
  <c r="CK435" i="1" s="1"/>
  <c r="CH435" i="1"/>
  <c r="CM435" i="1" s="1"/>
  <c r="CL435" i="1"/>
  <c r="CH197" i="1"/>
  <c r="CM197" i="1" s="1"/>
  <c r="CF167" i="1"/>
  <c r="CK167" i="1" s="1"/>
  <c r="CL197" i="1"/>
  <c r="CF316" i="1"/>
  <c r="CK316" i="1" s="1"/>
  <c r="BF304" i="1"/>
  <c r="CP304" i="1" s="1"/>
  <c r="CQ304" i="1" s="1"/>
  <c r="AS304" i="1" s="1"/>
  <c r="BF257" i="1"/>
  <c r="CH167" i="1"/>
  <c r="CM167" i="1" s="1"/>
  <c r="BF441" i="1"/>
  <c r="CP441" i="1" s="1"/>
  <c r="CQ441" i="1" s="1"/>
  <c r="AS441" i="1" s="1"/>
  <c r="CP338" i="1"/>
  <c r="CQ338" i="1" s="1"/>
  <c r="AS338" i="1" s="1"/>
  <c r="BF244" i="1"/>
  <c r="CH336" i="1"/>
  <c r="CM336" i="1" s="1"/>
  <c r="CH363" i="1"/>
  <c r="CM363" i="1" s="1"/>
  <c r="BA362" i="1"/>
  <c r="CP313" i="1"/>
  <c r="CQ313" i="1" s="1"/>
  <c r="AS313" i="1" s="1"/>
  <c r="BF381" i="1"/>
  <c r="CP381" i="1" s="1"/>
  <c r="CQ381" i="1" s="1"/>
  <c r="AS381" i="1" s="1"/>
  <c r="BF424" i="1"/>
  <c r="CP424" i="1" s="1"/>
  <c r="CQ424" i="1" s="1"/>
  <c r="AS424" i="1" s="1"/>
  <c r="BA216" i="1"/>
  <c r="BF331" i="1"/>
  <c r="CP331" i="1" s="1"/>
  <c r="CQ331" i="1" s="1"/>
  <c r="AS331" i="1" s="1"/>
  <c r="BF189" i="1"/>
  <c r="CP189" i="1" s="1"/>
  <c r="CQ189" i="1" s="1"/>
  <c r="AS189" i="1" s="1"/>
  <c r="BB162" i="1"/>
  <c r="BB397" i="1"/>
  <c r="BB250" i="1"/>
  <c r="CF340" i="1"/>
  <c r="CK340" i="1" s="1"/>
  <c r="CF354" i="1"/>
  <c r="CK354" i="1" s="1"/>
  <c r="BF306" i="1"/>
  <c r="CP306" i="1" s="1"/>
  <c r="CQ306" i="1" s="1"/>
  <c r="AS306" i="1" s="1"/>
  <c r="BC328" i="1"/>
  <c r="BD251" i="1"/>
  <c r="BF417" i="1"/>
  <c r="CP417" i="1" s="1"/>
  <c r="CQ417" i="1" s="1"/>
  <c r="AS417" i="1" s="1"/>
  <c r="BF410" i="1"/>
  <c r="CP410" i="1" s="1"/>
  <c r="CQ410" i="1" s="1"/>
  <c r="AS410" i="1" s="1"/>
  <c r="CR295" i="1"/>
  <c r="CR406" i="1"/>
  <c r="BF302" i="1"/>
  <c r="CP302" i="1" s="1"/>
  <c r="CQ302" i="1" s="1"/>
  <c r="AS302" i="1" s="1"/>
  <c r="CP383" i="1"/>
  <c r="CQ383" i="1" s="1"/>
  <c r="AS383" i="1" s="1"/>
  <c r="BB328" i="1"/>
  <c r="BF227" i="1"/>
  <c r="CH340" i="1"/>
  <c r="CM340" i="1" s="1"/>
  <c r="CH354" i="1"/>
  <c r="CM354" i="1" s="1"/>
  <c r="BC397" i="1"/>
  <c r="CL363" i="1"/>
  <c r="BA250" i="1"/>
  <c r="CH282" i="1"/>
  <c r="CM282" i="1" s="1"/>
  <c r="CF282" i="1"/>
  <c r="CK282" i="1" s="1"/>
  <c r="CL282" i="1"/>
  <c r="BF147" i="1"/>
  <c r="CP147" i="1" s="1"/>
  <c r="CQ147" i="1" s="1"/>
  <c r="AS147" i="1" s="1"/>
  <c r="BD328" i="1"/>
  <c r="CR328" i="1" s="1"/>
  <c r="BF116" i="1"/>
  <c r="CP116" i="1" s="1"/>
  <c r="CQ116" i="1" s="1"/>
  <c r="AS116" i="1" s="1"/>
  <c r="BF439" i="1"/>
  <c r="CP439" i="1" s="1"/>
  <c r="CQ439" i="1" s="1"/>
  <c r="AS439" i="1" s="1"/>
  <c r="BF388" i="1"/>
  <c r="CP388" i="1" s="1"/>
  <c r="CQ388" i="1" s="1"/>
  <c r="AS388" i="1" s="1"/>
  <c r="BF336" i="1"/>
  <c r="CP336" i="1" s="1"/>
  <c r="CQ336" i="1" s="1"/>
  <c r="AS336" i="1" s="1"/>
  <c r="BF295" i="1"/>
  <c r="CP295" i="1" s="1"/>
  <c r="CQ295" i="1" s="1"/>
  <c r="AS295" i="1" s="1"/>
  <c r="BF279" i="1"/>
  <c r="CP279" i="1" s="1"/>
  <c r="CQ279" i="1" s="1"/>
  <c r="AS279" i="1" s="1"/>
  <c r="BB251" i="1"/>
  <c r="BF151" i="1"/>
  <c r="CP151" i="1" s="1"/>
  <c r="CQ151" i="1" s="1"/>
  <c r="AS151" i="1" s="1"/>
  <c r="BE251" i="1"/>
  <c r="BF337" i="1"/>
  <c r="CP337" i="1" s="1"/>
  <c r="CQ337" i="1" s="1"/>
  <c r="AS337" i="1" s="1"/>
  <c r="BF264" i="1"/>
  <c r="BF350" i="1"/>
  <c r="CP350" i="1" s="1"/>
  <c r="CQ350" i="1" s="1"/>
  <c r="AS350" i="1" s="1"/>
  <c r="BE162" i="1"/>
  <c r="CL308" i="1"/>
  <c r="BA196" i="1"/>
  <c r="BA351" i="1"/>
  <c r="BA397" i="1"/>
  <c r="BA234" i="1"/>
  <c r="BC252" i="1"/>
  <c r="BE252" i="1"/>
  <c r="CH285" i="1"/>
  <c r="CM285" i="1" s="1"/>
  <c r="CL285" i="1"/>
  <c r="BF413" i="1"/>
  <c r="CP413" i="1" s="1"/>
  <c r="CQ413" i="1" s="1"/>
  <c r="AS413" i="1" s="1"/>
  <c r="BF204" i="1"/>
  <c r="CP204" i="1" s="1"/>
  <c r="CQ204" i="1" s="1"/>
  <c r="AS204" i="1" s="1"/>
  <c r="BF268" i="1"/>
  <c r="BF362" i="1"/>
  <c r="CF281" i="1"/>
  <c r="CK281" i="1" s="1"/>
  <c r="CL281" i="1"/>
  <c r="CH281" i="1"/>
  <c r="CM281" i="1" s="1"/>
  <c r="AR251" i="1"/>
  <c r="AS251" i="1"/>
  <c r="AS255" i="1"/>
  <c r="BE317" i="1"/>
  <c r="AS250" i="1"/>
  <c r="BF148" i="1"/>
  <c r="CP148" i="1" s="1"/>
  <c r="CQ148" i="1" s="1"/>
  <c r="AS148" i="1" s="1"/>
  <c r="BF108" i="1"/>
  <c r="CP108" i="1" s="1"/>
  <c r="CQ108" i="1" s="1"/>
  <c r="AS108" i="1" s="1"/>
  <c r="BF112" i="1"/>
  <c r="CP112" i="1" s="1"/>
  <c r="CQ112" i="1" s="1"/>
  <c r="AS112" i="1" s="1"/>
  <c r="BF402" i="1"/>
  <c r="CP402" i="1" s="1"/>
  <c r="CQ402" i="1" s="1"/>
  <c r="AS402" i="1" s="1"/>
  <c r="BF358" i="1"/>
  <c r="BF246" i="1"/>
  <c r="BF194" i="1"/>
  <c r="CP194" i="1" s="1"/>
  <c r="CQ194" i="1" s="1"/>
  <c r="AS194" i="1" s="1"/>
  <c r="BF342" i="1"/>
  <c r="CP342" i="1" s="1"/>
  <c r="CQ342" i="1" s="1"/>
  <c r="AS342" i="1" s="1"/>
  <c r="BF311" i="1"/>
  <c r="CP311" i="1" s="1"/>
  <c r="CQ311" i="1" s="1"/>
  <c r="AS311" i="1" s="1"/>
  <c r="BF260" i="1"/>
  <c r="BF282" i="1"/>
  <c r="CP282" i="1" s="1"/>
  <c r="CQ282" i="1" s="1"/>
  <c r="AS282" i="1" s="1"/>
  <c r="BF243" i="1"/>
  <c r="BF135" i="1"/>
  <c r="CP135" i="1" s="1"/>
  <c r="CQ135" i="1" s="1"/>
  <c r="AS135" i="1" s="1"/>
  <c r="AS234" i="1"/>
  <c r="BD250" i="1"/>
  <c r="CR278" i="1"/>
  <c r="CL402" i="1"/>
  <c r="BC212" i="1"/>
  <c r="CP307" i="1"/>
  <c r="CQ307" i="1" s="1"/>
  <c r="AS307" i="1" s="1"/>
  <c r="CR158" i="1"/>
  <c r="BC162" i="1"/>
  <c r="CR162" i="1" s="1"/>
  <c r="CR380" i="1"/>
  <c r="CR107" i="1"/>
  <c r="CR115" i="1"/>
  <c r="BF450" i="1"/>
  <c r="CP450" i="1" s="1"/>
  <c r="CQ450" i="1" s="1"/>
  <c r="AS450" i="1" s="1"/>
  <c r="BF425" i="1"/>
  <c r="CP425" i="1" s="1"/>
  <c r="CQ425" i="1" s="1"/>
  <c r="AS425" i="1" s="1"/>
  <c r="BF419" i="1"/>
  <c r="CP419" i="1" s="1"/>
  <c r="CQ419" i="1" s="1"/>
  <c r="AS419" i="1" s="1"/>
  <c r="BF403" i="1"/>
  <c r="CP403" i="1" s="1"/>
  <c r="CQ403" i="1" s="1"/>
  <c r="AS403" i="1" s="1"/>
  <c r="BF262" i="1"/>
  <c r="BF287" i="1"/>
  <c r="CP287" i="1" s="1"/>
  <c r="CQ287" i="1" s="1"/>
  <c r="AS287" i="1" s="1"/>
  <c r="BF267" i="1"/>
  <c r="BF218" i="1"/>
  <c r="CR316" i="1"/>
  <c r="CR298" i="1"/>
  <c r="CR349" i="1"/>
  <c r="BF438" i="1"/>
  <c r="CP438" i="1" s="1"/>
  <c r="CQ438" i="1" s="1"/>
  <c r="AS438" i="1" s="1"/>
  <c r="BF412" i="1"/>
  <c r="CP412" i="1" s="1"/>
  <c r="CQ412" i="1" s="1"/>
  <c r="AS412" i="1" s="1"/>
  <c r="BF384" i="1"/>
  <c r="CP384" i="1" s="1"/>
  <c r="CQ384" i="1" s="1"/>
  <c r="AS384" i="1" s="1"/>
  <c r="BF339" i="1"/>
  <c r="CP339" i="1" s="1"/>
  <c r="CQ339" i="1" s="1"/>
  <c r="AS339" i="1" s="1"/>
  <c r="BF278" i="1"/>
  <c r="CP278" i="1" s="1"/>
  <c r="CQ278" i="1" s="1"/>
  <c r="AS278" i="1" s="1"/>
  <c r="BF263" i="1"/>
  <c r="BD212" i="1"/>
  <c r="CR282" i="1"/>
  <c r="BC317" i="1"/>
  <c r="CR398" i="1"/>
  <c r="BF169" i="1"/>
  <c r="CP169" i="1" s="1"/>
  <c r="CQ169" i="1" s="1"/>
  <c r="AS169" i="1" s="1"/>
  <c r="BF380" i="1"/>
  <c r="CP380" i="1" s="1"/>
  <c r="CQ380" i="1" s="1"/>
  <c r="AS380" i="1" s="1"/>
  <c r="BF303" i="1"/>
  <c r="CP303" i="1" s="1"/>
  <c r="CQ303" i="1" s="1"/>
  <c r="AS303" i="1" s="1"/>
  <c r="CP386" i="1"/>
  <c r="CQ386" i="1" s="1"/>
  <c r="AS386" i="1" s="1"/>
  <c r="CF285" i="1"/>
  <c r="CK285" i="1" s="1"/>
  <c r="BF395" i="1"/>
  <c r="CP395" i="1" s="1"/>
  <c r="CQ395" i="1" s="1"/>
  <c r="AS395" i="1" s="1"/>
  <c r="BF320" i="1"/>
  <c r="CP320" i="1" s="1"/>
  <c r="CQ320" i="1" s="1"/>
  <c r="AS320" i="1" s="1"/>
  <c r="CR112" i="1"/>
  <c r="CP141" i="1"/>
  <c r="CQ141" i="1" s="1"/>
  <c r="AS141" i="1" s="1"/>
  <c r="BF335" i="1"/>
  <c r="CP335" i="1" s="1"/>
  <c r="CQ335" i="1" s="1"/>
  <c r="AS335" i="1" s="1"/>
  <c r="CR132" i="1"/>
  <c r="BF113" i="1"/>
  <c r="CP113" i="1" s="1"/>
  <c r="CQ113" i="1" s="1"/>
  <c r="AS113" i="1" s="1"/>
  <c r="CR358" i="1"/>
  <c r="BF411" i="1"/>
  <c r="CP411" i="1" s="1"/>
  <c r="CQ411" i="1" s="1"/>
  <c r="AS411" i="1" s="1"/>
  <c r="CR118" i="1"/>
  <c r="BF346" i="1"/>
  <c r="CP346" i="1" s="1"/>
  <c r="CQ346" i="1" s="1"/>
  <c r="AS346" i="1" s="1"/>
  <c r="BF286" i="1"/>
  <c r="CP286" i="1" s="1"/>
  <c r="CQ286" i="1" s="1"/>
  <c r="AS286" i="1" s="1"/>
  <c r="BF265" i="1"/>
  <c r="BF226" i="1"/>
  <c r="BF234" i="1"/>
  <c r="BB351" i="1"/>
  <c r="BF158" i="1"/>
  <c r="CP158" i="1" s="1"/>
  <c r="CQ158" i="1" s="1"/>
  <c r="AS158" i="1" s="1"/>
  <c r="BD217" i="1"/>
  <c r="BE217" i="1"/>
  <c r="BC217" i="1"/>
  <c r="CR138" i="1"/>
  <c r="BF356" i="1"/>
  <c r="CP356" i="1" s="1"/>
  <c r="CQ356" i="1" s="1"/>
  <c r="AS356" i="1" s="1"/>
  <c r="BF291" i="1"/>
  <c r="CP291" i="1" s="1"/>
  <c r="CQ291" i="1" s="1"/>
  <c r="AS291" i="1" s="1"/>
  <c r="CR205" i="1"/>
  <c r="BF104" i="1"/>
  <c r="CP104" i="1" s="1"/>
  <c r="CQ104" i="1" s="1"/>
  <c r="AS104" i="1" s="1"/>
  <c r="BA393" i="1"/>
  <c r="BF271" i="1"/>
  <c r="BE212" i="1"/>
  <c r="BA167" i="1"/>
  <c r="CR206" i="1"/>
  <c r="CR122" i="1"/>
  <c r="CR287" i="1"/>
  <c r="BA363" i="1"/>
  <c r="CR117" i="1"/>
  <c r="BF138" i="1"/>
  <c r="CP138" i="1" s="1"/>
  <c r="CQ138" i="1" s="1"/>
  <c r="AS138" i="1" s="1"/>
  <c r="BD236" i="1"/>
  <c r="BC236" i="1"/>
  <c r="BE236" i="1"/>
  <c r="BE209" i="1"/>
  <c r="BD209" i="1"/>
  <c r="AY455" i="1"/>
  <c r="CR288" i="1"/>
  <c r="CR114" i="1"/>
  <c r="BF207" i="1"/>
  <c r="CP207" i="1" s="1"/>
  <c r="CQ207" i="1" s="1"/>
  <c r="AS207" i="1" s="1"/>
  <c r="CR416" i="1"/>
  <c r="CR116" i="1"/>
  <c r="CR133" i="1"/>
  <c r="BF231" i="1"/>
  <c r="BA225" i="1"/>
  <c r="BF308" i="1"/>
  <c r="CP308" i="1" s="1"/>
  <c r="CQ308" i="1" s="1"/>
  <c r="AS308" i="1" s="1"/>
  <c r="BA368" i="1"/>
  <c r="AR235" i="1"/>
  <c r="AS235" i="1"/>
  <c r="CF154" i="1"/>
  <c r="CK154" i="1" s="1"/>
  <c r="CL154" i="1"/>
  <c r="CH154" i="1"/>
  <c r="CM154" i="1" s="1"/>
  <c r="BE224" i="1"/>
  <c r="BD224" i="1"/>
  <c r="BC224" i="1"/>
  <c r="CF156" i="1"/>
  <c r="CK156" i="1" s="1"/>
  <c r="CL156" i="1"/>
  <c r="CH156" i="1"/>
  <c r="CM156" i="1" s="1"/>
  <c r="CL291" i="1"/>
  <c r="CH291" i="1"/>
  <c r="CM291" i="1" s="1"/>
  <c r="CF291" i="1"/>
  <c r="CK291" i="1" s="1"/>
  <c r="CF344" i="1"/>
  <c r="CK344" i="1" s="1"/>
  <c r="CL344" i="1"/>
  <c r="CH344" i="1"/>
  <c r="CM344" i="1" s="1"/>
  <c r="CH292" i="1"/>
  <c r="CM292" i="1" s="1"/>
  <c r="CF292" i="1"/>
  <c r="CK292" i="1" s="1"/>
  <c r="CL292" i="1"/>
  <c r="CR360" i="1"/>
  <c r="BA319" i="1"/>
  <c r="AX101" i="1"/>
  <c r="BF289" i="1"/>
  <c r="CP289" i="1" s="1"/>
  <c r="CQ289" i="1" s="1"/>
  <c r="AS289" i="1" s="1"/>
  <c r="CR428" i="1"/>
  <c r="BA371" i="1"/>
  <c r="BF110" i="1"/>
  <c r="CP110" i="1" s="1"/>
  <c r="CQ110" i="1" s="1"/>
  <c r="AS110" i="1" s="1"/>
  <c r="BF256" i="1"/>
  <c r="CR135" i="1"/>
  <c r="CR296" i="1"/>
  <c r="CL283" i="1"/>
  <c r="CH283" i="1"/>
  <c r="CM283" i="1" s="1"/>
  <c r="CF283" i="1"/>
  <c r="CK283" i="1" s="1"/>
  <c r="CL374" i="1"/>
  <c r="CF374" i="1"/>
  <c r="CK374" i="1" s="1"/>
  <c r="CH374" i="1"/>
  <c r="CM374" i="1" s="1"/>
  <c r="CH284" i="1"/>
  <c r="CM284" i="1" s="1"/>
  <c r="CF284" i="1"/>
  <c r="CK284" i="1" s="1"/>
  <c r="CL284" i="1"/>
  <c r="CL294" i="1"/>
  <c r="CH294" i="1"/>
  <c r="CM294" i="1" s="1"/>
  <c r="CF294" i="1"/>
  <c r="CK294" i="1" s="1"/>
  <c r="CL454" i="1"/>
  <c r="CH454" i="1"/>
  <c r="CM454" i="1" s="1"/>
  <c r="CF454" i="1"/>
  <c r="CK454" i="1" s="1"/>
  <c r="CL342" i="1"/>
  <c r="CH342" i="1"/>
  <c r="CM342" i="1" s="1"/>
  <c r="CF342" i="1"/>
  <c r="CK342" i="1" s="1"/>
  <c r="BF332" i="1"/>
  <c r="CP332" i="1" s="1"/>
  <c r="CQ332" i="1" s="1"/>
  <c r="AS332" i="1" s="1"/>
  <c r="BA172" i="1"/>
  <c r="BA160" i="1"/>
  <c r="CR373" i="1"/>
  <c r="CR134" i="1"/>
  <c r="CR106" i="1"/>
  <c r="BF183" i="1"/>
  <c r="CP183" i="1" s="1"/>
  <c r="CQ183" i="1" s="1"/>
  <c r="AS183" i="1" s="1"/>
  <c r="BA245" i="1"/>
  <c r="BA253" i="1"/>
  <c r="CR293" i="1"/>
  <c r="BA367" i="1"/>
  <c r="BA352" i="1"/>
  <c r="BF117" i="1"/>
  <c r="CP117" i="1" s="1"/>
  <c r="CQ117" i="1" s="1"/>
  <c r="AS117" i="1" s="1"/>
  <c r="BA241" i="1"/>
  <c r="BA359" i="1"/>
  <c r="CR409" i="1"/>
  <c r="CH157" i="1"/>
  <c r="CM157" i="1" s="1"/>
  <c r="CF157" i="1"/>
  <c r="CK157" i="1" s="1"/>
  <c r="CL157" i="1"/>
  <c r="BE196" i="1"/>
  <c r="BD196" i="1"/>
  <c r="BC196" i="1"/>
  <c r="BC200" i="1"/>
  <c r="BD200" i="1"/>
  <c r="CF136" i="1"/>
  <c r="CK136" i="1" s="1"/>
  <c r="CL136" i="1"/>
  <c r="CH136" i="1"/>
  <c r="CM136" i="1" s="1"/>
  <c r="BE177" i="1"/>
  <c r="BC177" i="1"/>
  <c r="BD177" i="1"/>
  <c r="CL279" i="1"/>
  <c r="CH279" i="1"/>
  <c r="CM279" i="1" s="1"/>
  <c r="CF279" i="1"/>
  <c r="CK279" i="1" s="1"/>
  <c r="CL137" i="1"/>
  <c r="CH137" i="1"/>
  <c r="CM137" i="1" s="1"/>
  <c r="CF137" i="1"/>
  <c r="CK137" i="1" s="1"/>
  <c r="CF286" i="1"/>
  <c r="CK286" i="1" s="1"/>
  <c r="CL286" i="1"/>
  <c r="CH286" i="1"/>
  <c r="CM286" i="1" s="1"/>
  <c r="CH343" i="1"/>
  <c r="CM343" i="1" s="1"/>
  <c r="CF343" i="1"/>
  <c r="CK343" i="1" s="1"/>
  <c r="CL343" i="1"/>
  <c r="BF445" i="1"/>
  <c r="CP445" i="1" s="1"/>
  <c r="CQ445" i="1" s="1"/>
  <c r="AS445" i="1" s="1"/>
  <c r="BF422" i="1"/>
  <c r="CP422" i="1" s="1"/>
  <c r="CQ422" i="1" s="1"/>
  <c r="AS422" i="1" s="1"/>
  <c r="BF188" i="1"/>
  <c r="CP188" i="1" s="1"/>
  <c r="CQ188" i="1" s="1"/>
  <c r="AS188" i="1" s="1"/>
  <c r="CR445" i="1"/>
  <c r="CR280" i="1"/>
  <c r="BF360" i="1"/>
  <c r="CP360" i="1" s="1"/>
  <c r="CQ360" i="1" s="1"/>
  <c r="AS360" i="1" s="1"/>
  <c r="BD351" i="1"/>
  <c r="BC351" i="1"/>
  <c r="CL287" i="1"/>
  <c r="CH287" i="1"/>
  <c r="CM287" i="1" s="1"/>
  <c r="CF287" i="1"/>
  <c r="CK287" i="1" s="1"/>
  <c r="CL398" i="1"/>
  <c r="CH398" i="1"/>
  <c r="CM398" i="1" s="1"/>
  <c r="CF398" i="1"/>
  <c r="CK398" i="1" s="1"/>
  <c r="AR224" i="1"/>
  <c r="AS224" i="1"/>
  <c r="CH155" i="1"/>
  <c r="CM155" i="1" s="1"/>
  <c r="CF155" i="1"/>
  <c r="CK155" i="1" s="1"/>
  <c r="CL155" i="1"/>
  <c r="CH278" i="1"/>
  <c r="CM278" i="1" s="1"/>
  <c r="CF278" i="1"/>
  <c r="CK278" i="1" s="1"/>
  <c r="CL278" i="1"/>
  <c r="CF373" i="1"/>
  <c r="CK373" i="1" s="1"/>
  <c r="CL373" i="1"/>
  <c r="CH373" i="1"/>
  <c r="CM373" i="1" s="1"/>
  <c r="CL417" i="1"/>
  <c r="CH417" i="1"/>
  <c r="CM417" i="1" s="1"/>
  <c r="CF417" i="1"/>
  <c r="CK417" i="1" s="1"/>
  <c r="CF204" i="1"/>
  <c r="CK204" i="1" s="1"/>
  <c r="CL204" i="1"/>
  <c r="CH204" i="1"/>
  <c r="CM204" i="1" s="1"/>
  <c r="BC394" i="1"/>
  <c r="BB394" i="1"/>
  <c r="BD394" i="1"/>
  <c r="BE394" i="1"/>
  <c r="BC245" i="1"/>
  <c r="BE245" i="1"/>
  <c r="BB245" i="1"/>
  <c r="BD245" i="1"/>
  <c r="AR249" i="1"/>
  <c r="AS249" i="1"/>
  <c r="CR285" i="1"/>
  <c r="CF369" i="1"/>
  <c r="CK369" i="1" s="1"/>
  <c r="CL369" i="1"/>
  <c r="CH369" i="1"/>
  <c r="CM369" i="1" s="1"/>
  <c r="BC372" i="1"/>
  <c r="BB372" i="1"/>
  <c r="BD372" i="1"/>
  <c r="BE372" i="1"/>
  <c r="CF428" i="1"/>
  <c r="CK428" i="1" s="1"/>
  <c r="CL428" i="1"/>
  <c r="CH428" i="1"/>
  <c r="CM428" i="1" s="1"/>
  <c r="AR241" i="1"/>
  <c r="AS241" i="1"/>
  <c r="BC168" i="1"/>
  <c r="BB168" i="1"/>
  <c r="BE168" i="1"/>
  <c r="BD168" i="1"/>
  <c r="CF187" i="1"/>
  <c r="CK187" i="1" s="1"/>
  <c r="CL187" i="1"/>
  <c r="CH187" i="1"/>
  <c r="CM187" i="1" s="1"/>
  <c r="BC323" i="1"/>
  <c r="BD323" i="1"/>
  <c r="BB323" i="1"/>
  <c r="BE323" i="1"/>
  <c r="CL418" i="1"/>
  <c r="CH418" i="1"/>
  <c r="CM418" i="1" s="1"/>
  <c r="CF418" i="1"/>
  <c r="CK418" i="1" s="1"/>
  <c r="CL411" i="1"/>
  <c r="CH411" i="1"/>
  <c r="CM411" i="1" s="1"/>
  <c r="CF411" i="1"/>
  <c r="CK411" i="1" s="1"/>
  <c r="BF404" i="1"/>
  <c r="CP404" i="1" s="1"/>
  <c r="CQ404" i="1" s="1"/>
  <c r="AS404" i="1" s="1"/>
  <c r="BF198" i="1"/>
  <c r="BF347" i="1"/>
  <c r="CP347" i="1" s="1"/>
  <c r="CQ347" i="1" s="1"/>
  <c r="AS347" i="1" s="1"/>
  <c r="BC140" i="1"/>
  <c r="BB140" i="1"/>
  <c r="BD140" i="1"/>
  <c r="BE140" i="1"/>
  <c r="CF175" i="1"/>
  <c r="CK175" i="1" s="1"/>
  <c r="CL175" i="1"/>
  <c r="CH175" i="1"/>
  <c r="CM175" i="1" s="1"/>
  <c r="CF205" i="1"/>
  <c r="CK205" i="1" s="1"/>
  <c r="CL205" i="1"/>
  <c r="CH205" i="1"/>
  <c r="CM205" i="1" s="1"/>
  <c r="BA326" i="1"/>
  <c r="BC326" i="1"/>
  <c r="BD326" i="1"/>
  <c r="BE326" i="1"/>
  <c r="BB326" i="1"/>
  <c r="CL341" i="1"/>
  <c r="CH341" i="1"/>
  <c r="CM341" i="1" s="1"/>
  <c r="CF341" i="1"/>
  <c r="CK341" i="1" s="1"/>
  <c r="CL449" i="1"/>
  <c r="CH449" i="1"/>
  <c r="CM449" i="1" s="1"/>
  <c r="CF449" i="1"/>
  <c r="CK449" i="1" s="1"/>
  <c r="CF192" i="1"/>
  <c r="CK192" i="1" s="1"/>
  <c r="CL192" i="1"/>
  <c r="CH192" i="1"/>
  <c r="CM192" i="1" s="1"/>
  <c r="CF332" i="1"/>
  <c r="CK332" i="1" s="1"/>
  <c r="CL332" i="1"/>
  <c r="CH332" i="1"/>
  <c r="CM332" i="1" s="1"/>
  <c r="CL393" i="1"/>
  <c r="CH393" i="1"/>
  <c r="CM393" i="1" s="1"/>
  <c r="CF393" i="1"/>
  <c r="CK393" i="1" s="1"/>
  <c r="BC375" i="1"/>
  <c r="BD375" i="1"/>
  <c r="BE375" i="1"/>
  <c r="BB375" i="1"/>
  <c r="CL437" i="1"/>
  <c r="CF437" i="1"/>
  <c r="CK437" i="1" s="1"/>
  <c r="CH437" i="1"/>
  <c r="CM437" i="1" s="1"/>
  <c r="BA321" i="1"/>
  <c r="AY101" i="1"/>
  <c r="BF416" i="1"/>
  <c r="CP416" i="1" s="1"/>
  <c r="CQ416" i="1" s="1"/>
  <c r="AS416" i="1" s="1"/>
  <c r="BF409" i="1"/>
  <c r="CP409" i="1" s="1"/>
  <c r="CQ409" i="1" s="1"/>
  <c r="AS409" i="1" s="1"/>
  <c r="BF185" i="1"/>
  <c r="CP185" i="1" s="1"/>
  <c r="CQ185" i="1" s="1"/>
  <c r="AS185" i="1" s="1"/>
  <c r="BF111" i="1"/>
  <c r="CP111" i="1" s="1"/>
  <c r="CQ111" i="1" s="1"/>
  <c r="AS111" i="1" s="1"/>
  <c r="CR120" i="1"/>
  <c r="BA152" i="1"/>
  <c r="CL164" i="1"/>
  <c r="CH164" i="1"/>
  <c r="CM164" i="1" s="1"/>
  <c r="CF164" i="1"/>
  <c r="CK164" i="1" s="1"/>
  <c r="CF151" i="1"/>
  <c r="CK151" i="1" s="1"/>
  <c r="CL151" i="1"/>
  <c r="CH151" i="1"/>
  <c r="CM151" i="1" s="1"/>
  <c r="CR330" i="1"/>
  <c r="BA144" i="1"/>
  <c r="BC164" i="1"/>
  <c r="BD164" i="1"/>
  <c r="BB164" i="1"/>
  <c r="BE164" i="1"/>
  <c r="CL177" i="1"/>
  <c r="CH177" i="1"/>
  <c r="CM177" i="1" s="1"/>
  <c r="CF177" i="1"/>
  <c r="CK177" i="1" s="1"/>
  <c r="AR233" i="1"/>
  <c r="AS233" i="1"/>
  <c r="CR184" i="1"/>
  <c r="CR188" i="1"/>
  <c r="CR192" i="1"/>
  <c r="BC208" i="1"/>
  <c r="BD208" i="1"/>
  <c r="BE208" i="1"/>
  <c r="BB208" i="1"/>
  <c r="CF190" i="1"/>
  <c r="CK190" i="1" s="1"/>
  <c r="CL190" i="1"/>
  <c r="CH190" i="1"/>
  <c r="CM190" i="1" s="1"/>
  <c r="CL319" i="1"/>
  <c r="CH319" i="1"/>
  <c r="CM319" i="1" s="1"/>
  <c r="CF319" i="1"/>
  <c r="CK319" i="1" s="1"/>
  <c r="CL311" i="1"/>
  <c r="CH311" i="1"/>
  <c r="CM311" i="1" s="1"/>
  <c r="CF311" i="1"/>
  <c r="CK311" i="1" s="1"/>
  <c r="CL362" i="1"/>
  <c r="CH362" i="1"/>
  <c r="CM362" i="1" s="1"/>
  <c r="CF362" i="1"/>
  <c r="CK362" i="1" s="1"/>
  <c r="CF334" i="1"/>
  <c r="CK334" i="1" s="1"/>
  <c r="CL334" i="1"/>
  <c r="CH334" i="1"/>
  <c r="CM334" i="1" s="1"/>
  <c r="CF353" i="1"/>
  <c r="CK353" i="1" s="1"/>
  <c r="CL353" i="1"/>
  <c r="CH353" i="1"/>
  <c r="CM353" i="1" s="1"/>
  <c r="CF389" i="1"/>
  <c r="CK389" i="1" s="1"/>
  <c r="CL389" i="1"/>
  <c r="CH389" i="1"/>
  <c r="CM389" i="1" s="1"/>
  <c r="BA399" i="1"/>
  <c r="BC399" i="1"/>
  <c r="BD399" i="1"/>
  <c r="BB399" i="1"/>
  <c r="BE399" i="1"/>
  <c r="CH429" i="1"/>
  <c r="CM429" i="1" s="1"/>
  <c r="CL429" i="1"/>
  <c r="CF429" i="1"/>
  <c r="CK429" i="1" s="1"/>
  <c r="CL439" i="1"/>
  <c r="CH439" i="1"/>
  <c r="CM439" i="1" s="1"/>
  <c r="CF439" i="1"/>
  <c r="CK439" i="1" s="1"/>
  <c r="BF120" i="1"/>
  <c r="CP120" i="1" s="1"/>
  <c r="CQ120" i="1" s="1"/>
  <c r="AS120" i="1" s="1"/>
  <c r="BF284" i="1"/>
  <c r="CP284" i="1" s="1"/>
  <c r="CQ284" i="1" s="1"/>
  <c r="AS284" i="1" s="1"/>
  <c r="CR157" i="1"/>
  <c r="CR183" i="1"/>
  <c r="BA210" i="1"/>
  <c r="BA180" i="1"/>
  <c r="BC180" i="1"/>
  <c r="BE180" i="1"/>
  <c r="BB180" i="1"/>
  <c r="BD180" i="1"/>
  <c r="AR237" i="1"/>
  <c r="AS237" i="1"/>
  <c r="CR333" i="1"/>
  <c r="BC178" i="1"/>
  <c r="BE178" i="1"/>
  <c r="BB178" i="1"/>
  <c r="BD178" i="1"/>
  <c r="CF296" i="1"/>
  <c r="CK296" i="1" s="1"/>
  <c r="CL296" i="1"/>
  <c r="CH296" i="1"/>
  <c r="CM296" i="1" s="1"/>
  <c r="CL314" i="1"/>
  <c r="CH314" i="1"/>
  <c r="CM314" i="1" s="1"/>
  <c r="CF314" i="1"/>
  <c r="CK314" i="1" s="1"/>
  <c r="BC366" i="1"/>
  <c r="BD366" i="1"/>
  <c r="BE366" i="1"/>
  <c r="BB366" i="1"/>
  <c r="CF420" i="1"/>
  <c r="CK420" i="1" s="1"/>
  <c r="CL420" i="1"/>
  <c r="CH420" i="1"/>
  <c r="CM420" i="1" s="1"/>
  <c r="BA377" i="1"/>
  <c r="BC400" i="1"/>
  <c r="BE400" i="1"/>
  <c r="BB400" i="1"/>
  <c r="BD400" i="1"/>
  <c r="CL140" i="1"/>
  <c r="CH140" i="1"/>
  <c r="CM140" i="1" s="1"/>
  <c r="CF140" i="1"/>
  <c r="CK140" i="1" s="1"/>
  <c r="CL160" i="1"/>
  <c r="CH160" i="1"/>
  <c r="CM160" i="1" s="1"/>
  <c r="CF160" i="1"/>
  <c r="CK160" i="1" s="1"/>
  <c r="CP392" i="1"/>
  <c r="CQ392" i="1" s="1"/>
  <c r="AS392" i="1" s="1"/>
  <c r="BF334" i="1"/>
  <c r="CP334" i="1" s="1"/>
  <c r="CQ334" i="1" s="1"/>
  <c r="AS334" i="1" s="1"/>
  <c r="BF238" i="1"/>
  <c r="BF109" i="1"/>
  <c r="CP109" i="1" s="1"/>
  <c r="CQ109" i="1" s="1"/>
  <c r="AS109" i="1" s="1"/>
  <c r="CL181" i="1"/>
  <c r="CH181" i="1"/>
  <c r="CM181" i="1" s="1"/>
  <c r="CF181" i="1"/>
  <c r="CK181" i="1" s="1"/>
  <c r="BA213" i="1"/>
  <c r="BC213" i="1"/>
  <c r="BB213" i="1"/>
  <c r="BD213" i="1"/>
  <c r="BE213" i="1"/>
  <c r="CF207" i="1"/>
  <c r="CK207" i="1" s="1"/>
  <c r="CL207" i="1"/>
  <c r="CH207" i="1"/>
  <c r="CM207" i="1" s="1"/>
  <c r="BA301" i="1"/>
  <c r="BC301" i="1"/>
  <c r="BB301" i="1"/>
  <c r="BE301" i="1"/>
  <c r="BD301" i="1"/>
  <c r="CR348" i="1"/>
  <c r="CF299" i="1"/>
  <c r="CK299" i="1" s="1"/>
  <c r="CL299" i="1"/>
  <c r="CH299" i="1"/>
  <c r="CM299" i="1" s="1"/>
  <c r="CF331" i="1"/>
  <c r="CK331" i="1" s="1"/>
  <c r="CL331" i="1"/>
  <c r="CH331" i="1"/>
  <c r="CM331" i="1" s="1"/>
  <c r="BA323" i="1"/>
  <c r="CR356" i="1"/>
  <c r="BC370" i="1"/>
  <c r="BB370" i="1"/>
  <c r="BE370" i="1"/>
  <c r="BD370" i="1"/>
  <c r="CF394" i="1"/>
  <c r="CK394" i="1" s="1"/>
  <c r="CL394" i="1"/>
  <c r="CH394" i="1"/>
  <c r="CM394" i="1" s="1"/>
  <c r="CR417" i="1"/>
  <c r="BF187" i="1"/>
  <c r="CP187" i="1" s="1"/>
  <c r="CQ187" i="1" s="1"/>
  <c r="AS187" i="1" s="1"/>
  <c r="BF220" i="1"/>
  <c r="CF119" i="1"/>
  <c r="CK119" i="1" s="1"/>
  <c r="CL119" i="1"/>
  <c r="CH119" i="1"/>
  <c r="CM119" i="1" s="1"/>
  <c r="CR190" i="1"/>
  <c r="CF188" i="1"/>
  <c r="CK188" i="1" s="1"/>
  <c r="CL188" i="1"/>
  <c r="CH188" i="1"/>
  <c r="CM188" i="1" s="1"/>
  <c r="CR297" i="1"/>
  <c r="CL310" i="1"/>
  <c r="CH310" i="1"/>
  <c r="CM310" i="1" s="1"/>
  <c r="CF310" i="1"/>
  <c r="CK310" i="1" s="1"/>
  <c r="CL375" i="1"/>
  <c r="CH375" i="1"/>
  <c r="CM375" i="1" s="1"/>
  <c r="CF375" i="1"/>
  <c r="CK375" i="1" s="1"/>
  <c r="CR390" i="1"/>
  <c r="CR414" i="1"/>
  <c r="CL440" i="1"/>
  <c r="CH440" i="1"/>
  <c r="CM440" i="1" s="1"/>
  <c r="CF440" i="1"/>
  <c r="CK440" i="1" s="1"/>
  <c r="CR449" i="1"/>
  <c r="BF349" i="1"/>
  <c r="CP349" i="1" s="1"/>
  <c r="CQ349" i="1" s="1"/>
  <c r="AS349" i="1" s="1"/>
  <c r="BF114" i="1"/>
  <c r="CP114" i="1" s="1"/>
  <c r="CQ114" i="1" s="1"/>
  <c r="AS114" i="1" s="1"/>
  <c r="BF415" i="1"/>
  <c r="CP415" i="1" s="1"/>
  <c r="CQ415" i="1" s="1"/>
  <c r="AS415" i="1" s="1"/>
  <c r="BF192" i="1"/>
  <c r="CP192" i="1" s="1"/>
  <c r="CQ192" i="1" s="1"/>
  <c r="AS192" i="1" s="1"/>
  <c r="BF330" i="1"/>
  <c r="CP330" i="1" s="1"/>
  <c r="CQ330" i="1" s="1"/>
  <c r="AS330" i="1" s="1"/>
  <c r="BC172" i="1"/>
  <c r="BE172" i="1"/>
  <c r="BD172" i="1"/>
  <c r="BB172" i="1"/>
  <c r="CL441" i="1"/>
  <c r="CH441" i="1"/>
  <c r="CM441" i="1" s="1"/>
  <c r="CF441" i="1"/>
  <c r="CK441" i="1" s="1"/>
  <c r="CL412" i="1"/>
  <c r="CH412" i="1"/>
  <c r="CM412" i="1" s="1"/>
  <c r="CF412" i="1"/>
  <c r="CK412" i="1" s="1"/>
  <c r="CF123" i="1"/>
  <c r="CK123" i="1" s="1"/>
  <c r="CL123" i="1"/>
  <c r="CH123" i="1"/>
  <c r="CM123" i="1" s="1"/>
  <c r="BC253" i="1"/>
  <c r="BE253" i="1"/>
  <c r="BB253" i="1"/>
  <c r="BD253" i="1"/>
  <c r="CF194" i="1"/>
  <c r="CK194" i="1" s="1"/>
  <c r="CL194" i="1"/>
  <c r="CH194" i="1"/>
  <c r="CM194" i="1" s="1"/>
  <c r="CF298" i="1"/>
  <c r="CK298" i="1" s="1"/>
  <c r="CL298" i="1"/>
  <c r="CH298" i="1"/>
  <c r="CM298" i="1" s="1"/>
  <c r="BC367" i="1"/>
  <c r="BE367" i="1"/>
  <c r="BD367" i="1"/>
  <c r="BB367" i="1"/>
  <c r="BF309" i="1"/>
  <c r="CP309" i="1" s="1"/>
  <c r="CQ309" i="1" s="1"/>
  <c r="AS309" i="1" s="1"/>
  <c r="BF191" i="1"/>
  <c r="CP191" i="1" s="1"/>
  <c r="CQ191" i="1" s="1"/>
  <c r="AS191" i="1" s="1"/>
  <c r="BC210" i="1"/>
  <c r="BD210" i="1"/>
  <c r="BB210" i="1"/>
  <c r="BE210" i="1"/>
  <c r="CF300" i="1"/>
  <c r="CK300" i="1" s="1"/>
  <c r="CL300" i="1"/>
  <c r="CH300" i="1"/>
  <c r="CM300" i="1" s="1"/>
  <c r="BC225" i="1"/>
  <c r="BE225" i="1"/>
  <c r="BD225" i="1"/>
  <c r="BB225" i="1"/>
  <c r="CF335" i="1"/>
  <c r="CK335" i="1" s="1"/>
  <c r="CL335" i="1"/>
  <c r="CH335" i="1"/>
  <c r="CM335" i="1" s="1"/>
  <c r="CF452" i="1"/>
  <c r="CK452" i="1" s="1"/>
  <c r="CL452" i="1"/>
  <c r="CH452" i="1"/>
  <c r="CM452" i="1" s="1"/>
  <c r="BF280" i="1"/>
  <c r="CP280" i="1" s="1"/>
  <c r="CQ280" i="1" s="1"/>
  <c r="AS280" i="1" s="1"/>
  <c r="CL312" i="1"/>
  <c r="CH312" i="1"/>
  <c r="CM312" i="1" s="1"/>
  <c r="CF312" i="1"/>
  <c r="CK312" i="1" s="1"/>
  <c r="CF360" i="1"/>
  <c r="CK360" i="1" s="1"/>
  <c r="CL360" i="1"/>
  <c r="CH360" i="1"/>
  <c r="CM360" i="1" s="1"/>
  <c r="BF373" i="1"/>
  <c r="BF398" i="1"/>
  <c r="CP398" i="1" s="1"/>
  <c r="CQ398" i="1" s="1"/>
  <c r="AS398" i="1" s="1"/>
  <c r="BF285" i="1"/>
  <c r="CP285" i="1" s="1"/>
  <c r="CQ285" i="1" s="1"/>
  <c r="AS285" i="1" s="1"/>
  <c r="BD121" i="1"/>
  <c r="BC121" i="1"/>
  <c r="BE121" i="1"/>
  <c r="BB121" i="1"/>
  <c r="BC324" i="1"/>
  <c r="BE324" i="1"/>
  <c r="BD324" i="1"/>
  <c r="BB324" i="1"/>
  <c r="BF446" i="1"/>
  <c r="CP446" i="1" s="1"/>
  <c r="CQ446" i="1" s="1"/>
  <c r="AS446" i="1" s="1"/>
  <c r="BF325" i="1"/>
  <c r="CP325" i="1" s="1"/>
  <c r="CQ325" i="1" s="1"/>
  <c r="AS325" i="1" s="1"/>
  <c r="BF190" i="1"/>
  <c r="CP190" i="1" s="1"/>
  <c r="CQ190" i="1" s="1"/>
  <c r="AS190" i="1" s="1"/>
  <c r="BA199" i="1"/>
  <c r="BA121" i="1"/>
  <c r="AZ101" i="1"/>
  <c r="AZ455" i="1"/>
  <c r="AX455" i="1"/>
  <c r="BA389" i="1"/>
  <c r="BF423" i="1"/>
  <c r="CP423" i="1" s="1"/>
  <c r="CQ423" i="1" s="1"/>
  <c r="AS423" i="1" s="1"/>
  <c r="BF343" i="1"/>
  <c r="CP343" i="1" s="1"/>
  <c r="CQ343" i="1" s="1"/>
  <c r="AS343" i="1" s="1"/>
  <c r="BF299" i="1"/>
  <c r="CP299" i="1" s="1"/>
  <c r="CQ299" i="1" s="1"/>
  <c r="AS299" i="1" s="1"/>
  <c r="BF166" i="1"/>
  <c r="CP166" i="1" s="1"/>
  <c r="CQ166" i="1" s="1"/>
  <c r="AS166" i="1" s="1"/>
  <c r="BF254" i="1"/>
  <c r="CL217" i="1"/>
  <c r="CH217" i="1"/>
  <c r="CM217" i="1" s="1"/>
  <c r="CF217" i="1"/>
  <c r="CK217" i="1" s="1"/>
  <c r="BA140" i="1"/>
  <c r="CF193" i="1"/>
  <c r="CK193" i="1" s="1"/>
  <c r="CL193" i="1"/>
  <c r="CH193" i="1"/>
  <c r="CM193" i="1" s="1"/>
  <c r="BC181" i="1"/>
  <c r="BD181" i="1"/>
  <c r="BE181" i="1"/>
  <c r="BB181" i="1"/>
  <c r="CF427" i="1"/>
  <c r="CK427" i="1" s="1"/>
  <c r="CL427" i="1"/>
  <c r="CH427" i="1"/>
  <c r="CM427" i="1" s="1"/>
  <c r="CL443" i="1"/>
  <c r="CH443" i="1"/>
  <c r="CM443" i="1" s="1"/>
  <c r="CF443" i="1"/>
  <c r="CK443" i="1" s="1"/>
  <c r="CR126" i="1"/>
  <c r="CL196" i="1"/>
  <c r="CH196" i="1"/>
  <c r="CM196" i="1" s="1"/>
  <c r="CF196" i="1"/>
  <c r="CK196" i="1" s="1"/>
  <c r="CR405" i="1"/>
  <c r="BA318" i="1"/>
  <c r="BC318" i="1"/>
  <c r="BB318" i="1"/>
  <c r="BD318" i="1"/>
  <c r="BE318" i="1"/>
  <c r="BA394" i="1"/>
  <c r="CR111" i="1"/>
  <c r="BF401" i="1"/>
  <c r="CP401" i="1" s="1"/>
  <c r="CQ401" i="1" s="1"/>
  <c r="AS401" i="1" s="1"/>
  <c r="BF203" i="1"/>
  <c r="CP203" i="1" s="1"/>
  <c r="CQ203" i="1" s="1"/>
  <c r="AS203" i="1" s="1"/>
  <c r="BF175" i="1"/>
  <c r="CP175" i="1" s="1"/>
  <c r="CQ175" i="1" s="1"/>
  <c r="AS175" i="1" s="1"/>
  <c r="BF155" i="1"/>
  <c r="CP155" i="1" s="1"/>
  <c r="CQ155" i="1" s="1"/>
  <c r="AS155" i="1" s="1"/>
  <c r="BA143" i="1"/>
  <c r="BC143" i="1"/>
  <c r="BD143" i="1"/>
  <c r="BE143" i="1"/>
  <c r="BB143" i="1"/>
  <c r="CL173" i="1"/>
  <c r="CH173" i="1"/>
  <c r="CM173" i="1" s="1"/>
  <c r="CF173" i="1"/>
  <c r="CK173" i="1" s="1"/>
  <c r="BA229" i="1"/>
  <c r="BC229" i="1"/>
  <c r="BB229" i="1"/>
  <c r="BD229" i="1"/>
  <c r="BE229" i="1"/>
  <c r="AR245" i="1"/>
  <c r="AS245" i="1"/>
  <c r="BA249" i="1"/>
  <c r="BC249" i="1"/>
  <c r="BB249" i="1"/>
  <c r="BE249" i="1"/>
  <c r="BD249" i="1"/>
  <c r="AR253" i="1"/>
  <c r="AS253" i="1"/>
  <c r="CL305" i="1"/>
  <c r="CH305" i="1"/>
  <c r="CM305" i="1" s="1"/>
  <c r="CF305" i="1"/>
  <c r="CK305" i="1" s="1"/>
  <c r="BA176" i="1"/>
  <c r="BC176" i="1"/>
  <c r="BD176" i="1"/>
  <c r="BE176" i="1"/>
  <c r="BB176" i="1"/>
  <c r="CF186" i="1"/>
  <c r="CK186" i="1" s="1"/>
  <c r="CL186" i="1"/>
  <c r="CH186" i="1"/>
  <c r="CM186" i="1" s="1"/>
  <c r="CR281" i="1"/>
  <c r="CR289" i="1"/>
  <c r="BA174" i="1"/>
  <c r="CL306" i="1"/>
  <c r="CH306" i="1"/>
  <c r="CM306" i="1" s="1"/>
  <c r="CF306" i="1"/>
  <c r="CK306" i="1" s="1"/>
  <c r="BA322" i="1"/>
  <c r="BC322" i="1"/>
  <c r="BB322" i="1"/>
  <c r="BD322" i="1"/>
  <c r="BE322" i="1"/>
  <c r="CF330" i="1"/>
  <c r="CK330" i="1" s="1"/>
  <c r="CL330" i="1"/>
  <c r="CH330" i="1"/>
  <c r="CM330" i="1" s="1"/>
  <c r="BA365" i="1"/>
  <c r="BC365" i="1"/>
  <c r="BB365" i="1"/>
  <c r="BD365" i="1"/>
  <c r="BE365" i="1"/>
  <c r="BC352" i="1"/>
  <c r="BB352" i="1"/>
  <c r="BD352" i="1"/>
  <c r="BE352" i="1"/>
  <c r="BC363" i="1"/>
  <c r="BB363" i="1"/>
  <c r="BD363" i="1"/>
  <c r="BE363" i="1"/>
  <c r="BA372" i="1"/>
  <c r="CL450" i="1"/>
  <c r="CH450" i="1"/>
  <c r="CM450" i="1" s="1"/>
  <c r="CF450" i="1"/>
  <c r="CK450" i="1" s="1"/>
  <c r="CR450" i="1"/>
  <c r="CR110" i="1"/>
  <c r="BF414" i="1"/>
  <c r="CP414" i="1" s="1"/>
  <c r="CQ414" i="1" s="1"/>
  <c r="AS414" i="1" s="1"/>
  <c r="BF259" i="1"/>
  <c r="BF133" i="1"/>
  <c r="CP133" i="1" s="1"/>
  <c r="CQ133" i="1" s="1"/>
  <c r="AS133" i="1" s="1"/>
  <c r="CR170" i="1"/>
  <c r="CF153" i="1"/>
  <c r="CK153" i="1" s="1"/>
  <c r="CL153" i="1"/>
  <c r="CH153" i="1"/>
  <c r="CM153" i="1" s="1"/>
  <c r="CL302" i="1"/>
  <c r="CH302" i="1"/>
  <c r="CM302" i="1" s="1"/>
  <c r="CF302" i="1"/>
  <c r="CK302" i="1" s="1"/>
  <c r="CR401" i="1"/>
  <c r="BF341" i="1"/>
  <c r="CP341" i="1" s="1"/>
  <c r="CQ341" i="1" s="1"/>
  <c r="AS341" i="1" s="1"/>
  <c r="BF258" i="1"/>
  <c r="BF154" i="1"/>
  <c r="CP154" i="1" s="1"/>
  <c r="CQ154" i="1" s="1"/>
  <c r="AS154" i="1" s="1"/>
  <c r="BF119" i="1"/>
  <c r="CP119" i="1" s="1"/>
  <c r="CQ119" i="1" s="1"/>
  <c r="AS119" i="1" s="1"/>
  <c r="AR225" i="1"/>
  <c r="AS225" i="1"/>
  <c r="BC241" i="1"/>
  <c r="BE241" i="1"/>
  <c r="BD241" i="1"/>
  <c r="BB241" i="1"/>
  <c r="BA168" i="1"/>
  <c r="CR204" i="1"/>
  <c r="CR334" i="1"/>
  <c r="CF203" i="1"/>
  <c r="CK203" i="1" s="1"/>
  <c r="CL203" i="1"/>
  <c r="CH203" i="1"/>
  <c r="CM203" i="1" s="1"/>
  <c r="BA361" i="1"/>
  <c r="BC361" i="1"/>
  <c r="BD361" i="1"/>
  <c r="BB361" i="1"/>
  <c r="BE361" i="1"/>
  <c r="CF295" i="1"/>
  <c r="CK295" i="1" s="1"/>
  <c r="CL295" i="1"/>
  <c r="CH295" i="1"/>
  <c r="CM295" i="1" s="1"/>
  <c r="BA370" i="1"/>
  <c r="BC359" i="1"/>
  <c r="BB359" i="1"/>
  <c r="BE359" i="1"/>
  <c r="BD359" i="1"/>
  <c r="CR422" i="1"/>
  <c r="CL448" i="1"/>
  <c r="CH448" i="1"/>
  <c r="CM448" i="1" s="1"/>
  <c r="CF448" i="1"/>
  <c r="CK448" i="1" s="1"/>
  <c r="BC393" i="1"/>
  <c r="BD393" i="1"/>
  <c r="BE393" i="1"/>
  <c r="BB393" i="1"/>
  <c r="BF451" i="1"/>
  <c r="CP451" i="1" s="1"/>
  <c r="CQ451" i="1" s="1"/>
  <c r="AS451" i="1" s="1"/>
  <c r="BF420" i="1"/>
  <c r="CP420" i="1" s="1"/>
  <c r="CQ420" i="1" s="1"/>
  <c r="AS420" i="1" s="1"/>
  <c r="BF348" i="1"/>
  <c r="CP348" i="1" s="1"/>
  <c r="CQ348" i="1" s="1"/>
  <c r="AS348" i="1" s="1"/>
  <c r="BF296" i="1"/>
  <c r="CP296" i="1" s="1"/>
  <c r="CQ296" i="1" s="1"/>
  <c r="AS296" i="1" s="1"/>
  <c r="BF269" i="1"/>
  <c r="BF211" i="1"/>
  <c r="CP211" i="1" s="1"/>
  <c r="CQ211" i="1" s="1"/>
  <c r="AS211" i="1" s="1"/>
  <c r="BA163" i="1"/>
  <c r="BC163" i="1"/>
  <c r="BD163" i="1"/>
  <c r="BB163" i="1"/>
  <c r="BE163" i="1"/>
  <c r="CF108" i="1"/>
  <c r="CK108" i="1" s="1"/>
  <c r="CH108" i="1"/>
  <c r="CM108" i="1" s="1"/>
  <c r="CL108" i="1"/>
  <c r="CF368" i="1"/>
  <c r="CK368" i="1" s="1"/>
  <c r="CH368" i="1"/>
  <c r="CM368" i="1" s="1"/>
  <c r="CL368" i="1"/>
  <c r="BC368" i="1"/>
  <c r="BB368" i="1"/>
  <c r="BE368" i="1"/>
  <c r="BD368" i="1"/>
  <c r="CR403" i="1"/>
  <c r="CH444" i="1"/>
  <c r="CM444" i="1" s="1"/>
  <c r="CF444" i="1"/>
  <c r="CK444" i="1" s="1"/>
  <c r="CL444" i="1"/>
  <c r="BC327" i="1"/>
  <c r="BE327" i="1"/>
  <c r="BB327" i="1"/>
  <c r="BD327" i="1"/>
  <c r="BF137" i="1"/>
  <c r="CP137" i="1" s="1"/>
  <c r="CQ137" i="1" s="1"/>
  <c r="AS137" i="1" s="1"/>
  <c r="BF405" i="1"/>
  <c r="CP405" i="1" s="1"/>
  <c r="CQ405" i="1" s="1"/>
  <c r="AS405" i="1" s="1"/>
  <c r="BF118" i="1"/>
  <c r="CP118" i="1" s="1"/>
  <c r="CQ118" i="1" s="1"/>
  <c r="AS118" i="1" s="1"/>
  <c r="BF206" i="1"/>
  <c r="CP206" i="1" s="1"/>
  <c r="CQ206" i="1" s="1"/>
  <c r="AS206" i="1" s="1"/>
  <c r="BF406" i="1"/>
  <c r="CP406" i="1" s="1"/>
  <c r="CQ406" i="1" s="1"/>
  <c r="AS406" i="1" s="1"/>
  <c r="BF157" i="1"/>
  <c r="CP157" i="1" s="1"/>
  <c r="CQ157" i="1" s="1"/>
  <c r="AS157" i="1" s="1"/>
  <c r="BF215" i="1"/>
  <c r="CP215" i="1" s="1"/>
  <c r="CQ215" i="1" s="1"/>
  <c r="AS215" i="1" s="1"/>
  <c r="BF293" i="1"/>
  <c r="CP293" i="1" s="1"/>
  <c r="CQ293" i="1" s="1"/>
  <c r="AS293" i="1" s="1"/>
  <c r="BF126" i="1"/>
  <c r="CP126" i="1" s="1"/>
  <c r="CQ126" i="1" s="1"/>
  <c r="AS126" i="1" s="1"/>
  <c r="BF364" i="1"/>
  <c r="CP364" i="1" s="1"/>
  <c r="CQ364" i="1" s="1"/>
  <c r="AS364" i="1" s="1"/>
  <c r="BC389" i="1"/>
  <c r="BB389" i="1"/>
  <c r="BE389" i="1"/>
  <c r="BD389" i="1"/>
  <c r="BC167" i="1"/>
  <c r="BD167" i="1"/>
  <c r="BB167" i="1"/>
  <c r="BE167" i="1"/>
  <c r="CF185" i="1"/>
  <c r="CK185" i="1" s="1"/>
  <c r="CL185" i="1"/>
  <c r="CH185" i="1"/>
  <c r="CM185" i="1" s="1"/>
  <c r="CL303" i="1"/>
  <c r="CH303" i="1"/>
  <c r="CM303" i="1" s="1"/>
  <c r="CF303" i="1"/>
  <c r="CK303" i="1" s="1"/>
  <c r="CF297" i="1"/>
  <c r="CK297" i="1" s="1"/>
  <c r="CL297" i="1"/>
  <c r="CH297" i="1"/>
  <c r="CM297" i="1" s="1"/>
  <c r="CF333" i="1"/>
  <c r="CK333" i="1" s="1"/>
  <c r="CL333" i="1"/>
  <c r="CH333" i="1"/>
  <c r="CM333" i="1" s="1"/>
  <c r="BF115" i="1"/>
  <c r="CP115" i="1" s="1"/>
  <c r="CQ115" i="1" s="1"/>
  <c r="AS115" i="1" s="1"/>
  <c r="AP455" i="1"/>
  <c r="AR229" i="1"/>
  <c r="AS229" i="1"/>
  <c r="BC174" i="1"/>
  <c r="BD174" i="1"/>
  <c r="BB174" i="1"/>
  <c r="BE174" i="1"/>
  <c r="CL313" i="1"/>
  <c r="CH313" i="1"/>
  <c r="CM313" i="1" s="1"/>
  <c r="CF313" i="1"/>
  <c r="CK313" i="1" s="1"/>
  <c r="CL415" i="1"/>
  <c r="CH415" i="1"/>
  <c r="CM415" i="1" s="1"/>
  <c r="CF415" i="1"/>
  <c r="CK415" i="1" s="1"/>
  <c r="BF292" i="1"/>
  <c r="CP292" i="1" s="1"/>
  <c r="CQ292" i="1" s="1"/>
  <c r="AS292" i="1" s="1"/>
  <c r="BF153" i="1"/>
  <c r="CP153" i="1" s="1"/>
  <c r="CQ153" i="1" s="1"/>
  <c r="AS153" i="1" s="1"/>
  <c r="CF179" i="1"/>
  <c r="CK179" i="1" s="1"/>
  <c r="CL179" i="1"/>
  <c r="CH179" i="1"/>
  <c r="CM179" i="1" s="1"/>
  <c r="BC315" i="1"/>
  <c r="BB315" i="1"/>
  <c r="BD315" i="1"/>
  <c r="BE315" i="1"/>
  <c r="CL214" i="1"/>
  <c r="CH214" i="1"/>
  <c r="CM214" i="1" s="1"/>
  <c r="CF214" i="1"/>
  <c r="CK214" i="1" s="1"/>
  <c r="CL371" i="1"/>
  <c r="CH371" i="1"/>
  <c r="CM371" i="1" s="1"/>
  <c r="CF371" i="1"/>
  <c r="CK371" i="1" s="1"/>
  <c r="CL304" i="1"/>
  <c r="CH304" i="1"/>
  <c r="CM304" i="1" s="1"/>
  <c r="CF304" i="1"/>
  <c r="CK304" i="1" s="1"/>
  <c r="CF372" i="1"/>
  <c r="CK372" i="1" s="1"/>
  <c r="CL372" i="1"/>
  <c r="CH372" i="1"/>
  <c r="CM372" i="1" s="1"/>
  <c r="CL442" i="1"/>
  <c r="CH442" i="1"/>
  <c r="CM442" i="1" s="1"/>
  <c r="CF442" i="1"/>
  <c r="CK442" i="1" s="1"/>
  <c r="BF230" i="1"/>
  <c r="AN455" i="1"/>
  <c r="BC199" i="1"/>
  <c r="BD199" i="1"/>
  <c r="BB199" i="1"/>
  <c r="BE199" i="1"/>
  <c r="AW455" i="1"/>
  <c r="BA324" i="1"/>
  <c r="CL200" i="1"/>
  <c r="CH200" i="1"/>
  <c r="CM200" i="1" s="1"/>
  <c r="CF200" i="1"/>
  <c r="CK200" i="1" s="1"/>
  <c r="BF235" i="1"/>
  <c r="CL168" i="1"/>
  <c r="CH168" i="1"/>
  <c r="CM168" i="1" s="1"/>
  <c r="CF168" i="1"/>
  <c r="CK168" i="1" s="1"/>
  <c r="BC160" i="1"/>
  <c r="BD160" i="1"/>
  <c r="BB160" i="1"/>
  <c r="BE160" i="1"/>
  <c r="CF189" i="1"/>
  <c r="CK189" i="1" s="1"/>
  <c r="CL189" i="1"/>
  <c r="CH189" i="1"/>
  <c r="CM189" i="1" s="1"/>
  <c r="BA181" i="1"/>
  <c r="CL355" i="1"/>
  <c r="CH355" i="1"/>
  <c r="CM355" i="1" s="1"/>
  <c r="CF355" i="1"/>
  <c r="CK355" i="1" s="1"/>
  <c r="CR325" i="1"/>
  <c r="CR309" i="1"/>
  <c r="BC319" i="1"/>
  <c r="BB319" i="1"/>
  <c r="BD319" i="1"/>
  <c r="BE319" i="1"/>
  <c r="CF356" i="1"/>
  <c r="CK356" i="1" s="1"/>
  <c r="CL356" i="1"/>
  <c r="CH356" i="1"/>
  <c r="CM356" i="1" s="1"/>
  <c r="CL438" i="1"/>
  <c r="CH438" i="1"/>
  <c r="CM438" i="1" s="1"/>
  <c r="CF438" i="1"/>
  <c r="CK438" i="1" s="1"/>
  <c r="CR308" i="1"/>
  <c r="BA375" i="1"/>
  <c r="BC321" i="1"/>
  <c r="BB321" i="1"/>
  <c r="BE321" i="1"/>
  <c r="BD321" i="1"/>
  <c r="CR104" i="1"/>
  <c r="BF107" i="1"/>
  <c r="CP107" i="1" s="1"/>
  <c r="CQ107" i="1" s="1"/>
  <c r="AS107" i="1" s="1"/>
  <c r="BA159" i="1"/>
  <c r="BC159" i="1"/>
  <c r="BD159" i="1"/>
  <c r="BB159" i="1"/>
  <c r="BE159" i="1"/>
  <c r="BF449" i="1"/>
  <c r="CP449" i="1" s="1"/>
  <c r="CQ449" i="1" s="1"/>
  <c r="AS449" i="1" s="1"/>
  <c r="CP434" i="1"/>
  <c r="CQ434" i="1" s="1"/>
  <c r="AS434" i="1" s="1"/>
  <c r="BF428" i="1"/>
  <c r="CP428" i="1" s="1"/>
  <c r="CQ428" i="1" s="1"/>
  <c r="AS428" i="1" s="1"/>
  <c r="BF276" i="1"/>
  <c r="BF290" i="1"/>
  <c r="CP290" i="1" s="1"/>
  <c r="CQ290" i="1" s="1"/>
  <c r="AS290" i="1" s="1"/>
  <c r="BF242" i="1"/>
  <c r="BF193" i="1"/>
  <c r="CP193" i="1" s="1"/>
  <c r="CQ193" i="1" s="1"/>
  <c r="AS193" i="1" s="1"/>
  <c r="BF223" i="1"/>
  <c r="AQ455" i="1"/>
  <c r="BC103" i="1"/>
  <c r="BD103" i="1"/>
  <c r="BE103" i="1"/>
  <c r="CL144" i="1"/>
  <c r="CH144" i="1"/>
  <c r="CM144" i="1" s="1"/>
  <c r="CF144" i="1"/>
  <c r="CK144" i="1" s="1"/>
  <c r="BC152" i="1"/>
  <c r="BB152" i="1"/>
  <c r="BD152" i="1"/>
  <c r="BE152" i="1"/>
  <c r="BC144" i="1"/>
  <c r="BD144" i="1"/>
  <c r="BB144" i="1"/>
  <c r="BE144" i="1"/>
  <c r="BA164" i="1"/>
  <c r="BA233" i="1"/>
  <c r="BC233" i="1"/>
  <c r="BB233" i="1"/>
  <c r="BE233" i="1"/>
  <c r="BD233" i="1"/>
  <c r="BA208" i="1"/>
  <c r="CF206" i="1"/>
  <c r="CK206" i="1" s="1"/>
  <c r="CL206" i="1"/>
  <c r="CH206" i="1"/>
  <c r="CM206" i="1" s="1"/>
  <c r="CL323" i="1"/>
  <c r="CH323" i="1"/>
  <c r="CM323" i="1" s="1"/>
  <c r="CF323" i="1"/>
  <c r="CK323" i="1" s="1"/>
  <c r="BA374" i="1"/>
  <c r="BC374" i="1"/>
  <c r="BE374" i="1"/>
  <c r="BD374" i="1"/>
  <c r="BB374" i="1"/>
  <c r="BC371" i="1"/>
  <c r="BB371" i="1"/>
  <c r="BD371" i="1"/>
  <c r="BE371" i="1"/>
  <c r="CR419" i="1"/>
  <c r="CR404" i="1"/>
  <c r="CR408" i="1"/>
  <c r="CL416" i="1"/>
  <c r="CH416" i="1"/>
  <c r="CM416" i="1" s="1"/>
  <c r="CF416" i="1"/>
  <c r="CK416" i="1" s="1"/>
  <c r="CL447" i="1"/>
  <c r="CH447" i="1"/>
  <c r="CM447" i="1" s="1"/>
  <c r="CF447" i="1"/>
  <c r="CK447" i="1" s="1"/>
  <c r="CL451" i="1"/>
  <c r="CH451" i="1"/>
  <c r="CM451" i="1" s="1"/>
  <c r="CF451" i="1"/>
  <c r="CK451" i="1" s="1"/>
  <c r="BF391" i="1"/>
  <c r="CP391" i="1" s="1"/>
  <c r="CQ391" i="1" s="1"/>
  <c r="AS391" i="1" s="1"/>
  <c r="BF408" i="1"/>
  <c r="CP408" i="1" s="1"/>
  <c r="CQ408" i="1" s="1"/>
  <c r="AS408" i="1" s="1"/>
  <c r="BF329" i="1"/>
  <c r="CP329" i="1" s="1"/>
  <c r="CQ329" i="1" s="1"/>
  <c r="AS329" i="1" s="1"/>
  <c r="BF300" i="1"/>
  <c r="CP300" i="1" s="1"/>
  <c r="CQ300" i="1" s="1"/>
  <c r="AS300" i="1" s="1"/>
  <c r="BF205" i="1"/>
  <c r="CP205" i="1" s="1"/>
  <c r="CQ205" i="1" s="1"/>
  <c r="AS205" i="1" s="1"/>
  <c r="BF170" i="1"/>
  <c r="CP170" i="1" s="1"/>
  <c r="CQ170" i="1" s="1"/>
  <c r="AS170" i="1" s="1"/>
  <c r="CR284" i="1"/>
  <c r="CR292" i="1"/>
  <c r="BA237" i="1"/>
  <c r="BC237" i="1"/>
  <c r="BD237" i="1"/>
  <c r="BE237" i="1"/>
  <c r="BB237" i="1"/>
  <c r="CF184" i="1"/>
  <c r="CK184" i="1" s="1"/>
  <c r="CL184" i="1"/>
  <c r="CH184" i="1"/>
  <c r="CM184" i="1" s="1"/>
  <c r="BA178" i="1"/>
  <c r="BA366" i="1"/>
  <c r="BA315" i="1"/>
  <c r="BC377" i="1"/>
  <c r="BB377" i="1"/>
  <c r="BD377" i="1"/>
  <c r="BE377" i="1"/>
  <c r="BA400" i="1"/>
  <c r="CR113" i="1"/>
  <c r="BA139" i="1"/>
  <c r="BC139" i="1"/>
  <c r="BD139" i="1"/>
  <c r="BB139" i="1"/>
  <c r="BE139" i="1"/>
  <c r="BF396" i="1"/>
  <c r="CP396" i="1" s="1"/>
  <c r="CQ396" i="1" s="1"/>
  <c r="AS396" i="1" s="1"/>
  <c r="BF297" i="1"/>
  <c r="CP297" i="1" s="1"/>
  <c r="CQ297" i="1" s="1"/>
  <c r="AS297" i="1" s="1"/>
  <c r="BF261" i="1"/>
  <c r="BF134" i="1"/>
  <c r="CP134" i="1" s="1"/>
  <c r="CQ134" i="1" s="1"/>
  <c r="AS134" i="1" s="1"/>
  <c r="BF128" i="1"/>
  <c r="CP128" i="1" s="1"/>
  <c r="CQ128" i="1" s="1"/>
  <c r="AS128" i="1" s="1"/>
  <c r="CL126" i="1"/>
  <c r="CH126" i="1"/>
  <c r="CM126" i="1" s="1"/>
  <c r="CF126" i="1"/>
  <c r="CK126" i="1" s="1"/>
  <c r="BA171" i="1"/>
  <c r="BC171" i="1"/>
  <c r="BD171" i="1"/>
  <c r="BB171" i="1"/>
  <c r="BE171" i="1"/>
  <c r="BF123" i="1"/>
  <c r="CP123" i="1" s="1"/>
  <c r="CQ123" i="1" s="1"/>
  <c r="AS123" i="1" s="1"/>
  <c r="CF191" i="1"/>
  <c r="CK191" i="1" s="1"/>
  <c r="CL191" i="1"/>
  <c r="CH191" i="1"/>
  <c r="CM191" i="1" s="1"/>
  <c r="CH307" i="1"/>
  <c r="CM307" i="1" s="1"/>
  <c r="CL307" i="1"/>
  <c r="CF307" i="1"/>
  <c r="CK307" i="1" s="1"/>
  <c r="CR300" i="1"/>
  <c r="BA354" i="1"/>
  <c r="BC354" i="1"/>
  <c r="BE354" i="1"/>
  <c r="BD354" i="1"/>
  <c r="BB354" i="1"/>
  <c r="CR341" i="1"/>
  <c r="CF350" i="1"/>
  <c r="CK350" i="1" s="1"/>
  <c r="CL350" i="1"/>
  <c r="CH350" i="1"/>
  <c r="CM350" i="1" s="1"/>
  <c r="BA357" i="1"/>
  <c r="BC357" i="1"/>
  <c r="BE357" i="1"/>
  <c r="BB357" i="1"/>
  <c r="BD357" i="1"/>
  <c r="CF364" i="1"/>
  <c r="CK364" i="1" s="1"/>
  <c r="CL364" i="1"/>
  <c r="CH364" i="1"/>
  <c r="CM364" i="1" s="1"/>
  <c r="CL414" i="1"/>
  <c r="CH414" i="1"/>
  <c r="CM414" i="1" s="1"/>
  <c r="CF414" i="1"/>
  <c r="CK414" i="1" s="1"/>
  <c r="CL413" i="1"/>
  <c r="CH413" i="1"/>
  <c r="CM413" i="1" s="1"/>
  <c r="CF413" i="1"/>
  <c r="CK413" i="1" s="1"/>
  <c r="CF419" i="1"/>
  <c r="CK419" i="1" s="1"/>
  <c r="CL419" i="1"/>
  <c r="CH419" i="1"/>
  <c r="CM419" i="1" s="1"/>
  <c r="CL446" i="1"/>
  <c r="CH446" i="1"/>
  <c r="CM446" i="1" s="1"/>
  <c r="CF446" i="1"/>
  <c r="CK446" i="1" s="1"/>
  <c r="CR128" i="1"/>
  <c r="BF429" i="1"/>
  <c r="CP429" i="1" s="1"/>
  <c r="CQ429" i="1" s="1"/>
  <c r="AS429" i="1" s="1"/>
  <c r="BF421" i="1"/>
  <c r="CP421" i="1" s="1"/>
  <c r="CQ421" i="1" s="1"/>
  <c r="AS421" i="1" s="1"/>
  <c r="BF344" i="1"/>
  <c r="CP344" i="1" s="1"/>
  <c r="CQ344" i="1" s="1"/>
  <c r="AS344" i="1" s="1"/>
  <c r="BF288" i="1"/>
  <c r="CP288" i="1" s="1"/>
  <c r="CQ288" i="1" s="1"/>
  <c r="AS288" i="1" s="1"/>
  <c r="BA195" i="1"/>
  <c r="BC195" i="1"/>
  <c r="BD195" i="1"/>
  <c r="BB195" i="1"/>
  <c r="BE195" i="1"/>
  <c r="CL327" i="1"/>
  <c r="CH327" i="1"/>
  <c r="CM327" i="1" s="1"/>
  <c r="CF327" i="1"/>
  <c r="CK327" i="1" s="1"/>
  <c r="CL358" i="1"/>
  <c r="CH358" i="1"/>
  <c r="CM358" i="1" s="1"/>
  <c r="CF358" i="1"/>
  <c r="CK358" i="1" s="1"/>
  <c r="CL426" i="1"/>
  <c r="CH426" i="1"/>
  <c r="CM426" i="1" s="1"/>
  <c r="CF426" i="1"/>
  <c r="CK426" i="1" s="1"/>
  <c r="CR451" i="1"/>
  <c r="BA327" i="1"/>
  <c r="BF316" i="1"/>
  <c r="CP316" i="1" s="1"/>
  <c r="CQ316" i="1" s="1"/>
  <c r="AS316" i="1" s="1"/>
  <c r="BF407" i="1"/>
  <c r="CP407" i="1" s="1"/>
  <c r="CQ407" i="1" s="1"/>
  <c r="AS407" i="1" s="1"/>
  <c r="BF122" i="1"/>
  <c r="CP122" i="1" s="1"/>
  <c r="CQ122" i="1" s="1"/>
  <c r="AS122" i="1" s="1"/>
  <c r="BF298" i="1"/>
  <c r="CP298" i="1" s="1"/>
  <c r="CQ298" i="1" s="1"/>
  <c r="AS298" i="1" s="1"/>
  <c r="BF106" i="1"/>
  <c r="CP106" i="1" s="1"/>
  <c r="CQ106" i="1" s="1"/>
  <c r="AS106" i="1" s="1"/>
  <c r="BF184" i="1"/>
  <c r="CP184" i="1" s="1"/>
  <c r="CQ184" i="1" s="1"/>
  <c r="AS184" i="1" s="1"/>
  <c r="BF281" i="1"/>
  <c r="CP281" i="1" s="1"/>
  <c r="CQ281" i="1" s="1"/>
  <c r="AS281" i="1" s="1"/>
  <c r="BF333" i="1"/>
  <c r="CP333" i="1" s="1"/>
  <c r="CQ333" i="1" s="1"/>
  <c r="AS333" i="1" s="1"/>
  <c r="BF427" i="1"/>
  <c r="CP427" i="1" s="1"/>
  <c r="CQ427" i="1" s="1"/>
  <c r="AS427" i="1" s="1"/>
  <c r="BF202" i="1" l="1"/>
  <c r="CP202" i="1" s="1"/>
  <c r="CQ202" i="1" s="1"/>
  <c r="AS202" i="1" s="1"/>
  <c r="BF197" i="1"/>
  <c r="CR182" i="1"/>
  <c r="BF182" i="1"/>
  <c r="CP182" i="1" s="1"/>
  <c r="CQ182" i="1" s="1"/>
  <c r="AS182" i="1" s="1"/>
  <c r="CR317" i="1"/>
  <c r="CR369" i="1"/>
  <c r="BF222" i="1"/>
  <c r="CR201" i="1"/>
  <c r="CP198" i="1"/>
  <c r="CQ198" i="1" s="1"/>
  <c r="AS198" i="1" s="1"/>
  <c r="CP197" i="1"/>
  <c r="CQ197" i="1" s="1"/>
  <c r="AS197" i="1" s="1"/>
  <c r="BF201" i="1"/>
  <c r="CP201" i="1" s="1"/>
  <c r="CQ201" i="1" s="1"/>
  <c r="AS201" i="1" s="1"/>
  <c r="BF255" i="1"/>
  <c r="BA455" i="1"/>
  <c r="BF216" i="1"/>
  <c r="CR353" i="1"/>
  <c r="BF353" i="1"/>
  <c r="CP353" i="1" s="1"/>
  <c r="CQ353" i="1" s="1"/>
  <c r="AS353" i="1" s="1"/>
  <c r="CR202" i="1"/>
  <c r="CP358" i="1"/>
  <c r="CQ358" i="1" s="1"/>
  <c r="AS358" i="1" s="1"/>
  <c r="CP369" i="1"/>
  <c r="CQ369" i="1" s="1"/>
  <c r="AS369" i="1" s="1"/>
  <c r="BF212" i="1"/>
  <c r="CP212" i="1" s="1"/>
  <c r="CQ212" i="1" s="1"/>
  <c r="AS212" i="1" s="1"/>
  <c r="CP216" i="1"/>
  <c r="CQ216" i="1" s="1"/>
  <c r="AS216" i="1" s="1"/>
  <c r="BF142" i="1"/>
  <c r="CP142" i="1" s="1"/>
  <c r="CQ142" i="1" s="1"/>
  <c r="AS142" i="1" s="1"/>
  <c r="CP362" i="1"/>
  <c r="CQ362" i="1" s="1"/>
  <c r="AS362" i="1" s="1"/>
  <c r="BF130" i="1"/>
  <c r="CP130" i="1" s="1"/>
  <c r="CQ130" i="1" s="1"/>
  <c r="AS130" i="1" s="1"/>
  <c r="BF250" i="1"/>
  <c r="CR212" i="1"/>
  <c r="CR130" i="1"/>
  <c r="BF179" i="1"/>
  <c r="CP179" i="1" s="1"/>
  <c r="CQ179" i="1" s="1"/>
  <c r="AS179" i="1" s="1"/>
  <c r="BF328" i="1"/>
  <c r="CP328" i="1" s="1"/>
  <c r="CQ328" i="1" s="1"/>
  <c r="AS328" i="1" s="1"/>
  <c r="BF124" i="1"/>
  <c r="CP124" i="1" s="1"/>
  <c r="CQ124" i="1" s="1"/>
  <c r="AS124" i="1" s="1"/>
  <c r="BF397" i="1"/>
  <c r="CP397" i="1" s="1"/>
  <c r="CQ397" i="1" s="1"/>
  <c r="AS397" i="1" s="1"/>
  <c r="CP373" i="1"/>
  <c r="CQ373" i="1" s="1"/>
  <c r="AS373" i="1" s="1"/>
  <c r="BF252" i="1"/>
  <c r="CR214" i="1"/>
  <c r="BF214" i="1"/>
  <c r="CP214" i="1" s="1"/>
  <c r="CQ214" i="1" s="1"/>
  <c r="AS214" i="1" s="1"/>
  <c r="BF317" i="1"/>
  <c r="CP317" i="1" s="1"/>
  <c r="CQ317" i="1" s="1"/>
  <c r="AS317" i="1" s="1"/>
  <c r="CR397" i="1"/>
  <c r="BF161" i="1"/>
  <c r="CP161" i="1" s="1"/>
  <c r="CQ161" i="1" s="1"/>
  <c r="AS161" i="1" s="1"/>
  <c r="BF162" i="1"/>
  <c r="CP162" i="1" s="1"/>
  <c r="CQ162" i="1" s="1"/>
  <c r="AS162" i="1" s="1"/>
  <c r="BF251" i="1"/>
  <c r="CR164" i="1"/>
  <c r="BF195" i="1"/>
  <c r="CP195" i="1" s="1"/>
  <c r="CQ195" i="1" s="1"/>
  <c r="AS195" i="1" s="1"/>
  <c r="BF233" i="1"/>
  <c r="BF321" i="1"/>
  <c r="CP321" i="1" s="1"/>
  <c r="CQ321" i="1" s="1"/>
  <c r="AS321" i="1" s="1"/>
  <c r="BF224" i="1"/>
  <c r="CR213" i="1"/>
  <c r="CR371" i="1"/>
  <c r="CR374" i="1"/>
  <c r="BF209" i="1"/>
  <c r="CP209" i="1" s="1"/>
  <c r="CQ209" i="1" s="1"/>
  <c r="AS209" i="1" s="1"/>
  <c r="BF236" i="1"/>
  <c r="CR174" i="1"/>
  <c r="CR167" i="1"/>
  <c r="CR361" i="1"/>
  <c r="CR121" i="1"/>
  <c r="CR326" i="1"/>
  <c r="BF351" i="1"/>
  <c r="CP351" i="1" s="1"/>
  <c r="CQ351" i="1" s="1"/>
  <c r="AS351" i="1" s="1"/>
  <c r="CR177" i="1"/>
  <c r="CR324" i="1"/>
  <c r="CR372" i="1"/>
  <c r="CR368" i="1"/>
  <c r="BF229" i="1"/>
  <c r="BF180" i="1"/>
  <c r="CP180" i="1" s="1"/>
  <c r="CQ180" i="1" s="1"/>
  <c r="AS180" i="1" s="1"/>
  <c r="BF375" i="1"/>
  <c r="CP375" i="1" s="1"/>
  <c r="CQ375" i="1" s="1"/>
  <c r="AS375" i="1" s="1"/>
  <c r="CR200" i="1"/>
  <c r="CR209" i="1"/>
  <c r="CR217" i="1"/>
  <c r="BF217" i="1"/>
  <c r="CP217" i="1" s="1"/>
  <c r="CQ217" i="1" s="1"/>
  <c r="AS217" i="1" s="1"/>
  <c r="CR363" i="1"/>
  <c r="CR322" i="1"/>
  <c r="AR455" i="1"/>
  <c r="BF181" i="1"/>
  <c r="CP181" i="1" s="1"/>
  <c r="CQ181" i="1" s="1"/>
  <c r="AS181" i="1" s="1"/>
  <c r="CR357" i="1"/>
  <c r="CR139" i="1"/>
  <c r="CR144" i="1"/>
  <c r="CR152" i="1"/>
  <c r="CR315" i="1"/>
  <c r="BF368" i="1"/>
  <c r="CP368" i="1" s="1"/>
  <c r="CQ368" i="1" s="1"/>
  <c r="AS368" i="1" s="1"/>
  <c r="BA101" i="1"/>
  <c r="BF400" i="1"/>
  <c r="CP400" i="1" s="1"/>
  <c r="CQ400" i="1" s="1"/>
  <c r="AS400" i="1" s="1"/>
  <c r="CR375" i="1"/>
  <c r="BF326" i="1"/>
  <c r="CP326" i="1" s="1"/>
  <c r="CQ326" i="1" s="1"/>
  <c r="AS326" i="1" s="1"/>
  <c r="CR171" i="1"/>
  <c r="CR321" i="1"/>
  <c r="BF389" i="1"/>
  <c r="CP389" i="1" s="1"/>
  <c r="CQ389" i="1" s="1"/>
  <c r="AS389" i="1" s="1"/>
  <c r="BF363" i="1"/>
  <c r="CP363" i="1" s="1"/>
  <c r="CQ363" i="1" s="1"/>
  <c r="AS363" i="1" s="1"/>
  <c r="BF176" i="1"/>
  <c r="CP176" i="1" s="1"/>
  <c r="CQ176" i="1" s="1"/>
  <c r="AS176" i="1" s="1"/>
  <c r="CR143" i="1"/>
  <c r="CR181" i="1"/>
  <c r="BF225" i="1"/>
  <c r="BF210" i="1"/>
  <c r="CP210" i="1" s="1"/>
  <c r="CQ210" i="1" s="1"/>
  <c r="AS210" i="1" s="1"/>
  <c r="CR366" i="1"/>
  <c r="BF178" i="1"/>
  <c r="BF164" i="1"/>
  <c r="CP164" i="1" s="1"/>
  <c r="CQ164" i="1" s="1"/>
  <c r="AS164" i="1" s="1"/>
  <c r="CR140" i="1"/>
  <c r="BF323" i="1"/>
  <c r="CP323" i="1" s="1"/>
  <c r="CQ323" i="1" s="1"/>
  <c r="AS323" i="1" s="1"/>
  <c r="CR394" i="1"/>
  <c r="CR351" i="1"/>
  <c r="CR196" i="1"/>
  <c r="BF196" i="1"/>
  <c r="CP196" i="1" s="1"/>
  <c r="CQ196" i="1" s="1"/>
  <c r="AS196" i="1" s="1"/>
  <c r="BF200" i="1"/>
  <c r="CP200" i="1" s="1"/>
  <c r="CQ200" i="1" s="1"/>
  <c r="AS200" i="1" s="1"/>
  <c r="BF370" i="1"/>
  <c r="CP370" i="1" s="1"/>
  <c r="CQ370" i="1" s="1"/>
  <c r="AS370" i="1" s="1"/>
  <c r="BF366" i="1"/>
  <c r="CP366" i="1" s="1"/>
  <c r="CQ366" i="1" s="1"/>
  <c r="AS366" i="1" s="1"/>
  <c r="BF177" i="1"/>
  <c r="CP177" i="1" s="1"/>
  <c r="CQ177" i="1" s="1"/>
  <c r="AS177" i="1" s="1"/>
  <c r="BC455" i="1"/>
  <c r="CR103" i="1"/>
  <c r="BC100" i="1"/>
  <c r="BC101" i="1"/>
  <c r="BF103" i="1"/>
  <c r="CR159" i="1"/>
  <c r="BF241" i="1"/>
  <c r="BF352" i="1"/>
  <c r="CP352" i="1" s="1"/>
  <c r="CQ352" i="1" s="1"/>
  <c r="AS352" i="1" s="1"/>
  <c r="BF249" i="1"/>
  <c r="BF318" i="1"/>
  <c r="CP318" i="1" s="1"/>
  <c r="CQ318" i="1" s="1"/>
  <c r="AS318" i="1" s="1"/>
  <c r="CP178" i="1"/>
  <c r="CQ178" i="1" s="1"/>
  <c r="AS178" i="1" s="1"/>
  <c r="CR195" i="1"/>
  <c r="BF357" i="1"/>
  <c r="CP357" i="1" s="1"/>
  <c r="CQ357" i="1" s="1"/>
  <c r="AS357" i="1" s="1"/>
  <c r="CR354" i="1"/>
  <c r="BF171" i="1"/>
  <c r="CP171" i="1" s="1"/>
  <c r="CQ171" i="1" s="1"/>
  <c r="AS171" i="1" s="1"/>
  <c r="BF377" i="1"/>
  <c r="CP377" i="1" s="1"/>
  <c r="CQ377" i="1" s="1"/>
  <c r="AS377" i="1" s="1"/>
  <c r="BF371" i="1"/>
  <c r="CP371" i="1" s="1"/>
  <c r="CQ371" i="1" s="1"/>
  <c r="AS371" i="1" s="1"/>
  <c r="BD455" i="1"/>
  <c r="BD100" i="1"/>
  <c r="BD101" i="1"/>
  <c r="BF174" i="1"/>
  <c r="CP174" i="1" s="1"/>
  <c r="CQ174" i="1" s="1"/>
  <c r="AS174" i="1" s="1"/>
  <c r="CR389" i="1"/>
  <c r="CR327" i="1"/>
  <c r="CR163" i="1"/>
  <c r="BF359" i="1"/>
  <c r="CP359" i="1" s="1"/>
  <c r="CQ359" i="1" s="1"/>
  <c r="AS359" i="1" s="1"/>
  <c r="BF361" i="1"/>
  <c r="CP361" i="1" s="1"/>
  <c r="CQ361" i="1" s="1"/>
  <c r="AS361" i="1" s="1"/>
  <c r="CR352" i="1"/>
  <c r="BF365" i="1"/>
  <c r="CP365" i="1" s="1"/>
  <c r="CQ365" i="1" s="1"/>
  <c r="AS365" i="1" s="1"/>
  <c r="BF143" i="1"/>
  <c r="CP143" i="1" s="1"/>
  <c r="CQ143" i="1" s="1"/>
  <c r="AS143" i="1" s="1"/>
  <c r="CR318" i="1"/>
  <c r="BF324" i="1"/>
  <c r="CP324" i="1" s="1"/>
  <c r="CQ324" i="1" s="1"/>
  <c r="AS324" i="1" s="1"/>
  <c r="CR367" i="1"/>
  <c r="CR172" i="1"/>
  <c r="CR370" i="1"/>
  <c r="CR399" i="1"/>
  <c r="BF168" i="1"/>
  <c r="CP168" i="1" s="1"/>
  <c r="CQ168" i="1" s="1"/>
  <c r="AS168" i="1" s="1"/>
  <c r="BF245" i="1"/>
  <c r="BF139" i="1"/>
  <c r="CP139" i="1" s="1"/>
  <c r="CQ139" i="1" s="1"/>
  <c r="AS139" i="1" s="1"/>
  <c r="BF374" i="1"/>
  <c r="CP374" i="1" s="1"/>
  <c r="CQ374" i="1" s="1"/>
  <c r="AS374" i="1" s="1"/>
  <c r="BF144" i="1"/>
  <c r="CP144" i="1" s="1"/>
  <c r="CQ144" i="1" s="1"/>
  <c r="AS144" i="1" s="1"/>
  <c r="BE455" i="1"/>
  <c r="BE101" i="1"/>
  <c r="BE100" i="1"/>
  <c r="BF319" i="1"/>
  <c r="CP319" i="1" s="1"/>
  <c r="CQ319" i="1" s="1"/>
  <c r="AS319" i="1" s="1"/>
  <c r="CR160" i="1"/>
  <c r="CR199" i="1"/>
  <c r="BF354" i="1"/>
  <c r="CP354" i="1" s="1"/>
  <c r="CQ354" i="1" s="1"/>
  <c r="AS354" i="1" s="1"/>
  <c r="CR377" i="1"/>
  <c r="BF237" i="1"/>
  <c r="BF152" i="1"/>
  <c r="CP152" i="1" s="1"/>
  <c r="CQ152" i="1" s="1"/>
  <c r="AS152" i="1" s="1"/>
  <c r="BF159" i="1"/>
  <c r="CP159" i="1" s="1"/>
  <c r="CQ159" i="1" s="1"/>
  <c r="AS159" i="1" s="1"/>
  <c r="CR319" i="1"/>
  <c r="BF160" i="1"/>
  <c r="CP160" i="1" s="1"/>
  <c r="CQ160" i="1" s="1"/>
  <c r="AS160" i="1" s="1"/>
  <c r="BB101" i="1"/>
  <c r="BF199" i="1"/>
  <c r="CP199" i="1" s="1"/>
  <c r="CQ199" i="1" s="1"/>
  <c r="AS199" i="1" s="1"/>
  <c r="BF315" i="1"/>
  <c r="CP315" i="1" s="1"/>
  <c r="CQ315" i="1" s="1"/>
  <c r="AS315" i="1" s="1"/>
  <c r="BF167" i="1"/>
  <c r="CP167" i="1" s="1"/>
  <c r="CQ167" i="1" s="1"/>
  <c r="AS167" i="1" s="1"/>
  <c r="BF327" i="1"/>
  <c r="CP327" i="1" s="1"/>
  <c r="CQ327" i="1" s="1"/>
  <c r="AS327" i="1" s="1"/>
  <c r="BF393" i="1"/>
  <c r="CP393" i="1" s="1"/>
  <c r="CQ393" i="1" s="1"/>
  <c r="AS393" i="1" s="1"/>
  <c r="CR393" i="1"/>
  <c r="CR359" i="1"/>
  <c r="CR365" i="1"/>
  <c r="BF322" i="1"/>
  <c r="CP322" i="1" s="1"/>
  <c r="CQ322" i="1" s="1"/>
  <c r="AS322" i="1" s="1"/>
  <c r="CR176" i="1"/>
  <c r="BF121" i="1"/>
  <c r="CP121" i="1" s="1"/>
  <c r="CQ121" i="1" s="1"/>
  <c r="AS121" i="1" s="1"/>
  <c r="BB455" i="1"/>
  <c r="CR210" i="1"/>
  <c r="BF367" i="1"/>
  <c r="CP367" i="1" s="1"/>
  <c r="CQ367" i="1" s="1"/>
  <c r="AS367" i="1" s="1"/>
  <c r="BF253" i="1"/>
  <c r="BF172" i="1"/>
  <c r="CP172" i="1" s="1"/>
  <c r="CQ172" i="1" s="1"/>
  <c r="AS172" i="1" s="1"/>
  <c r="BF301" i="1"/>
  <c r="CP301" i="1" s="1"/>
  <c r="CQ301" i="1" s="1"/>
  <c r="AS301" i="1" s="1"/>
  <c r="CR400" i="1"/>
  <c r="CR178" i="1"/>
  <c r="CR180" i="1"/>
  <c r="BF208" i="1"/>
  <c r="CP208" i="1" s="1"/>
  <c r="CQ208" i="1" s="1"/>
  <c r="AS208" i="1" s="1"/>
  <c r="CR208" i="1"/>
  <c r="BF140" i="1"/>
  <c r="CP140" i="1" s="1"/>
  <c r="CQ140" i="1" s="1"/>
  <c r="AS140" i="1" s="1"/>
  <c r="CR323" i="1"/>
  <c r="BF394" i="1"/>
  <c r="CP394" i="1" s="1"/>
  <c r="CQ394" i="1" s="1"/>
  <c r="AS394" i="1" s="1"/>
  <c r="BF163" i="1"/>
  <c r="CP163" i="1" s="1"/>
  <c r="CQ163" i="1" s="1"/>
  <c r="AS163" i="1" s="1"/>
  <c r="BB100" i="1"/>
  <c r="CR301" i="1"/>
  <c r="BF213" i="1"/>
  <c r="CP213" i="1" s="1"/>
  <c r="CQ213" i="1" s="1"/>
  <c r="AS213" i="1" s="1"/>
  <c r="BF399" i="1"/>
  <c r="CP399" i="1" s="1"/>
  <c r="CQ399" i="1" s="1"/>
  <c r="AS399" i="1" s="1"/>
  <c r="CR168" i="1"/>
  <c r="BF372" i="1"/>
  <c r="CP372" i="1" s="1"/>
  <c r="CQ372" i="1" s="1"/>
  <c r="AS372" i="1" s="1"/>
  <c r="CR455" i="1" l="1"/>
  <c r="BF455" i="1"/>
  <c r="CP103" i="1"/>
  <c r="CQ103" i="1" s="1"/>
  <c r="BF101" i="1"/>
  <c r="BF100" i="1"/>
  <c r="CQ455" i="1" l="1"/>
  <c r="AS455" i="1" s="1"/>
  <c r="AS103"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Antonio J. de Gusmão</author>
  </authors>
  <commentList>
    <comment ref="E102" authorId="0" shapeId="0" xr:uid="{5C92CEEA-FC09-42BA-9C9C-F87F8D434E16}">
      <text>
        <r>
          <rPr>
            <b/>
            <sz val="9"/>
            <color indexed="81"/>
            <rFont val="Segoe UI"/>
            <family val="2"/>
          </rPr>
          <t>Antonio J. de Gusmão:</t>
        </r>
        <r>
          <rPr>
            <sz val="9"/>
            <color indexed="81"/>
            <rFont val="Segoe UI"/>
            <family val="2"/>
          </rPr>
          <t xml:space="preserve">
Para inserir uma linha , nuca arraste.
Copy e depois insireri celula copiada</t>
        </r>
      </text>
    </comment>
    <comment ref="AP102" authorId="0" shapeId="0" xr:uid="{29D221E1-10FF-44A2-A1F2-B61F882CAD4C}">
      <text>
        <r>
          <rPr>
            <b/>
            <sz val="9"/>
            <color indexed="81"/>
            <rFont val="Tahoma"/>
            <family val="2"/>
          </rPr>
          <t>Antonio J. de Gusmão:</t>
        </r>
        <r>
          <rPr>
            <sz val="9"/>
            <color indexed="81"/>
            <rFont val="Tahoma"/>
            <family val="2"/>
          </rPr>
          <t xml:space="preserve">
Icm + Pis + Cofins</t>
        </r>
      </text>
    </comment>
    <comment ref="AG432" authorId="0" shapeId="0" xr:uid="{CA771959-471A-475A-AF69-8B9BF0033E45}">
      <text>
        <r>
          <rPr>
            <b/>
            <sz val="9"/>
            <color indexed="81"/>
            <rFont val="Tahoma"/>
            <family val="2"/>
          </rPr>
          <t>Antonio J. de Gusmão:</t>
        </r>
        <r>
          <rPr>
            <sz val="9"/>
            <color indexed="81"/>
            <rFont val="Tahoma"/>
            <family val="2"/>
          </rPr>
          <t xml:space="preserve">
(Nota: Se a instalação for ATM, considerar os custos de Logisticas)</t>
        </r>
      </text>
    </comment>
    <comment ref="AG433" authorId="0" shapeId="0" xr:uid="{EB3258FB-B8E1-40FF-A7BA-519281BA0928}">
      <text>
        <r>
          <rPr>
            <b/>
            <sz val="9"/>
            <color indexed="81"/>
            <rFont val="Tahoma"/>
            <family val="2"/>
          </rPr>
          <t>Antonio J. de Gusmão:</t>
        </r>
        <r>
          <rPr>
            <sz val="9"/>
            <color indexed="81"/>
            <rFont val="Tahoma"/>
            <family val="2"/>
          </rPr>
          <t xml:space="preserve">
(Nota: Se a instalação for ATM, considerar os custos de Logisticas)</t>
        </r>
      </text>
    </comment>
    <comment ref="AO454" authorId="0" shapeId="0" xr:uid="{534AA29D-9435-490D-A30D-12852F545122}">
      <text>
        <r>
          <rPr>
            <b/>
            <sz val="9"/>
            <color indexed="81"/>
            <rFont val="Segoe UI"/>
            <family val="2"/>
          </rPr>
          <t>Antonio J. de Gusmão:</t>
        </r>
        <r>
          <rPr>
            <sz val="9"/>
            <color indexed="81"/>
            <rFont val="Segoe UI"/>
            <family val="2"/>
          </rPr>
          <t xml:space="preserve">
Automatico vem do Cockpit</t>
        </r>
      </text>
    </comment>
  </commentList>
</comments>
</file>

<file path=xl/sharedStrings.xml><?xml version="1.0" encoding="utf-8"?>
<sst xmlns="http://schemas.openxmlformats.org/spreadsheetml/2006/main" count="6932" uniqueCount="608">
  <si>
    <t>eparação Valores</t>
  </si>
  <si>
    <t>Real</t>
  </si>
  <si>
    <t>CFTV</t>
  </si>
  <si>
    <t>INST</t>
  </si>
  <si>
    <t>LOG COM</t>
  </si>
  <si>
    <t>LOG MON</t>
  </si>
  <si>
    <t>LOG INT</t>
  </si>
  <si>
    <t>MI</t>
  </si>
  <si>
    <t>MI - Abraçadeiras</t>
  </si>
  <si>
    <t>MI - Aço</t>
  </si>
  <si>
    <t>MI - Aterramento e SPDA</t>
  </si>
  <si>
    <t>Retorno</t>
  </si>
  <si>
    <t>ATK</t>
  </si>
  <si>
    <t>Pis Cofins</t>
  </si>
  <si>
    <t>MI - Cabos</t>
  </si>
  <si>
    <t>ATM</t>
  </si>
  <si>
    <t>1 ED 1 SD</t>
  </si>
  <si>
    <t>⁰C</t>
  </si>
  <si>
    <t>Analisadores</t>
  </si>
  <si>
    <t>2 Fios</t>
  </si>
  <si>
    <t>MI - Conduletes</t>
  </si>
  <si>
    <t>TERCEIROS</t>
  </si>
  <si>
    <t>2 ED 1 SD</t>
  </si>
  <si>
    <t>%</t>
  </si>
  <si>
    <t>Analisadores CO2 O2</t>
  </si>
  <si>
    <t>4 fios</t>
  </si>
  <si>
    <t>MI - Diversos</t>
  </si>
  <si>
    <t>LOG</t>
  </si>
  <si>
    <t>CLIENTE</t>
  </si>
  <si>
    <t>ASi</t>
  </si>
  <si>
    <t>brix</t>
  </si>
  <si>
    <t>Bornes geral</t>
  </si>
  <si>
    <t>Wireless</t>
  </si>
  <si>
    <t>MI - Eletrodutos</t>
  </si>
  <si>
    <t>LOG_M</t>
  </si>
  <si>
    <t>CN</t>
  </si>
  <si>
    <t>g</t>
  </si>
  <si>
    <t>Botoeiras</t>
  </si>
  <si>
    <t>3 fios</t>
  </si>
  <si>
    <t>MI - Iluminação</t>
  </si>
  <si>
    <t>DN</t>
  </si>
  <si>
    <t>Kg</t>
  </si>
  <si>
    <t>Chave Nível</t>
  </si>
  <si>
    <t>NA</t>
  </si>
  <si>
    <t>MI - Incêndio</t>
  </si>
  <si>
    <t>MOA</t>
  </si>
  <si>
    <t>DP</t>
  </si>
  <si>
    <t>kgf/cm²</t>
  </si>
  <si>
    <t>Condutivimetro</t>
  </si>
  <si>
    <t>MI - Kanaflex</t>
  </si>
  <si>
    <t>MOB</t>
  </si>
  <si>
    <t>EA</t>
  </si>
  <si>
    <t>l/h</t>
  </si>
  <si>
    <t>Coriolise</t>
  </si>
  <si>
    <t>MI - Leitos</t>
  </si>
  <si>
    <t>MOC</t>
  </si>
  <si>
    <t>ED</t>
  </si>
  <si>
    <t>m³</t>
  </si>
  <si>
    <t>Diferencial</t>
  </si>
  <si>
    <t>MI - Manifold</t>
  </si>
  <si>
    <t>MOE</t>
  </si>
  <si>
    <t>IF</t>
  </si>
  <si>
    <t>m³/h</t>
  </si>
  <si>
    <t>Disjuntores Miscelâneas</t>
  </si>
  <si>
    <t>MI - Manômetros</t>
  </si>
  <si>
    <t>MOI</t>
  </si>
  <si>
    <t>IT</t>
  </si>
  <si>
    <t>mca</t>
  </si>
  <si>
    <t>DT Densidade</t>
  </si>
  <si>
    <t>MI - Parafusos</t>
  </si>
  <si>
    <t>MOD</t>
  </si>
  <si>
    <t>mm</t>
  </si>
  <si>
    <t>Fluxostato</t>
  </si>
  <si>
    <t>MI - Potes</t>
  </si>
  <si>
    <t>MOV</t>
  </si>
  <si>
    <t>PA</t>
  </si>
  <si>
    <t>mmH2O</t>
  </si>
  <si>
    <t>Fontes</t>
  </si>
  <si>
    <t>MI - Sealtube</t>
  </si>
  <si>
    <t>PLC_DCS</t>
  </si>
  <si>
    <t xml:space="preserve">SA </t>
  </si>
  <si>
    <t>pH</t>
  </si>
  <si>
    <t>Magnético</t>
  </si>
  <si>
    <t>MI - Steck</t>
  </si>
  <si>
    <t>PNL</t>
  </si>
  <si>
    <t>SD</t>
  </si>
  <si>
    <t>t</t>
  </si>
  <si>
    <t>Manométrico</t>
  </si>
  <si>
    <t>MI - Termômetros</t>
  </si>
  <si>
    <t>PROD</t>
  </si>
  <si>
    <t>2 ED 2 SD</t>
  </si>
  <si>
    <t>t/h</t>
  </si>
  <si>
    <t>Manômetros</t>
  </si>
  <si>
    <t>MI - Ar Comprimido</t>
  </si>
  <si>
    <t>PROD REDE</t>
  </si>
  <si>
    <t>3 ED 2 SD</t>
  </si>
  <si>
    <t>m</t>
  </si>
  <si>
    <t>Nível Flangeado</t>
  </si>
  <si>
    <t>MI - Tubbing</t>
  </si>
  <si>
    <t>PROD TI</t>
  </si>
  <si>
    <t>1 ED 2 SD</t>
  </si>
  <si>
    <t>g/cm³</t>
  </si>
  <si>
    <t>pH TRM</t>
  </si>
  <si>
    <t>SERV</t>
  </si>
  <si>
    <t>2 ED 1 SD 1 EA 1 SA</t>
  </si>
  <si>
    <t>mmHg</t>
  </si>
  <si>
    <t>Pressostados</t>
  </si>
  <si>
    <t>Nacional</t>
  </si>
  <si>
    <t>SOFT</t>
  </si>
  <si>
    <t>G</t>
  </si>
  <si>
    <t>Radar</t>
  </si>
  <si>
    <t>Imp.  Diretamente</t>
  </si>
  <si>
    <t>SSMA</t>
  </si>
  <si>
    <t>mmca</t>
  </si>
  <si>
    <t>Reles</t>
  </si>
  <si>
    <t>Imp. Terceiros</t>
  </si>
  <si>
    <t>TRS</t>
  </si>
  <si>
    <t>inH2O</t>
  </si>
  <si>
    <t>Sensor Capacitivo</t>
  </si>
  <si>
    <t>Fab.  Própria</t>
  </si>
  <si>
    <t>MOT</t>
  </si>
  <si>
    <t>mg/l</t>
  </si>
  <si>
    <t>Sensor Indutivo</t>
  </si>
  <si>
    <t>TXATM</t>
  </si>
  <si>
    <t>uS</t>
  </si>
  <si>
    <t>Sensores</t>
  </si>
  <si>
    <t>xxxx</t>
  </si>
  <si>
    <t>Solenóides</t>
  </si>
  <si>
    <t>PLC</t>
  </si>
  <si>
    <t>bar</t>
  </si>
  <si>
    <t>Temperatura</t>
  </si>
  <si>
    <t>Termo elemento</t>
  </si>
  <si>
    <t>Mercadorias</t>
  </si>
  <si>
    <t>Termômetros</t>
  </si>
  <si>
    <t>Ultrassom</t>
  </si>
  <si>
    <t>Despesas</t>
  </si>
  <si>
    <t>Válvulas Controle</t>
  </si>
  <si>
    <t>SDCD</t>
  </si>
  <si>
    <t>Válvulas ON OFF</t>
  </si>
  <si>
    <t>Vortex</t>
  </si>
  <si>
    <t>Serviços</t>
  </si>
  <si>
    <t>Sistema</t>
  </si>
  <si>
    <t>Posição</t>
  </si>
  <si>
    <t>Absoluto</t>
  </si>
  <si>
    <t>Chave de Vibração</t>
  </si>
  <si>
    <t>INT - ATM</t>
  </si>
  <si>
    <t>Rotâmetro</t>
  </si>
  <si>
    <t>INT - Cliente</t>
  </si>
  <si>
    <t>Chave de Desalinhamento</t>
  </si>
  <si>
    <t>moi</t>
  </si>
  <si>
    <t>Chave de Emergência</t>
  </si>
  <si>
    <t>Sinalizador</t>
  </si>
  <si>
    <t>Visor de Nível</t>
  </si>
  <si>
    <t>Bocal</t>
  </si>
  <si>
    <t>Material Instalação</t>
  </si>
  <si>
    <t>Posicionadores</t>
  </si>
  <si>
    <t>Placa de Orificio</t>
  </si>
  <si>
    <t>Móvel</t>
  </si>
  <si>
    <t>Itens Acrescentados</t>
  </si>
  <si>
    <t>Serviço</t>
  </si>
  <si>
    <t>Itens Alterados (Quantidades)</t>
  </si>
  <si>
    <t>Acionamento de Motor</t>
  </si>
  <si>
    <t>d</t>
  </si>
  <si>
    <t>Finame</t>
  </si>
  <si>
    <t>Authomathika</t>
  </si>
  <si>
    <t>C</t>
  </si>
  <si>
    <t>Impostos</t>
  </si>
  <si>
    <t>ICM Débito</t>
  </si>
  <si>
    <t>PIS Débito</t>
  </si>
  <si>
    <t>COFINS Débito</t>
  </si>
  <si>
    <t>ISSQN Débito</t>
  </si>
  <si>
    <t>Total Impostos</t>
  </si>
  <si>
    <t>Valores</t>
  </si>
  <si>
    <t>Preencher - Metas</t>
  </si>
  <si>
    <t>Dados Comerciais Base da Proposta</t>
  </si>
  <si>
    <t>Valores Authomathika</t>
  </si>
  <si>
    <t>Check1</t>
  </si>
  <si>
    <t>Controle</t>
  </si>
  <si>
    <t>Check</t>
  </si>
  <si>
    <t>Grupo</t>
  </si>
  <si>
    <t>Criticidade</t>
  </si>
  <si>
    <t xml:space="preserve">Origem </t>
  </si>
  <si>
    <t>Indice</t>
  </si>
  <si>
    <t>Classificação Real</t>
  </si>
  <si>
    <t>Classificação</t>
  </si>
  <si>
    <t>Pedido aberto para a empresa: ATM/ATK</t>
  </si>
  <si>
    <t>Tipo  Classsificação</t>
  </si>
  <si>
    <t>Fornecedor</t>
  </si>
  <si>
    <t>Fabricante</t>
  </si>
  <si>
    <t>Área  de Aplicação</t>
  </si>
  <si>
    <t>Sub área de Aplicação</t>
  </si>
  <si>
    <t>TAG  Identificação</t>
  </si>
  <si>
    <t>TAG</t>
  </si>
  <si>
    <t>Tag GF</t>
  </si>
  <si>
    <t>Malha  Setor Equipamento</t>
  </si>
  <si>
    <t>Função Tipo Serviço Classe</t>
  </si>
  <si>
    <t>TAG Painel Remota ou GTW</t>
  </si>
  <si>
    <t>Local Paineis &amp; Remotas</t>
  </si>
  <si>
    <t>Diâmetro Tubulações</t>
  </si>
  <si>
    <t>Descrição Equipamento Informação</t>
  </si>
  <si>
    <t>Modelo Código Equipamento</t>
  </si>
  <si>
    <t>Tipo
IO</t>
  </si>
  <si>
    <t>Disponibilidade
Cartão_Modulo
IO</t>
  </si>
  <si>
    <t>Range, faixa, Alcance</t>
  </si>
  <si>
    <t>Unidade</t>
  </si>
  <si>
    <t>Dados</t>
  </si>
  <si>
    <t>Caracteristica Medição</t>
  </si>
  <si>
    <t>Tipo Alimentação</t>
  </si>
  <si>
    <t>QTDE</t>
  </si>
  <si>
    <t>Custo Unitário 
ICM PIS COFINS</t>
  </si>
  <si>
    <t>IPI
Excluso
%</t>
  </si>
  <si>
    <t>ICM
Incluso
%</t>
  </si>
  <si>
    <t>Desconto
%</t>
  </si>
  <si>
    <t>Buyout</t>
  </si>
  <si>
    <t>Custo_
S_ IPI</t>
  </si>
  <si>
    <t>Custo_
C_IPI</t>
  </si>
  <si>
    <t>Multiplicador</t>
  </si>
  <si>
    <t>Valor Margem
I _P_C</t>
  </si>
  <si>
    <t>Valor de Venda com o Fator</t>
  </si>
  <si>
    <t>Valor Com Margem
ICM+PIS+COFINS + IPI</t>
  </si>
  <si>
    <t>Fee Venda sobre Custo Já com Credito e débito (Fora IPI)</t>
  </si>
  <si>
    <t>Tipo  Classsificação_R</t>
  </si>
  <si>
    <t>Classificação_R</t>
  </si>
  <si>
    <t>NCM
Codigo para Finame</t>
  </si>
  <si>
    <t>Pago de IPI</t>
  </si>
  <si>
    <t>Crédito ICM</t>
  </si>
  <si>
    <t>Crédito
I _P_C</t>
  </si>
  <si>
    <t>Dédito Impostos I_P_C</t>
  </si>
  <si>
    <t>Necessidades
EA</t>
  </si>
  <si>
    <t xml:space="preserve">Necessidades
SA </t>
  </si>
  <si>
    <t>Necessidades
ED</t>
  </si>
  <si>
    <t>Necessidades
SD</t>
  </si>
  <si>
    <t>Necessidades
IF</t>
  </si>
  <si>
    <t>Necessidades
IT</t>
  </si>
  <si>
    <t>Necessidades
ASi</t>
  </si>
  <si>
    <t>Necessidades
PA</t>
  </si>
  <si>
    <t>Necessidades
DP</t>
  </si>
  <si>
    <t>Necessidades
DN</t>
  </si>
  <si>
    <t>Necessidades
CN</t>
  </si>
  <si>
    <t>Disponibilidade
EA</t>
  </si>
  <si>
    <t xml:space="preserve">Disponibilidade
SA </t>
  </si>
  <si>
    <t>Disponibilidade
ED</t>
  </si>
  <si>
    <t>Disponibilidade
SD</t>
  </si>
  <si>
    <t>Disponibilidade
IF</t>
  </si>
  <si>
    <t>Disponibilidade
IT</t>
  </si>
  <si>
    <t>Disponibilidade
ASi</t>
  </si>
  <si>
    <t>Disponibilidade
PA</t>
  </si>
  <si>
    <t>Disponibilidade
DP</t>
  </si>
  <si>
    <t>Disponibilidade
DN</t>
  </si>
  <si>
    <t>Disponibilidade
CN</t>
  </si>
  <si>
    <t>Faturamento Direto</t>
  </si>
  <si>
    <t>Minimo</t>
  </si>
  <si>
    <t>Medio 1</t>
  </si>
  <si>
    <t>Medio</t>
  </si>
  <si>
    <t>Medio 2</t>
  </si>
  <si>
    <t>Max</t>
  </si>
  <si>
    <t>Credito Dédito</t>
  </si>
  <si>
    <t>Valor Venda depois Impostos</t>
  </si>
  <si>
    <t>Débito Pis Cofins</t>
  </si>
  <si>
    <t>LOG_LOGM_TRS</t>
  </si>
  <si>
    <t>MOA_MOD_MOI</t>
  </si>
  <si>
    <t>M.O.</t>
  </si>
  <si>
    <t>Execução</t>
  </si>
  <si>
    <t>Integração ATM + Cliente</t>
  </si>
  <si>
    <t>Mobilização</t>
  </si>
  <si>
    <t>Periculosidade</t>
  </si>
  <si>
    <t>Turnover</t>
  </si>
  <si>
    <t>Logistica Campo</t>
  </si>
  <si>
    <t>Logistica Integração</t>
  </si>
  <si>
    <t>Logistica Mobilização</t>
  </si>
  <si>
    <t>MOB_SSMA</t>
  </si>
  <si>
    <t xml:space="preserve">SSMA </t>
  </si>
  <si>
    <t>Transporte leitos/ eletrocalhas e Cabos</t>
  </si>
  <si>
    <t>Transporte miscelaneas</t>
  </si>
  <si>
    <t>MOE_MOC_SERV</t>
  </si>
  <si>
    <t>COM</t>
  </si>
  <si>
    <t>Comissionamento e Start Up - Instrumentação</t>
  </si>
  <si>
    <t>Logistica Comissionamento e Start Up - Instrumentação</t>
  </si>
  <si>
    <t>Operação Assistida - Instrumentação</t>
  </si>
  <si>
    <t>Logistica Operação Assistida - Instrumentação</t>
  </si>
  <si>
    <t>Comissionamento e Start Up - Elétrica</t>
  </si>
  <si>
    <t>Logistica Comissionamento e Start Up - Inst - Elétrica</t>
  </si>
  <si>
    <t>Operação Assistida - Elétrica</t>
  </si>
  <si>
    <t>Logistica Operação Assistida - Elétrica</t>
  </si>
  <si>
    <t>ENG</t>
  </si>
  <si>
    <t>Serviços de engenharia</t>
  </si>
  <si>
    <t>Fusões Fibras Óticas</t>
  </si>
  <si>
    <t>Logistica Fusões Fibras Óticas</t>
  </si>
  <si>
    <t>Viagens alta gestão</t>
  </si>
  <si>
    <t>CFTV_REDE_TI</t>
  </si>
  <si>
    <t>INECEL</t>
  </si>
  <si>
    <t>Média Tensão</t>
  </si>
  <si>
    <t>Infra Leitos</t>
  </si>
  <si>
    <t>LEITO SEMIPESADO, LONGARINA COM 100MM DE ALTURA E VIROLA DE 19MM, COM TRAVESSAS A CADA 250MM, EM PERFILADO 38x19MM, EM AÇO CARBONO GALVANIZADO A FOGO, ABA EXTERNA, LARGURA DE 300MM COM LONGARINAS EM CHAPA #16 E TRAVESSAS CHAPA #18, BARRAS DE 3 METROS</t>
  </si>
  <si>
    <t>LEITO SEMIPESADO, LONGARINA COM 100MM DE ALTURA E VIROLA DE 19MM, COM TRAVESSAS A CADA 250MM, EM PERFILADO 38x19MM, EM AÇO CARBONO GALVANIZADO A FOGO, ABA INTERNA, LARGURA DE 300MM COM LONGARINAS EM CHAPA #16 E TRAVESSAS CHAPA #18, BARRAS DE 3 METROS</t>
  </si>
  <si>
    <t>CURVA HORIZONTAL 90° PARA LEITO DP-803-250 EM AÇO CARBONO, GALVANIZADO A FOGO, ABA EXTERNA, LARGURA DE 300MM,COM LONGARINAS DE 100MM E VIROLA DE 19MM EM CHAPA #16 E TRAVESSAS EM PERFILADO 38x19MM NA CHAPA #18,  RAIO DE CURVATURA 520MM SEGMENTADO, COM TAMPA</t>
  </si>
  <si>
    <t>CURVA HORIZONTAL 90° PARA LEITO DP-803-250 EM AÇO CARBONO, GALVANIZADO A FOGO, ABA INTERNA, LARGURA DE 300MM,COM LONGARINAS DE 100MM E VIROLA DE 19MM EM CHAPA #16 E TRAVESSAS EM PERFILADO 38x19MM NA CHAPA #18,  RAIO DE CURVATURA 520MM SEGMENTADO, COM TAMPA</t>
  </si>
  <si>
    <t>CURVA VERTICAL INTERNA 90° PARA LEITO DP-803-250 EM AÇO CARBONO, GALVANIZADO A FOGO, ABA INTERNA, LARGURA DE 300MM,COM LONGARINAS DE 100MM E VIROLA DE 19MM EM CHAPA #16 E TRAVESSAS EM PERFILADO 38x19MM NA CHAPA #18,  RAIO DE CURVATURA 520MM SEGMENTADO, COM TAMPA</t>
  </si>
  <si>
    <t>CURVA VERTICAL EXTERNA 90° PARA LEITO DP-803-250 EM AÇO CARBONO, GALVANIZADO A FOGO, ABA INTERNA, LARGURA DE 300MM,COM LONGARINAS DE 100MM E VIROLA DE 19MM EM CHAPA #16 E TRAVESSAS EM PERFILADO 38x19MM NA CHAPA #18,  RAIO DE CURVATURA 520MM SEGMENTADO, COM TAMPA</t>
  </si>
  <si>
    <t>TE HORIZONTAL 90° PARA LEITO DP-803-250 EM AÇO CARBONO, GALVANIZADO A FOGO, ABA EXTERNA, LARGURA DE 300MM,COM LONGARINAS DE 100MM E VIROLA DE 19MM EM CHAPA #16 E TRAVESSAS EM PERFILADO 38x19MM NA CHAPA #18,  RAIO DE CURVATURA 520MM SEGMENTADO, COM TAMPA</t>
  </si>
  <si>
    <t>REDUÇÃO CONCÊNTRICA PARA LEITO DP-803-250 EM AÇO CARBONO, GALVANIZADO A FOGO, ABA INTERNA, LARGURA DE 300MM E LARGURA REDUÇÃO 200MM,COM LONGARINAS DE 100MM E VIROLA DE 19MM EM CHAPA #16 E TRAVESSAS EM PERFILADO 38x19MM NA CHAPA #18, COM TAMPA</t>
  </si>
  <si>
    <t>JUNÇÃO SIMPLES, CHAPA #18, GALVANIZADA A FOGO PARA LEITO ABA 100MM</t>
  </si>
  <si>
    <t>TAMPA 2 ÁGUAS DE ENCAIXE PARA LEITO 300MM, ABA INTERNA , PRÉ ZINCADA, CHAPA #20</t>
  </si>
  <si>
    <t>TAMPA 2 ÁGUAS DE ENCAIXE PARA LEITO 300MM. ABA INTERNA , PRÉ ZINCADA, CHAPA #20</t>
  </si>
  <si>
    <t>GRAPA FIXA Ø3/8", GALVANIZADA A FOGO</t>
  </si>
  <si>
    <t>PARAFUSO CABEÇA LENTILHA COM TRAVA Ø3/8"x3/4" GALVANIZADO A FOGO</t>
  </si>
  <si>
    <t>PORCA SEXTAVADA Ø3/8" GALVANIZADO A FOGO</t>
  </si>
  <si>
    <t>ARRUELA LISA Ø3/8" GALVANIZADO A FOGO</t>
  </si>
  <si>
    <t>PARAFUSO CABEÇA SEXTAVADA GALVANIZADO A FOGO Ø3/8"x1.1/2"</t>
  </si>
  <si>
    <t>Baixa Tensão</t>
  </si>
  <si>
    <t>LEITO SEMIPESADO, LONGARINA COM 100MM DE ALTURA E VIROLA DE 19MM, COM TRAVESSAS A CADA 250MM, EM PERFILADO 38x19MM, EM AÇO CARBONO GALVANIZADO A FOGO, ABA EXTERNA, LARGURA DE 500MM COM LONGARINAS EM CHAPA #16 E TRAVESSAS CHAPA #18, BARRAS DE 3 METROS</t>
  </si>
  <si>
    <t>LEITO SEMIPESADO, LONGARINA COM 100MM DE ALTURA E VIROLA DE 19MM, COM TRAVESSAS A CADA 250MM, EM PERFILADO 38x19MM, EM AÇO CARBONO GALVANIZADO A FOGO, ABA EXTERNA, LARGURA DE 600MM COM LONGARINAS EM CHAPA #14 E TRAVESSAS CHAPA #16, BARRAS DE 3 METROS</t>
  </si>
  <si>
    <t>LEITO SEMIPESADO, LONGARINA COM 100MM DE ALTURA E VIROLA DE 19MM, COM TRAVESSAS A CADA 250MM, EM PERFILADO 38x19MM, EM AÇO CARBONO GALVANIZADO A FOGO, ABA EXTERNA, LARGURA DE 1000MM COM LONGARINAS EM CHAPA #12 E TRAVESSAS CHAPA #14, BARRAS DE 3 METROS</t>
  </si>
  <si>
    <t>CURVA HORIZONTAL 90° PARA LEITO DP-803-250 EM AÇO CARBONO, GALVANIZADO A FOGO, ABA EXTERNA, LARGURA DE 300MM,COM LONGARINAS DE 100MM E VIROLA DE 19MM EM CHAPA #16 E TRAVESSAS EM PERFILADO 38x19MM NA CHAPA #18,  RAIO DE CURVATURA 320MM SEGMENTADO, COM TAMPA</t>
  </si>
  <si>
    <t>CURVA HORIZONTAL 90° PARA LEITO DP-803-250 EM AÇO CARBONO, GALVANIZADO A FOGO, ABA EXTERNA, LARGURA DE 500MM,COM LONGARINAS DE 100MM E VIROLA DE 19MM EM CHAPA #16 E TRAVESSAS EM PERFILADO 38x19MM NA CHAPA #18,  RAIO DE CURVATURA 320MM SEGMENTADO, COM TAMPA</t>
  </si>
  <si>
    <t>CURVA HORIZONTAL 90° PARA LEITO DP-803-250 EM AÇO CARBONO, GALVANIZADO A FOGO, ABA EXTERNA, LARGURA DE 600MM,COM LONGARINAS DE 100MM E VIROLA DE 19MM EM CHAPA #14 E TRAVESSAS EM PERFILADO 38x19MM NA CHAPA #16,  RAIO DE CURVATURA 320MM SEGMENTADO, COM TAMPA</t>
  </si>
  <si>
    <t>CURVA HORIZONTAL 90° PARA LEITO DP-803-250 EM AÇO CARBONO, GALVANIZADO A FOGO, ABA EXTERNA, LARGURA DE 1000MM,COM LONGARINAS DE 100MM E VIROLA DE 19MM EM CHAPA #12 E TRAVESSAS EM PERFILADO 38x19MM NA CHAPA #14,  RAIO DE CURVATURA 320MM SEGMENTADO, COM TAMPA</t>
  </si>
  <si>
    <t>CURVA VERTICAL INTERNA 90° PARA LEITO DP-803-250 EM AÇO CARBONO, GALVANIZADO A FOGO, ABA EXTERNA, LARGURA DE 300MM,COM LONGARINAS DE 100MM E VIROLA DE 19MM EM CHAPA #16 E TRAVESSAS EM PERFILADO 38x19MM NA CHAPA #18,  RAIO DE CURVATURA 320MM SEGMENTADO, COM TAMPA</t>
  </si>
  <si>
    <t>CURVA VERTICAL INTERNA 90° PARA LEITO DP-803-250 EM AÇO CARBONO, GALVANIZADO A FOGO, ABA EXTERNA, LARGURA DE 500MM,COM LONGARINAS DE 100MM E VIROLA DE 19MM EM CHAPA #16 E TRAVESSAS EM PERFILADO 38x19MM NA CHAPA #18,  RAIO DE CURVATURA 320MM SEGMENTADO, COM TAMPA</t>
  </si>
  <si>
    <t>CURVA VERTICAL INTERNA 90° PARA LEITO DP-803-250 EM AÇO CARBONO, GALVANIZADO A FOGO, ABA EXTERNA, LARGURA DE 600MM,COM LONGARINAS DE 100MM E VIROLA DE 19MM EM CHAPA #14 E TRAVESSAS EM PERFILADO 38x19MM NA CHAPA #16,  RAIO DE CURVATURA 320MM SEGMENTADO, COM TAMPA</t>
  </si>
  <si>
    <t>CURVA VERTICAL INTERNA 90° PARA LEITO DP-803-250 EM AÇO CARBONO, GALVANIZADO A FOGO, ABA EXTERNA, LARGURA DE 1000MM,COM LONGARINAS DE 100MM E VIROLA DE 19MM EM CHAPA #12 E TRAVESSAS EM PERFILADO 38x19MM NA CHAPA #14,  RAIO DE CURVATURA 320MM SEGMENTADO, COM TAMPA</t>
  </si>
  <si>
    <t>CURVA VERTICAL EXTERNA 90° PARA LEITO DP-803-250 EM AÇO CARBONO, GALVANIZADO A FOGO, ABA EXTERNA, LARGURA DE 300MM,COM LONGARINAS DE 100MM E VIROLA DE 19MM EM CHAPA #16 E TRAVESSAS EM PERFILADO 38x19MM NA CHAPA #18,  RAIO DE CURVATURA 320MM SEGMENTADO, COM TAMPA</t>
  </si>
  <si>
    <t>CURVA VERTICAL EXTERNA 90° PARA LEITO DP-803-250 EM AÇO CARBONO, GALVANIZADO A FOGO, ABA EXTERNA, LARGURA DE 500MM,COM LONGARINAS DE 100MM E VIROLA DE 19MM EM CHAPA #16 E TRAVESSAS EM PERFILADO 38x19MM NA CHAPA #18,  RAIO DE CURVATURA 320MM SEGMENTADO, COM TAMPA</t>
  </si>
  <si>
    <t>CURVA VERTICAL EXTERNA 90° PARA LEITO DP-803-250 EM AÇO CARBONO, GALVANIZADO A FOGO, ABA EXTERNA, LARGURA DE 600MM,COM LONGARINAS DE 100MM E VIROLA DE 19MM EM CHAPA #14 E TRAVESSAS EM PERFILADO 38x19MM NA CHAPA #16,  RAIO DE CURVATURA 320MM SEGMENTADO, COM TAMPA</t>
  </si>
  <si>
    <t>CURVA VERTICAL EXTERNA 90° PARA LEITO DP-803-250 EM AÇO CARBONO, GALVANIZADO A FOGO, ABA EXTERNA, LARGURA DE 1000MM,COM LONGARINAS DE 100MM E VIROLA DE 19MM EM CHAPA #12 E TRAVESSAS EM PERFILADO 38x19MM NA CHAPA #14,  RAIO DE CURVATURA 320MM SEGMENTADO, COM TAMPA</t>
  </si>
  <si>
    <t>TE HORIZONTAL 90° PARA LEITO DP-803-250 EM AÇO CARBONO, GALVANIZADO A FOGO, ABA EXTERNA, LARGURA DE 300MM,COM LONGARINAS DE 100MM E VIROLA DE 19MM EM CHAPA #16 E TRAVESSAS EM PERFILADO 38x19MM NA CHAPA #18,  RAIO DE CURVATURA 320MM SEGMENTADO, COM TAMPA</t>
  </si>
  <si>
    <t>TE HORIZONTAL 90° PARA LEITO DP-803-250 EM AÇO CARBONO, GALVANIZADO A FOGO, ABA EXTERNA, LARGURA DE 500MM,COM LONGARINAS DE 100MM E VIROLA DE 19MM EM CHAPA #16 E TRAVESSAS EM PERFILADO 38x19MM NA CHAPA #18,  RAIO DE CURVATURA 320MM SEGMENTADO, COM TAMPA</t>
  </si>
  <si>
    <t>TE HORIZONTAL 90° PARA LEITO DP-803-250 EM AÇO CARBONO, GALVANIZADO A FOGO, ABA EXTERNA, LARGURA DE 800MM,COM LONGARINAS DE 100MM E VIROLA DE 19MM EM CHAPA #14 E TRAVESSAS EM PERFILADO 38x19MM NA CHAPA #16,  RAIO DE CURVATURA 320MM SEGMENTADO, COM TAMPA</t>
  </si>
  <si>
    <t>TE HORIZONTAL 90° PARA LEITO DP-803-250 EM AÇO CARBONO, GALVANIZADO A FOGO, ABA EXTERNA, LARGURA DE 1000MM,COM LONGARINAS DE 100MM E VIROLA DE 19MM EM CHAPA #12 E TRAVESSAS EM PERFILADO 38x19MM NA CHAPA #14,  RAIO DE CURVATURA 320MM SEGMENTADO, COM TAMPA</t>
  </si>
  <si>
    <t>REDUÇÃO CONCÊNTRICA PARA LEITO DP-803-250 EM AÇO CARBONO, GALVANIZADO A FOGO, ABA EXTERNA, LARGURA DE 1000MM E LARGURA REDUÇÃO 700MM,COM LONGARINAS DE 100MM E VIROLA DE 19MM EM CHAPA #14 E TRAVESSAS EM PERFILADO 38x19MM NA CHAPA #16, COM TAMPA</t>
  </si>
  <si>
    <t>REDUÇÃO CONCÊNTRICA PARA LEITO DP-803-250 EM AÇO CARBONO, GALVANIZADO A FOGO, ABA EXTERNA, LARGURA DE 700MM E LARGURA REDUÇÃO 500MM,COM LONGARINAS DE 100MM E VIROLA DE 19MM EM CHAPA #14 E TRAVESSAS EM PERFILADO 38x19MM NA CHAPA #16, COM TAMPA</t>
  </si>
  <si>
    <t>REDUÇÃO À DIREITA PARA LEITO DP-803-250 EM AÇO CARBONO, GALVANIZADO A FOGO, ABA EXTERNA, LARGURA DE 1000MM E LARGURA REDUÇÃO 700MM,COM LONGARINAS DE 100MM E VIROLA DE 19MM EM CHAPA #14 E TRAVESSAS EM PERFILADO 38x19MM NA CHAPA #16, COM TAMPA</t>
  </si>
  <si>
    <t>REDUÇÃO À DIREITA PARA LEITO DP-803-250 EM AÇO CARBONO, GALVANIZADO A FOGO, ABA EXTERNA, LARGURA DE 800MM E LARGURA REDUÇÃO 500MM,COM LONGARINAS DE 100MM E VIROLA DE 19MM EM CHAPA #14 E TRAVESSAS EM PERFILADO 38x19MM NA CHAPA #16, COM TAMPA</t>
  </si>
  <si>
    <t>REDUÇÃO À DIREITA PARA LEITO DP-803-250 EM AÇO CARBONO, GALVANIZADO A FOGO, ABA EXTERNA, LARGURA DE 700MM E LARGURA REDUÇÃO 500MM,COM LONGARINAS DE 100MM E VIROLA DE 19MM EM CHAPA #16 E TRAVESSAS EM PERFILADO 38x19MM NA CHAPA #18, COM TAMPA</t>
  </si>
  <si>
    <t>REDUÇÃO À DIREITA PARA LEITO DP-803-250 EM AÇO CARBONO, GALVANIZADO A FOGO, ABA EXTERNA, LARGURA DE 500MM E LARGURA REDUÇÃO 300MM,COM LONGARINAS DE 100MM E VIROLA DE 19MM EM CHAPA #16 E TRAVESSAS EM PERFILADO 38x19MM NA CHAPA #18, COM TAMPA</t>
  </si>
  <si>
    <t>REDUÇÃO À ESQUERDA PARA LEITO DP-803-250 EM AÇO CARBONO, GALVANIZADO A FOGO, ABA EXTERNA, LARGURA DE 1000MM E LARGURA REDUÇÃO 700MM,COM LONGARINAS DE 100MM E VIROLA DE 19MM EM CHAPA #14 E TRAVESSAS EM PERFILADO 38x19MM NA CHAPA #16, COM TAMPA</t>
  </si>
  <si>
    <t>REDUÇÃO À ESQUERDA PARA LEITO DP-803-250 EM AÇO CARBONO, GALVANIZADO A FOGO, ABA EXTERNA, LARGURA DE 800MM E LARGURA REDUÇÃO 500MM,COM LONGARINAS DE 100MM E VIROLA DE 19MM EM CHAPA #14 E TRAVESSAS EM PERFILADO 38x19MM NA CHAPA #16, COM TAMPA</t>
  </si>
  <si>
    <t>REDUÇÃO À ESQUERDA PARA LEITO DP-803-250 EM AÇO CARBONO, GALVANIZADO A FOGO, ABA EXTERNA, LARGURA DE 700MM E LARGURA REDUÇÃO 500MM,COM LONGARINAS DE 100MM E VIROLA DE 19MM EM CHAPA #16 E TRAVESSAS EM PERFILADO 38x19MM NA CHAPA #18, COM TAMPA</t>
  </si>
  <si>
    <t>TAMPA 2 ÁGUAS DE ENCAIXE PARA LEITO 300MM, ABA EXTERNA , PRÉ ZINCADA, CHAPA #20</t>
  </si>
  <si>
    <t>TAMPA 2 ÁGUAS DE ENCAIXE PARA LEITO 500MM. ABA EXTERNA , PRÉ ZINCADA, CHAPA #20</t>
  </si>
  <si>
    <t>TAMPA 2 ÁGUAS DE ENCAIXE PARA LEITO 800MM. ABA EXTERNA , PRÉ ZINCADA, CHAPA #18</t>
  </si>
  <si>
    <t>TAMPA 2 ÁGUAS DE ENCAIXE PARA LEITO 1000MM. ABA EXTERNA , PRÉ ZINCADA, CHAPA #18</t>
  </si>
  <si>
    <t>Comando</t>
  </si>
  <si>
    <t>Infra Eletrocalhas</t>
  </si>
  <si>
    <t>ELETROCALHA PERFURADA COM VIROLA, EM AÇO CARBONO, GALVANIZADA A FOGO, LARGURA DE 150MM, COM ABA DE 100MM EM CHAPA #16</t>
  </si>
  <si>
    <t>ELETROCALHA PERFURADA COM VIROLA , EM AÇO CARBONO, GALVANIZADA A FOGO, LARGURA DE 300MM, COM ABA DE 100MM EM CHAPA #16</t>
  </si>
  <si>
    <t>CURVA HORIZONTAL 90° PERFURADA RAIO 150mm SEGMENTADO, GALVANIZADA A FOGO, LARGURA DE 300MM, COM ABA DE 100MM EM CHAPA #16  - COM TAMPA APARAFUSADA</t>
  </si>
  <si>
    <t>CURVA HORIZONTAL 45° PERFURADA RAIO 150mm SEGMENTADO, GALVANIZADA A FOGO, LARGURA DE 150MM, COM ABA DE 100MM EM CHAPA #16  - COM TAMPA APARAFUSADA</t>
  </si>
  <si>
    <t>CURVA HORIZONTAL 45° PERFURADA RAIO 150mm SEGMENTADO, GALVANIZADA A FOGO, LARGURA DE 300MM, COM ABA DE 100MM EM CHAPA #16  - COM TAMPA APARAFUSADA</t>
  </si>
  <si>
    <t>CURVA VERTICAL EXTERNA 90° PERFURADA RAIO 150mm SEGMENTADO, GALVANIZADA A FOGO, LARGURA DE 300MM, COM ABA DE 100MM EM CHAPA #16  - COM TAMPA APARAFUSADA</t>
  </si>
  <si>
    <t>CURVA VERTICAL EXTERNA 45° PERFURADA RAIO 150mm SEGMENTADO, GALVANIZADA A FOGO, LARGURA DE 300MM, COM ABA DE 100MM EM CHAPA #16  - COM TAMPA APARAFUSADA</t>
  </si>
  <si>
    <t>CURVA VERTICAL INTERNA 90° PERFURADA RAIO 150mm SEGMENTADO, GALVANIZADA A FOGO, LARGURA DE 300MM, COM ABA DE 100MM EM CHAPA #16  - COM TAMPA APARAFUSADA</t>
  </si>
  <si>
    <t>CURVA VERTICAL INTERNA 45° PERFURADA RAIO 150mm SEGMENTADO, GALVANIZADA A FOGO, LARGURA DE 300MM, COM ABA DE 100MM EM CHAPA #16  - COM TAMPA APARAFUSADA</t>
  </si>
  <si>
    <t>TE HORIZONTAL 90° PERFURADO RAIO 150mm, GALVANIZADO A FOGO, PASSAGEM DE 300MM, DERIVAÇÃO CENTRAL 150MM, COM ABA DE 100MM EM CHAPA #16  - COM TAMPA APARAFUSADA</t>
  </si>
  <si>
    <t>EMENDA INTERNA PERFURADA PARA CHAPA #16 PARA ELETROCALHA 300x100MM, GALVANIZADA A FOGO</t>
  </si>
  <si>
    <t>EMENDA INTERNA PERFURADA PARA CHAPA #16 PARA ELETROCALHA 100x100M, GALVANIZADA A FOGO</t>
  </si>
  <si>
    <t>TAMPA 2 ÁGUAS DE PRESSÃO CHAPA #20, PRÉ ZINCADA, PARA ELETROCALHA COM LARGURA DE 300MM</t>
  </si>
  <si>
    <t>TAMPA 2 ÁGUAS DE PRESSÃO CHAPA #20, PRÉ ZINCADA, PARA ELETROCALHA COM LARGURA DE 150MM</t>
  </si>
  <si>
    <t>PARAFUSO CABEÇA LENTILHA COM TRAVA Ø1/4"x3/4" GALVANIZADO A FOGO</t>
  </si>
  <si>
    <t>PORCA SEXTAVADA Ø1/4" GALVANIZADO A FOGO</t>
  </si>
  <si>
    <t>ARRUELA LISA Ø1/4" GALVANIZADO A FOGO</t>
  </si>
  <si>
    <t>Cimentolandia</t>
  </si>
  <si>
    <t>Geral (força e Comando)</t>
  </si>
  <si>
    <t>Infra Suportação</t>
  </si>
  <si>
    <t>PERFIL U LAMINADA, AÇO CARBONO ASTM A36 / NBR7007,1ª ALMA, ALTURA 4", LARGURA DA ABA 41,28mm, ESPESSURA DA ABA 4,67mm, BARRA DE 6 METROS (8,04kg/m)</t>
  </si>
  <si>
    <t>CANTONEIRA ABAS IGUAIS, AÇO CARBONO ASTM A36 / NBR7007, MEDINDO 2"x1/4", BARRA DE 6 METROS</t>
  </si>
  <si>
    <t>VIGA H LAMINADA, AÇO CARBONO ASTM A572 / NBR7007, W250mm x 85kg</t>
  </si>
  <si>
    <t>VIGA H LAMINADA, AÇO CARBONO ASTM A572 / NBR7007, W200mm x 54kg</t>
  </si>
  <si>
    <t>WL</t>
  </si>
  <si>
    <t>CHAPA EM AÇO CARBONO, ASTM A36 / NBR7007, 250x250mm ESPESSURA 3/8"</t>
  </si>
  <si>
    <t>Instrumentação</t>
  </si>
  <si>
    <t>ELETROCALHA PERFURADA COM VIROLA, EM AÇO CARBONO, GALVANIZADA A FOGO, LARGURA DE 100MM, COM ABA DE 100MM EM CHAPA #18</t>
  </si>
  <si>
    <t>ELETROCALHA PERFURADA COM VIROLA, EM AÇO CARBONO, GALVANIZADA A FOGO, LARGURA DE 200MM, COM ABA DE 100MM EM CHAPA #18</t>
  </si>
  <si>
    <t>ELETROCALHA PERFURADA COM VIROLA , EM AÇO CARBONO, GALVANIZADA A FOGO, LARGURA DE 400MM, COM ABA DE 100MM EM CHAPA #17</t>
  </si>
  <si>
    <t>CURVA HORIZONTAL 90° PERFURADA RAIO 150mm SEGMENTADO, GALVANIZADA A FOGO, LARGURA DE 100MM, COM ABA DE 100MM EM CHAPA #16  - COM TAMPA APARAFUSADA</t>
  </si>
  <si>
    <t>CURVA HORIZONTAL 90° PERFURADA RAIO 150mm SEGMENTADO, GALVANIZADA A FOGO, LARGURA DE 200MM, COM ABA DE 100MM EM CHAPA #16  - COM TAMPA APARAFUSADA</t>
  </si>
  <si>
    <t>CURVA HORIZONTAL 90° PERFURADA RAIO 150mm SEGMENTADO, GALVANIZADA A FOGO, LARGURA DE 400MM, COM ABA DE 100MM EM CHAPA #16  - COM TAMPA APARAFUSADA</t>
  </si>
  <si>
    <t>CURVA HORIZONTAL 45° PERFURADA RAIO 150mm SEGMENTADO, GALVANIZADA A FOGO, LARGURA DE 100MM, COM ABA DE 100MM EM CHAPA #16  - COM TAMPA APARAFUSADA</t>
  </si>
  <si>
    <t>CURVA HORIZONTAL 45° PERFURADA RAIO 150mm SEGMENTADO, GALVANIZADA A FOGO, LARGURA DE 200MM, COM ABA DE 100MM EM CHAPA #16  - COM TAMPA APARAFUSADA</t>
  </si>
  <si>
    <t>CURVA HORIZONTAL 45° PERFURADA RAIO 150mm SEGMENTADO, GALVANIZADA A FOGO, LARGURA DE 400MM, COM ABA DE 100MM EM CHAPA #16  - COM TAMPA APARAFUSADA</t>
  </si>
  <si>
    <t>CURVA VERTICAL EXTERNA 90° PERFURADA RAIO 150mm SEGMENTADO, GALVANIZADA A FOGO, LARGURA DE 100MM, COM ABA DE 100MM EM CHAPA #16  - COM TAMPA APARAFUSADA</t>
  </si>
  <si>
    <t>CURVA VERTICAL EXTERNA 90° PERFURADA RAIO 150mm SEGMENTADO, GALVANIZADA A FOGO, LARGURA DE 200MM, COM ABA DE 100MM EM CHAPA #16  - COM TAMPA APARAFUSADA</t>
  </si>
  <si>
    <t>CURVA VERTICAL EXTERNA 90° PERFURADA RAIO 150mm SEGMENTADO, GALVANIZADA A FOGO, LARGURA DE 400MM, COM ABA DE 100MM EM CHAPA #16  - COM TAMPA APARAFUSADA</t>
  </si>
  <si>
    <t>CURVA VERTICAL EXTERNA 45° PERFURADA RAIO 150mm SEGMENTADO, GALVANIZADA A FOGO, LARGURA DE 100MM, COM ABA DE 100MM EM CHAPA #16  - COM TAMPA APARAFUSADA</t>
  </si>
  <si>
    <t>CURVA VERTICAL EXTERNA 45° PERFURADA RAIO 150mm SEGMENTADO, GALVANIZADA A FOGO, LARGURA DE 200MM, COM ABA DE 100MM EM CHAPA #16  - COM TAMPA APARAFUSADA</t>
  </si>
  <si>
    <t>CURVA VERTICAL EXTERNA 45° PERFURADA RAIO 150mm SEGMENTADO, GALVANIZADA A FOGO, LARGURA DE 400MM, COM ABA DE 100MM EM CHAPA #16  - COM TAMPA APARAFUSADA</t>
  </si>
  <si>
    <t>CURVA VERTICAL INTERNA 90° PERFURADA RAIO 150mm SEGMENTADO, GALVANIZADA A FOGO, LARGURA DE 100MM, COM ABA DE 100MM EM CHAPA #16  - COM TAMPA APARAFUSADA</t>
  </si>
  <si>
    <t>CURVA VERTICAL INTERNA 90° PERFURADA RAIO 150mm SEGMENTADO, GALVANIZADA A FOGO, LARGURA DE 200MM, COM ABA DE 100MM EM CHAPA #16  - COM TAMPA APARAFUSADA</t>
  </si>
  <si>
    <t>CURVA VERTICAL INTERNA 90° PERFURADA RAIO 150mm SEGMENTADO, GALVANIZADA A FOGO, LARGURA DE 400MM, COM ABA DE 100MM EM CHAPA #16  - COM TAMPA APARAFUSADA</t>
  </si>
  <si>
    <t>CURVA VERTICAL INTERNA 45° PERFURADA RAIO 150mm SEGMENTADO, GALVANIZADA A FOGO, LARGURA DE 100MM, COM ABA DE 100MM EM CHAPA #16  - COM TAMPA APARAFUSADA</t>
  </si>
  <si>
    <t>CURVA VERTICAL INTERNA 45° PERFURADA RAIO 150mm SEGMENTADO, GALVANIZADA A FOGO, LARGURA DE 200MM, COM ABA DE 100MM EM CHAPA #16  - COM TAMPA APARAFUSADA</t>
  </si>
  <si>
    <t>CURVA VERTICAL INTERNA 45° PERFURADA RAIO 150mm SEGMENTADO, GALVANIZADA A FOGO, LARGURA DE 400MM, COM ABA DE 100MM EM CHAPA #16  - COM TAMPA APARAFUSADA</t>
  </si>
  <si>
    <t>TE HORIZONTAL 90° PERFURADO RAIO 150mm, GALVANIZADO A FOGO, PASSAGEM DE 100MM, DERIVAÇÃO CENTRAL 100MM, COM ABA DE 100MM EM CHAPA #16  - COM TAMPA APARAFUSADA</t>
  </si>
  <si>
    <t>TE HORIZONTAL 90° PERFURADO RAIO 150mm, GALVANIZADO A FOGO, PASSAGEM DE 200MM, DERIVAÇÃO CENTRAL 200MM, COM ABA DE 100MM EM CHAPA #16  - COM TAMPA APARAFUSADA</t>
  </si>
  <si>
    <t>TE HORIZONTAL 90° PERFURADO RAIO 150mm, GALVANIZADO A FOGO, PASSAGEM DE 300MM, DERIVAÇÃO CENTRAL 300MM, COM ABA DE 100MM EM CHAPA #16  - COM TAMPA APARAFUSADA</t>
  </si>
  <si>
    <t>TE VERTICAL DESCIDA LATERAL 90° PERFURADO RAIO 150mm, GALVANIZADO A FOGO,
PASSAGEM DE 300MM, DERIVAÇÃO CENTRAL 300MM, COM ABA DE 100MM EM CHAPA #16  - COM TAMPA APARAFUSADA</t>
  </si>
  <si>
    <t>TE VERTICAL DESCIDA LATERAL 90° PERFURADO RAIO 150mm, GALVANIZADO A FOGO, PASSAGEM DE 300MM, DERIVAÇÃO CENTRAL 400MM, COM ABA DE 100MM EM CHAPA #16  - COM
TAMPA APARAFUSADA</t>
  </si>
  <si>
    <t>TE VERTICAL SUBIDA 90° PERFURADO RAIO 150mm, GALVANIZADO A FOGO, PASSAGEM DE
400MM, DERIVAÇÃO CENTRAL 400MM, COM ABA DE 100MM EM CHAPA #16  - COM TAMPA APARAFUSADA</t>
  </si>
  <si>
    <t>REDUÇÃO CONCÊNTRICA, GALVANIZADO A FOGO, 400 x 300, COM ABA DE 100MM EM CHAPA #16
- COM TAMPA APARAFUSADA</t>
  </si>
  <si>
    <t>REDUÇÃO CONCÊNTRICA, GALVANIZADO A FOGO, 400 x 200, COM ABA DE 100MM EM CHAPA #16
- COM TAMPA APARAFUSADA</t>
  </si>
  <si>
    <t>REDUÇÃO CONCÊNTRICA, GALVANIZADO A FOGO, 400 x 100, COM ABA DE 100MM EM CHAPA #16
- COM TAMPA APARAFUSADA</t>
  </si>
  <si>
    <t>REDUÇÃO CONCÊNTRICA, GALVANIZADO A FOGO, 300 x 100, COM ABA DE 100MM EM CHAPA #16
- COM TAMPA APARAFUSADA</t>
  </si>
  <si>
    <t>REDUÇÃO A DIREITA, GALVANIZADO A FOGO, 400 x 300, COM ABA DE 100MM EM CHAPA #16  -
COM TAMPA APARAFUSADA</t>
  </si>
  <si>
    <t>EMENDA INTERNA PERFURADA PARA CHAPA #16 PARA ELETROCALHA 400x100MM,
EGMALEVNADNAIZINATDEARANFAOPGEORFURADA PARA CHAPA #16 PARA ELETROCALHA 300x100M, GALVANIZADA</t>
  </si>
  <si>
    <t>AEMFEONGDOA INTERNA PERFURADA PARA CHAPA #16 PARA ELETROCALHA 200x100MM,</t>
  </si>
  <si>
    <t>EGMALEVNADNAIZINATDEARANFAOPGEORFURADA PARA CHAPA #16 PARA ELETROCALHA 100x100M, GALVANIZADA</t>
  </si>
  <si>
    <t>A FOGO</t>
  </si>
  <si>
    <t>TAMPA 2 ÁGUAS DE PRESSÃO CHAPA #20, PRÉ ZINCADA, PARA ELETROCALHA COM LARGURA
DE 100MM</t>
  </si>
  <si>
    <t>TAMPA 2 ÁGUAS DE PRESSÃO CHAPA #20, PRÉ ZINCADA, PARA ELETROCALHA COM LARGURA
DE 200MM</t>
  </si>
  <si>
    <t>TAMPA 2 ÁGUAS DE PRESSÃO CHAPA #20, PRÉ ZINCADA, PARA ELETROCALHA COM LARGURA
DE 300MM</t>
  </si>
  <si>
    <t>TAMPA 2 ÁGUAS DE PRESSÃO CHAPA #20, PRÉ ZINCADA, PARA ELETROCALHA COM LARGURA
DE 400MM</t>
  </si>
  <si>
    <t>LOSADA</t>
  </si>
  <si>
    <t>Infra Eletrodutos</t>
  </si>
  <si>
    <t>ELETRODUTO RÍGIDO DE AÇO CARBONO COM REBARBA REMOVIDA, CONFORME NBR5597/06 (EB341), COM LUVA E PROTETOR DE ROSCA EM BARRAS DE 3 METROS, ACABAMENTO GALVANIZADO A FOGO, COM GRAVAÇÃO NA BARRA, ROSCA NPT - Ø3/4"</t>
  </si>
  <si>
    <t>Eletubos</t>
  </si>
  <si>
    <t>CURVA 90° COM ROSCA GALVANIZADA A FOGO PARA ELETRODUTO DE FERRO Ø3/4", NBR5597, ROSCA NPT</t>
  </si>
  <si>
    <t>LUVA COM ROSCA GALVANIZADA A FOGO PARA ELETRODUTO DE FERRO Ø3/4", NBR5597, ROSCA NPT</t>
  </si>
  <si>
    <t>Ultra Tubos</t>
  </si>
  <si>
    <t>ELETRODUTO RÍGIDO DE AÇO CARBONO COM REBARBA REMOVIDA, CONFORME NBR5597/06 (EB341), COM LUVA E PROTETOR DE ROSCA EM BARRAS DE 3 METROS, ACABAMENTO GALVANIZADO A FOGO, COM GRAVAÇÃO NA BARRA, ROSCA NPT - Ø1.1/2"</t>
  </si>
  <si>
    <t>CURVA 90° COM ROSCA GALVANIZADA A FOGO PARA ELETRODUTO DE FERRO Ø1.1/2", NBR5597, ROSCA NPT</t>
  </si>
  <si>
    <t>LUVA COM ROSCA GALVANIZADA A FOGO PARA ELETRODUTO DE FERRO Ø1.1/2", NBR5597, ROSCA NPT</t>
  </si>
  <si>
    <t>DICEL</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</si>
  <si>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"LB" PARA ELETRODUTO Ø1"</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</si>
  <si>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"LB" PARA ELETRODUTO Ø1.1/2"</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</si>
  <si>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"LL" PARA ELETRODUTO Ø1"</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</si>
  <si>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"LL" PARA ELETRODUTO
Ø1.1/2"</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</si>
  <si>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"LR" PARA ELETRODUTO Ø1"</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</si>
  <si>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"LR" PARA ELETRODUTO
Ø1.1/2"</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</si>
  <si>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"T" PARA ELETRODUTO Ø1"</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</si>
  <si>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"T" PARA ELETRODUTO
Ø1.1/2"</t>
  </si>
  <si>
    <t>Supera</t>
  </si>
  <si>
    <t>GRAMPO TIPO U VERGALHÃO Ø3/16", COM 02 PORCAS E 02 ARRUELAS, CONJUNTO GALVANIZADO A FOGO, PARA ELETRODUTO Ø1"</t>
  </si>
  <si>
    <t>GRAMPO TIPO U VERGALHÃO Ø3/16", COM 02 PORCAS E 02 ARRUELAS, CONJUNTO GALVANIZADO A FOGO, PARA ELETRODUTO Ø1.1/2"</t>
  </si>
  <si>
    <t>Conduferes</t>
  </si>
  <si>
    <t>Cabo Instrumentação</t>
  </si>
  <si>
    <t>CABO PARA INSTRUMENTAÇÃO PVC/PVC 300V, 105°C, BLINDAGEM EM FITA DE ALUMINIO E DRENO, 2x1,0mm²</t>
  </si>
  <si>
    <t>CABO PARA INSTRUMENTAÇÃO PVC/PVC 300V, 105°C, BLINDAGEM EM FITA DE ALUMINIO E DRENO, 3x1,0mm²</t>
  </si>
  <si>
    <t>Wireflex</t>
  </si>
  <si>
    <t>CABO DE CONTROLE MACHCONTROL CM, SEPARADOR FITA POLIESTER, CONDUTORES EM FIOS DE COBRE NI, TEMPERA MOLE, ENCORDOAMENTO CLASSE 5, ISOLAÇÃO 500V, COMPOSTO TERMOPLÁSTICO DE PVC/A, NA COR PRETO, NUMERADOS SEQUENCIALMENTE, COBERTURA EM COPOSTO TERMOPLÁSTICO DE PVC, TIPO PVC/ST1, 5x1,5mm²</t>
  </si>
  <si>
    <t>Watisa</t>
  </si>
  <si>
    <t>CABO ELÉTRICO 0,6/1KV CONSTITUÍDO POR CONDUTOR DE COBRE NU, TEMPERA MOLE, CLASSE 5 EXTRAFLEXÍVEL, ISOLAÇÃO EM COMPOSTO TERMOFIXO  HEPR 90ºC E COBERTURA TERMOPLÁSTICA EM PVC, CONFORME NBR 7286 E 5410, REFERÊNCIA PRYSMIAN GSETTE EASY 0,6/1KV (3x1,5mm²), VEIAS NAS CORES PRETO, BRANCO, VERMELHO E AZUL-CLARA</t>
  </si>
  <si>
    <t>CABO ELÉTRICO 0,6/1KV CONSTITUÍDO POR CONDUTOR DE COBRE NU, TEMPERA MOLE, CLASSE 5 EXTRAFLEXÍVEL, ISOLAÇÃO EM COMPOSTO TERMOFIXO  HEPR 90ºC E COBERTURA TERMOPLÁSTICA EM PVC, CONFORME NBR 7286 E 5410, REFERÊNCIA PRYSMIAN GSETTE EASY 0,6/1KV (3x4,0mm²), VEIAS NAS CORES PRETO, BRANCO, VERMELHO E AZUL-CLARA</t>
  </si>
  <si>
    <t>Naville</t>
  </si>
  <si>
    <t>PRENSA CABO HSK-K-EX-Active, ROSCA 1/2" NPT; POLIAMIDA REFORÇADA COM FIBRA DE  VIDRO, ORING NBR, TEMPERATURA -20°C~85°C,  PARA CABOS COM DIÂMETRO EXTERNO ENTRE 5 –9mm, COR PRETO (RAL9005), IP-68, CLASSIFICAÇÃO II 2G EX eb IIC Gb / II 1D Ex ta IIIC Da</t>
  </si>
  <si>
    <t>PRENSA CABO HSK-K-EX-Active, ROSCA 1/2" NPT; POLIAMIDA REFORÇADA COM FIBRA DE  VIDRO, ORING NBR, TEMPERATURA -20°C~85°C,  PARA CABOS COM DIÂMETRO EXTERNO ENTRE 6-12mm, COR PRETO (RAL9005), IP-68, CLASSIFICAÇÃO II 2G EX eb IIC Gb / II 1D Ex ta IIIC Da</t>
  </si>
  <si>
    <t>PRENSA CABO HSK-K, ROSCA 1/2" NPT; POLIAMIDA V0 CONFORME UL 94, ORING NBR, TEMPERATURA -40°C~100°C,  PARA CABOS COM DIÂMETRO EXTERNO ENTRE 5 –9mm, COR PRETO (RAL9005), IP-68</t>
  </si>
  <si>
    <t>Pneumatica</t>
  </si>
  <si>
    <t>TUBO FLEXÍVEL POLIURETANO PUN-H, CALIBRAGEM EXTERNA, -35°C~+60°C, NA COR AZUL</t>
  </si>
  <si>
    <t>CONECTOR RETO ENGATE RÁPIDO, AUTOVEDANTE, MACHO, Ø1/4"x6mm</t>
  </si>
  <si>
    <t>CONECTOR 90° ENGATE RÁPIDO, AUTOVEDANTE, MACHO, Ø1/4"x6mm</t>
  </si>
  <si>
    <t>Rede</t>
  </si>
  <si>
    <t>ELETRODUTO RÍGIDO DE AÇO CARBONO COM REBARBA REMOVIDA, CONFORME NBR5598/06 (EB341), COM LUVA E PROTETOR DE ROSCA EM BARRA DE 3 METROS, ACABAMENTO GALVANIZADO A FOGO, COM GRAVAÇÃO NA BARRA, ROSCA BSP - Ø2"</t>
  </si>
  <si>
    <t>CURVA 90° COM ROSCA GALVANIZADA A FOGO PARA ELETRODUTO DE FERRO Ø2", NBR5597, ROSCA NPT</t>
  </si>
  <si>
    <t>CURVA 45° COM ROSCA GALVANIZADA A FOGO PARA ELETRODUTO DE FERRO Ø2", NBR5597, ROSCA NPT</t>
  </si>
  <si>
    <t>LUVA COM ROSCA GALVANIZADA A FOGO PARA ELETRODUTO DE FERRO Ø2", NBR5597, ROSCA NPT</t>
  </si>
  <si>
    <t>CONDULETE A PROVA DE TEMPO, IP66, CONSTRUÇÃO ROBUSTA, FABRICADA EM LIGA DE ALUMÍNIO FUNDIDO, COM TAMPA FIXADA AO CORPO ATRAVÉS DE PARAFUSOS EM AÇO INOX (AI), JUNTA DE VEDAÇÃO RESISTENTE AO CALOR, ENTRE O CORPO E TAMPA, PINTURA A PÓ EM POLIÉSTER COR CINZA MUNSELL N6,5 (EP), ROSCA NPT (N), TIPO "LB" PARA ELETRODUTO Ø2"</t>
  </si>
  <si>
    <t>CAIXA DE PASSAGEM E ALUMINIO, PINTURA NA COR CINZA, COM TAMPA LISA REVERSÍVEL, SEM CHASSI, COM VEDAÇÃO, MEDINDO 30x30x12cm</t>
  </si>
  <si>
    <t>Altex</t>
  </si>
  <si>
    <t>ARRUELA DE ALUMÍNIO SEXTAVADA Ø2", ROSCA NPT</t>
  </si>
  <si>
    <t>BUCHA DE ALUMINIO SEXTAVADO Ø2" ROSCA NPT</t>
  </si>
  <si>
    <t>Cimflex</t>
  </si>
  <si>
    <t>DUTO FLEXÍVEL HELICOIADAL, FABRICADO EM POLIETILENO DE ALTA DENSIDADE (PEAD) NBR 13.897, DIÂMETO NOMINAL 100mm</t>
  </si>
  <si>
    <t>SUBIDA LATERAL COM ROSCA PEAD DE SEÇÃO CIRCULAR ROSQUEÁVEL, DN 4"x3"</t>
  </si>
  <si>
    <t>TAMPÃO PEAD ROSQUEÁVEL DN 100mm</t>
  </si>
  <si>
    <t>GRAMPO TIPO U VERGALHÃO Ø3/16", COM 02 PORCAS E 02 ARRUELAS, CONJUNTO GALVANIZADO A FOGO, PARA ELETRODUTO Ø2"</t>
  </si>
  <si>
    <t>Varios</t>
  </si>
  <si>
    <t>CHAPA EM AÇO CARBONO MEDINDO 100x100xx ESPESSURA 1/4"</t>
  </si>
  <si>
    <t>CHUMBADOR CBA ROSCA INTERNA Ø1/4"x50mm COMPLETO, ACABAMENTO GALVANIZADO A FOGO</t>
  </si>
  <si>
    <t>Furukawa</t>
  </si>
  <si>
    <t>Fibra</t>
  </si>
  <si>
    <t>FIBRA ÓPTICA ANTI ROEDOR 6FO MULTIMODO 62,5µm, TECNOLOGIA DE TRANSMISSÃO DDR-G, ESTRUTURA DO CABO CFOA, OPERAÇÃO -20°C A + 70°C</t>
  </si>
  <si>
    <t>CAIXA DE PASSAGEM EM CONCRETO MODULAR ALTA RESISTENCIA, TAMPA DE CONCRETO MEDIDAS MINIMAS 800x800x900mm</t>
  </si>
  <si>
    <t>Motores</t>
  </si>
  <si>
    <t>Miscelaneas</t>
  </si>
  <si>
    <t>INSTALAÇÃO DE MOTOR E/OU EQUIPAMENTO, INCLUINDO, CONDULETES, ABRAÇADEIRAS, CONECTOR REUTILIZÁVEL, SEAL TUBO, ETC - 3/4"</t>
  </si>
  <si>
    <t>ELETRODUTO RÍGIDO DE AÇO CARBONO COM REBARBA REMOVIDA, CONFORME NBR5598/06 (EB341), COM LUVA E PROTETOR DE ROSCA EM BARRA DE 3 METROS, ACABAMENTO GALVANIZADO A FOGO, COM GRAVAÇÃO NA BARRA, ROSCA BSP - Ø3/4"</t>
  </si>
  <si>
    <t>CANTONEIRA ABAS IGUAIS, AÇO CARBONO ASTM A36 / NBR7007, MEDINDO 2"x1/4", BARRA DE 6 METROS P/ SUPORTAÇÃO ELETRODUTO - 3/4"</t>
  </si>
  <si>
    <t>INSTALAÇÃO DE MOTOR E/OU EQUIPAMENTO, INCLUINDO, CONDULETES, ABRAÇADEIRAS, CONECTOR REUTILIZÁVEL, SEAL TUBO, ETC - 1"</t>
  </si>
  <si>
    <t>ELETRODUTO RÍGIDO DE AÇO CARBONO COM REBARBA REMOVIDA, CONFORME NBR5598/06 (EB341), COM LUVA E PROTETOR DE ROSCA EM BARRA DE 3 METROS, ACABAMENTO GALVANIZADO A FOGO, COM GRAVAÇÃO NA BARRA, ROSCA BSP - Ø1"</t>
  </si>
  <si>
    <t>CANTONEIRA ABAS IGUAIS, AÇO CARBONO ASTM A36 / NBR7007, MEDINDO 2"x1/4", BARRA DE 6 METROS P/ SUPORTAÇÃO ELETRODUTO - 1"</t>
  </si>
  <si>
    <t>INSTALAÇÃO DE MOTOR E/OU EQUIPAMENTO, INCLUINDO, CONDULETES, ABRAÇADEIRAS, CONECTOR REUTILIZÁVEL, SEAL TUBO, ETC - 1.1/2"</t>
  </si>
  <si>
    <t>ELETRODUTO RÍGIDO DE AÇO CARBONO COM REBARBA REMOVIDA, CONFORME NBR5598/06 (EB341), COM LUVA E PROTETOR DE ROSCA EM BARRA DE 3 METROS, ACABAMENTO GALVANIZADO A FOGO, COM GRAVAÇÃO NA BARRA, ROSCA BSP - Ø1.1/2"</t>
  </si>
  <si>
    <t>CANTONEIRA ABAS IGUAIS, AÇO CARBONO ASTM A36 / NBR7007, MEDINDO 2"x1/4", BARRA DE 6 METROS P/ SUPORTAÇÃO ELETRODUTO - 1.1/2"</t>
  </si>
  <si>
    <t>INSTALAÇÃO DE MOTOR E/OU EQUIPAMENTO, INCLUINDO, CONDULETES, ABRAÇADEIRAS, CONECTOR REUTILIZÁVEL, SEAL TUBO, ETC - 2"</t>
  </si>
  <si>
    <t>CANTONEIRA ABAS IGUAIS, AÇO CARBONO ASTM A36 / NBR7007, MEDINDO 2"x1/4", BARRA DE 6 METROS P/ SUPORTAÇÃO ELETRODUTO - 2"</t>
  </si>
  <si>
    <t>INSTALAÇÃO DE MOTOR E/OU EQUIPAMENTO, INCLUINDO, CONDULETES, ABRAÇADEIRAS, CONECTOR REUTILIZÁVEL, SEAL TUBO, ETC - 3"</t>
  </si>
  <si>
    <t>ELETRODUTO RÍGIDO DE AÇO CARBONO COM REBARBA REMOVIDA, CONFORME NBR5598/06 (EB341), COM LUVA E PROTETOR DE ROSCA EM BARRA DE 3 METROS, ACABAMENTO GALVANIZADO A FOGO, COM GRAVAÇÃO NA BARRA, ROSCA BSP - Ø3"</t>
  </si>
  <si>
    <t>CANTONEIRA ABAS IGUAIS, AÇO CARBONO ASTM A36 / NBR7007, MEDINDO 2"x1/4", BARRA DE 6 METROS P/ SUPORTAÇÃO ELETRODUTO - 3"</t>
  </si>
  <si>
    <t>PRENSACABO PARA CABO NÃO ARMADO DE SEÇÃO CRCULAR EM LATÃO NIQUELADO, ROSCA NPT, Proteção: Ex d IIC Gb Proteção: Ex d (à prova de explosão) | Ex e (segurança aumentada) | Ex ta (proteção para poeira combustível) Gases: Zonas 1 e 2, Grupos IIA / IIB / IIC, Gb Poeiras combustíveis: Zonas 21 e 22, Grupos IIIA / IIIB / IIIC, Da, DIÂMETRO Ø2.1/2"</t>
  </si>
  <si>
    <t>PRENSACABO PARA CABO NÃO ARMADO DE SEÇÃO CRCULAR EM LATÃO NIQUELADO, ROSCA NPT, Proteção: Ex d IIC Gb Proteção: Ex d (à prova de explosão) | Ex e (segurança aumentada) | Ex ta (proteção para poeira combustível) Gases: Zonas 1 e 2, Grupos IIA / IIB / IIC, Gb Poeiras combustíveis: Zonas 21 e 22, Grupos IIIA / IIIB / IIIC, Da, DIÂMETRO Ø2"</t>
  </si>
  <si>
    <t>PRENSACABO PARA CABO NÃO ARMADO DE SEÇÃO CRCULAR EM LATÃO NIQUELADO, ROSCA NPT, Proteção: Ex d IIC Gb Proteção: Ex d (à prova de explosão) | Ex e (segurança aumentada) | Ex ta (proteção para poeira combustível) Gases: Zonas 1 e 2, Grupos IIA / IIB / IIC, Gb Poeiras combustíveis: Zonas 21 e 22, Grupos IIIA / IIIB / IIIC, Da, DIÂMETRO Ø1.1/2"</t>
  </si>
  <si>
    <t>PRENSACABO PARA CABO NÃO ARMADO DE SEÇÃO CRCULAR EM LATÃO NIQUELADO, ROSCA NPT, Proteção: Ex d IIC Gb Proteção: Ex d (à prova de explosão) | Ex e (segurança aumentada) | Ex ta (proteção para poeira combustível) Gases: Zonas 1 e 2, Grupos IIA / IIB / IIC, Gb Poeiras combustíveis: Zonas 21 e 22, Grupos IIIA / IIIB / IIIC, Da, DIÂMETRO Ø1"</t>
  </si>
  <si>
    <t>PRENSACABO PARA CABO NÃO ARMADO DE SEÇÃO CRCULAR EM LATÃO NIQUELADO, ROSCA NPT, Proteção: Ex d IIC Gb Proteção: Ex d (à prova de explosão) | Ex e (segurança aumentada) | Ex ta (proteção para poeira combustível) Gases: Zonas 1 e 2, Grupos IIA / IIB / IIC, Gb Poeiras combustíveis: Zonas 21 e 22, Grupos IIIA / IIIB / IIIC, Da, DIÂMETRO Ø3/4"</t>
  </si>
  <si>
    <t>Intelli</t>
  </si>
  <si>
    <t>Força</t>
  </si>
  <si>
    <t>TERMINAL DE COMPRESSÃO EM COBRE ESTANHADO, COM 1 FURO</t>
  </si>
  <si>
    <t>10mm²</t>
  </si>
  <si>
    <t>120mm²</t>
  </si>
  <si>
    <t>150mm²</t>
  </si>
  <si>
    <t>16mm²</t>
  </si>
  <si>
    <t>185mm²</t>
  </si>
  <si>
    <t>2,5-4mm²</t>
  </si>
  <si>
    <t>240mm²</t>
  </si>
  <si>
    <t>25mm²</t>
  </si>
  <si>
    <t>35mm²</t>
  </si>
  <si>
    <t>50mm²</t>
  </si>
  <si>
    <t>6mm²</t>
  </si>
  <si>
    <t>70mm²</t>
  </si>
  <si>
    <t>95mm²</t>
  </si>
  <si>
    <t>3M</t>
  </si>
  <si>
    <t>TERMINAL TIPO MUFLA 70mm²</t>
  </si>
  <si>
    <t>Cab. Nú</t>
  </si>
  <si>
    <t>CABO DE COBRE NU #35mm² NBR 6129 7 FIOS</t>
  </si>
  <si>
    <t>WATISA</t>
  </si>
  <si>
    <t>Cab. Potencia MT</t>
  </si>
  <si>
    <t>CABO ELÉTRICO 15/25kV, CONSTITUÍDO POR CONDUTOR DE COBRE NU, CLASSE 2 RÍGIDO, ISOLAÇÃO EM COMPOSTO TERMO FIXO EPR 105 E COBERTURA TERMOPLÁSTICA EM PVC. NORMAS NBR 7286 e NBR 14039. REFERÊNCIA COMPACT 105 (1 x 95mm²), diâmetro externo Ø27,3mm, peso 1,26kg/m</t>
  </si>
  <si>
    <t>Cab. Potencia</t>
  </si>
  <si>
    <t>CABO ELÉTRICO 0,6/1KV CONSTITUÍDO POR CONDUTOR DE COBRE NU, TEMPERA MOLE, CLASSE 5 EXTRAFLEXÍVEL, ISOLAÇÃO EM COMPOSTO TERMOFIXO  HEPR 90ºC E COBERTURA TERMOPLÁSTICA EM PVC, CONFORME NBR 7286 E 5410
0,6/1KV (1x240mm²), VEIA NA COR PRETO</t>
  </si>
  <si>
    <t>CABO ELÉTRICO 0,6/1KV CONSTITUÍDO POR CONDUTOR DE COBRE NU, TEMPERA MOLE, CLASSE 5 EXTRAFLEXÍVEL, ISOLAÇÃO EM COMPOSTO TERMOFIXO  HEPR 90ºC E COBERTURA TERMOPLÁSTICA EM PVC, CONFORME NBR 7286 E 5410
0,6/1KV (1x185mm²), VEIA NA COR PRETO</t>
  </si>
  <si>
    <t>CABO ELÉTRICO 0,6/1KV CONSTITUÍDO POR CONDUTOR DE COBRE NU, TEMPERA MOLE, CLASSE 5 EXTRAFLEXÍVEL, ISOLAÇÃO EM COMPOSTO TERMOFIXO  HEPR 90ºC E COBERTURA TERMOPLÁSTICA EM PVC, CONFORME NBR 7286 E 5410
0,6/1KV (1x150mm²), VEIA NA COR PRETO</t>
  </si>
  <si>
    <t>CABO ELÉTRICO 0,6/1KV CONSTITUÍDO POR CONDUTOR DE COBRE NU, TEMPERA MOLE, CLASSE 5 EXTRAFLEXÍVEL, ISOLAÇÃO EM COMPOSTO TERMOFIXO  HEPR 90ºC E COBERTURA TERMOPLÁSTICA EM PVC, CONFORME NBR 7286 E 5410
0,6/1KV (1x120mm²), VEIA NA COR PRETO</t>
  </si>
  <si>
    <t>CABO ELÉTRICO 0,6/1KV CONSTITUÍDO POR CONDUTOR DE COBRE NU, TEMPERA MOLE, CLASSE 5 EXTRAFLEXÍVEL, ISOLAÇÃO EM COMPOSTO TERMOFIXO  HEPR 90ºC E COBERTURA TERMOPLÁSTICA EM PVC, CONFORME NBR 7286 E 5410
0,6/1KV (1x95mm²), VEIA NA COR PRETO</t>
  </si>
  <si>
    <t>CABO ELÉTRICO 0,6/1KV CONSTITUÍDO POR CONDUTOR DE COBRE NU, TEMPERA MOLE, CLASSE 5 EXTRAFLEXÍVEL, ISOLAÇÃO EM COMPOSTO TERMOFIXO  HEPR 90ºC E COBERTURA TERMOPLÁSTICA EM PVC, CONFORME NBR 7286 E 5410
0,6/1KV (1x240mm²), VEIA NA COR VERDE</t>
  </si>
  <si>
    <t>CABO ELÉTRICO 0,6/1KV CONSTITUÍDO POR CONDUTOR DE COBRE NU, TEMPERA MOLE, CLASSE 5 EXTRAFLEXÍVEL, ISOLAÇÃO EM COMPOSTO TERMOFIXO  HEPR 90ºC E COBERTURA TERMOPLÁSTICA EM PVC, CONFORME NBR 7286 E 5410
0,6/1KV (1x185mm²), VEIA NA COR VERDE</t>
  </si>
  <si>
    <t>CABO ELÉTRICO 0,6/1KV CONSTITUÍDO POR CONDUTOR DE COBRE NU, TEMPERA MOLE, CLASSE 5 EXTRAFLEXÍVEL, ISOLAÇÃO EM COMPOSTO TERMOFIXO  HEPR 90ºC E COBERTURA TERMOPLÁSTICA EM PVC, CONFORME NBR 7286 E 5410
0,6/1KV (1x150mm²), VEIA NA COR VERDE</t>
  </si>
  <si>
    <t>CABO ELÉTRICO 0,6/1KV CONSTITUÍDO POR CONDUTOR DE COBRE NU, TEMPERA MOLE, CLASSE 5 EXTRAFLEXÍVEL, ISOLAÇÃO EM COMPOSTO TERMOFIXO  HEPR 90ºC E COBERTURA TERMOPLÁSTICA EM PVC, CONFORME NBR 7286 E 5410
0,6/1KV (1x120mm²), VEIA NA COR VERDE</t>
  </si>
  <si>
    <t>CABO ELÉTRICO 0,6/1KV CONSTITUÍDO POR CONDUTOR DE COBRE NU, TEMPERA MOLE, CLASSE 5 EXTRAFLEXÍVEL, ISOLAÇÃO EM COMPOSTO TERMOFIXO  HEPR 90ºC E COBERTURA TERMOPLÁSTICA EM PVC, CONFORME NBR 7286 E 5410
0,6/1KV (1x95mm²), VEIA NA COR VERDE</t>
  </si>
  <si>
    <t>CABO ELÉTRICO 0,6/1KV CONSTITUÍDO POR CONDUTOR DE COBRE NU, TEMPERA MOLE, CLASSE 5 EXTRAFLEXÍVEL, ISOLAÇÃO EM COMPOSTO TERMOFIXO  HEPR 90ºC E COBERTURA TERMOPLÁSTICA EM PVC, CONFORME NBR 7286 E 5410
0,6/1KV (1x70mm²), VEIA NA COR VERDE</t>
  </si>
  <si>
    <t>CABO ELÉTRICO 0,6/1KV CONSTITUÍDO POR CONDUTOR DE COBRE NU, TEMPERA MOLE, CLASSE 5 EXTRAFLEXÍVEL, ISOLAÇÃO EM COMPOSTO TERMOFIXO  HEPR 90ºC E COBERTURA TERMOPLÁSTICA EM PVC, CONFORME NBR 7286 E 5410
0,6/1KV (1x50mm²), VEIA NA COR VERDE</t>
  </si>
  <si>
    <t>CABO ELÉTRICO 0,6/1KV CONSTITUÍDO POR CONDUTOR DE COBRE NU, TEMPERA MOLE, CLASSE 5 EXTRAFLEXÍVEL, ISOLAÇÃO EM COMPOSTO TERMOFIXO  HEPR 90ºC E COBERTURA TERMOPLÁSTICA EM PVC, CONFORME NBR 7286 E 5410
0,6/1KV (1x35mm²), VEIA NA COR VERDE</t>
  </si>
  <si>
    <t>CABO ELÉTRICO 0,6/1KV CONSTITUÍDO POR CONDUTOR DE COBRE NU, TEMPERA MOLE, CLASSE 5 EXTRAFLEXÍVEL, ISOLAÇÃO EM COMPOSTO TERMOFIXO  HEPR 90ºC E COBERTURA TERMOPLÁSTICA EM PVC, CONFORME NBR 7286 E 5410
0,6/1KV (1x25mm²), VEIA NA COR VERDE</t>
  </si>
  <si>
    <t>CABO ELÉTRICO 0,6/1KV CONSTITUÍDO POR CONDUTOR DE COBRE NU, TEMPERA MOLE, CLASSE 5 EXTRAFLEXÍVEL, ISOLAÇÃO EM COMPOSTO TERMOFIXO  HEPR 90ºC E COBERTURA TERMOPLÁSTICA EM PVC, CONFORME NBR 7286 E 5410
0,6/1KV (1x16mm²), VEIA NA COR VERDE</t>
  </si>
  <si>
    <t>CABO ELÉTRICO 0,6/1KV CONSTITUÍDO POR CONDUTOR DE COBRE NU, TEMPERA MOLE, CLASSE 5 EXTRAFLEXÍVEL, ISOLAÇÃO EM COMPOSTO TERMOFIXO  HEPR 90ºC E COBERTURA TERMOPLÁSTICA EM PVC, CONFORME NBR 7286 E 5410
0,6/1KV (1x70mm²), VEIA NA COR PRETO</t>
  </si>
  <si>
    <t>CABO ELÉTRICO 0,6/1KV CONSTITUÍDO POR CONDUTOR DE COBRE NU, TEMPERA MOLE, CLASSE 5 EXTRAFLEXÍVEL, ISOLAÇÃO EM COMPOSTO TERMOFIXO  HEPR 90ºC E COBERTURA TERMOPLÁSTICA EM PVC, CONFORME NBR 7286 E 5410
0,6/1KV (1x50mm²), VEIA NA COR PRETO</t>
  </si>
  <si>
    <t>CABO ELÉTRICO 0,6/1KV CONSTITUÍDO POR CONDUTOR DE COBRE NU, TEMPERA MOLE, CLASSE 5 EXTRAFLEXÍVEL, ISOLAÇÃO EM COMPOSTO TERMOFIXO  HEPR 90ºC E COBERTURA TERMOPLÁSTICA EM PVC, CONFORME NBR 7286 E 5410
0,6/1KV (1x35mm²), VEIA NA COR PRETO</t>
  </si>
  <si>
    <t>CABO ELÉTRICO 0,6/1KV CONSTITUÍDO POR CONDUTOR DE COBRE NU, TEMPERA MOLE, CLASSE 5 EXTRAFLEXÍVEL, ISOLAÇÃO EM COMPOSTO TERMOFIXO  HEPR 90ºC E COBERTURA TERMOPLÁSTICA EM PVC, CONFORME NBR 7286 E 5410 0,6/1KV (4x25mm²), VEIAS NAS CORES PRETO, BRANCO, VERMELHO E AZUL-CLARA</t>
  </si>
  <si>
    <t>CABO ELÉTRICO 0,6/1KV CONSTITUÍDO POR CONDUTOR DE COBRE NU, TEMPERA MOLE, CLASSE 5 EXTRAFLEXÍVEL, ISOLAÇÃO EM COMPOSTO TERMOFIXO  HEPR 90ºC E COBERTURA TERMOPLÁSTICA EM PVC, CONFORME NBR 7286 E 5410 0,6/1KV (4x16mm²), VEIAS NAS CORES PRETO, BRANCO, VERMELHO E AZUL-CLARA</t>
  </si>
  <si>
    <t>CABO ELÉTRICO 0,6/1KV CONSTITUÍDO POR CONDUTOR DE COBRE NU, TEMPERA MOLE, CLASSE 5 EXTRAFLEXÍVEL, ISOLAÇÃO EM COMPOSTO TERMOFIXO  HEPR 90ºC E COBERTURA TERMOPLÁSTICA EM PVC, CONFORME NBR 7286 E 5410, REFERÊNCIA PRYSMIAN GSETTE EASY 0,6/1KV (4x10mm²), VEIAS NAS CORES PRETO, BRANCO, VERMELHO E AZUL-CLARA</t>
  </si>
  <si>
    <t>CABO ELÉTRICO 0,6/1KV CONSTITUÍDO POR CONDUTOR DE COBRE NU, TEMPERA MOLE, CLASSE 5 EXTRAFLEXÍVEL, ISOLAÇÃO EM COMPOSTO TERMOFIXO  HEPR 90ºC E COBERTURA TERMOPLÁSTICA EM PVC, CONFORME NBR 7286 E 5410 0,6/1KV (4x6,0mm²), VEIAS NAS CORES PRETO, BRANCO, VERMELHO E AZUL-CLARA</t>
  </si>
  <si>
    <t>CABO ELÉTRICO 0,6/1KV CONSTITUÍDO POR CONDUTOR DE COBRE NU, TEMPERA MOLE, CLASSE 5 EXTRAFLEXÍVEL, ISOLAÇÃO EM COMPOSTO TERMOFIXO  HEPR 90ºC E COBERTURA TERMOPLÁSTICA EM PVC, CONFORME NBR 7286 E 5410 0,6/1KV (4x4,0mm²), VEIAS NAS CORES PRETO, BRANCO, VERMELHO E AZUL-CLARA</t>
  </si>
  <si>
    <t>CABO ELÉTRICO 0,6/1KV CONSTITUÍDO POR CONDUTOR DE COBRE NU, TEMPERA MOLE, CLASSE 5 EXTRAFLEXÍVEL, ISOLAÇÃO EM COMPOSTO TERMOFIXO  HEPR 90ºC E COBERTURA TERMOPLÁSTICA EM PVC, CONFORME NBR 7286 E 5410 0,6/1KV (4x2,5mm²), VEIAS NAS CORES PRETO, BRANCO, VERMELHO E AZUL-CLARA</t>
  </si>
  <si>
    <t>Cab. Comando</t>
  </si>
  <si>
    <t>CABO ELÉTRICO 0,6/1KV CONSTITUÍDO POR CONDUTOR DE COBRE NU, TEMPERA MOLE, CLASSE 5 EXTRAFLEXÍVEL, ISOLAÇÃO EM COMPOSTO TERMOFIXO  HEPR 90ºC E COBERTURA TERMOPLÁSTICA EM PVC, CONFORME NBR 7286 E 5410 0,6/1KV (3x1,5mm²), VEIAS NAS CORES PRETO, BRANCO, VERMELHO E AZUL-CLARA</t>
  </si>
  <si>
    <t>Forthlight</t>
  </si>
  <si>
    <t>Iluminação</t>
  </si>
  <si>
    <t>Luminárias</t>
  </si>
  <si>
    <t>Bloco de emergencia 20W, auton. 6H</t>
  </si>
  <si>
    <t>Interruptor, simples ou duplo</t>
  </si>
  <si>
    <t>Luminária LED TGV, 30W, Arandela 30°</t>
  </si>
  <si>
    <t>Luminária LED TGV, 30W, Arandela 30° - C/ MÓDULO ENERG.</t>
  </si>
  <si>
    <t>Luminária LED TGV, 30W, para instalação em poste de 1.1/2" x 3mt</t>
  </si>
  <si>
    <t>Luminária LED TGV, 30W, para instalação em poste de 1.1/2" x 3mt - C/ MÓDULO ENERG.</t>
  </si>
  <si>
    <t>Conexled</t>
  </si>
  <si>
    <t>Luminária LED, Hermetica, 30W</t>
  </si>
  <si>
    <t>Projetor LED TGVP, 100W</t>
  </si>
  <si>
    <t>Projetor LED TGVP, 100W - C/ MÓDULO ENERG.</t>
  </si>
  <si>
    <t>Projetor LED TGVP, 30W</t>
  </si>
  <si>
    <t>Projetor LED TGVP, 30W - C/ MÓDULO ENERG.</t>
  </si>
  <si>
    <t>Projetor LED TGVP, 50W</t>
  </si>
  <si>
    <t>Projetor LED TGVP, 50W - C/ MÓDULO ENERG.</t>
  </si>
  <si>
    <t>Tomada 2P+T, 20A, ABNT</t>
  </si>
  <si>
    <t>Manchester</t>
  </si>
  <si>
    <t>Infra Elet. Iluminação</t>
  </si>
  <si>
    <t>Infra Suportação Iluminação</t>
  </si>
  <si>
    <t>INSTALAÇÃO DE LUMINÁRIA, INCLUINDO, CONDULETES, ABRAÇADEIRAS, PRENSA CABO, ETC - PONTO CONVENCIONAL</t>
  </si>
  <si>
    <t>INSTALAÇÃO DE INTERRUPTOR E/OU TOMADA, INCLUINDO, CONDULETES, ABRAÇADEIRAS, PRENSA CABO, ETC</t>
  </si>
  <si>
    <t>Cab. Iluminação</t>
  </si>
  <si>
    <t>PP 4 x 2,5mm² - 0,6/1kV - EPR - 90ºC - Cobre</t>
  </si>
  <si>
    <t>PP 4 x 4,0mm² - 0,6/1kV - EPR - 90ºC - Cobre</t>
  </si>
  <si>
    <t>Infra Eletrodutos Botoeiras</t>
  </si>
  <si>
    <t>BOTOEIRA DE EMERGÊNCIA, Gases: Zonas 1 ou 2, Ex d IIB T5 Gb E Poeiras combustíveis: Zonas 21 ou 22, Ex tb IIIC T100 °C Db, CORPO E TAMPA FABRICADO EM ALUMINIO FUNDIDO COPPER-FREE DE ALTA RESISTÊNCIA MECÂNICA E A CORROSÃO, ENTRADA NPT, COM BOTÃO DE
EMERGÊNCIA COM TRAVA E 2 CONTATOS NF</t>
  </si>
  <si>
    <t>WEG</t>
  </si>
  <si>
    <t>BOTOEIRA MONTADA TERMOPLASTICO PRETO, PARADA DE EMERGÊNCIA, 1 BOTÃO COM TRAVA E 02 CONTATOS NF</t>
  </si>
  <si>
    <t>INSTALAÇÃO DE BOTOEIRA, INCLUINDO, CONDULETES, ABRAÇADEIRAS, PRENSA CABO, ETC</t>
  </si>
  <si>
    <t>MATERIAIS DIVERSOS DA INSTRUMENTAÇÃO (CONEXÕES, ABRAÇADEIRAS, CONDULETES, ETC)</t>
  </si>
  <si>
    <t>Geral</t>
  </si>
  <si>
    <t>DIVERSOS</t>
  </si>
  <si>
    <t>PLC_DCS_SOFT</t>
  </si>
  <si>
    <t>PROD_MOT</t>
  </si>
  <si>
    <t>Painéis,  JBs, Bornes, Disjuntores, Fontes, Miscelâneas de painéis.</t>
  </si>
  <si>
    <t>Equipamentos de CFTV, Câmeras, Armazenamento de imagens</t>
  </si>
  <si>
    <t>Instrumentação Geral</t>
  </si>
  <si>
    <t>Deslocamentos de profissionais, Diárias, Estadias, Refeições equipe Startup e Comissionamento. (Nota: Se a instalação for ATM, Fazer cálculo de logística dedicado a equipe de montagem e acrescentar aqui)</t>
  </si>
  <si>
    <t>Logística Montagem , Logística geral</t>
  </si>
  <si>
    <t>Material de Instalação Geral</t>
  </si>
  <si>
    <t>Serviços de Administração de campo da equipe,  Custo HH do preposto responsáveis pela estrutura, cronograma, RMP, notas fiscais , cronogramas, durante todo período da obra. (Mão obra do Preposto e Programador)</t>
  </si>
  <si>
    <t>Estrutura de Obra, locação Maquinas, Canteiro de Obra, Estrutura na cidade. Mobilização Equipe Montagem e Gerenciamentos, Mobilização Prepostos e MOI (Logística Time)</t>
  </si>
  <si>
    <t>Serviços de Comissionamento, serviços de acertos de malhas de controle com o operador, serviços de treinamento de operação, serviços de startup e serviços de Operação Assistida.</t>
  </si>
  <si>
    <t>Mão de Obra Direta na Obra</t>
  </si>
  <si>
    <t>Serviços de Engenharia, Elétrica, dimensionamento, projetos, Engenharia de desenvolvimento de TELA, desenvolvimento Programa, Desenvolvimento softwares de controle. Elaboração de projetos dos painéis, elaboração de documentos de controle. Execução de testes de plataforma, TAF, As-built</t>
  </si>
  <si>
    <t>Mão de Obra Indireta - Segurança e serviços de campo que não seja Mão de Obra Direta</t>
  </si>
  <si>
    <t>Serviço de Mão contratada de terceiros</t>
  </si>
  <si>
    <t>Moveis para COI, móveis escritório.</t>
  </si>
  <si>
    <t>Controladores e Remotas</t>
  </si>
  <si>
    <t xml:space="preserve">Produtos, componentes, que não se enquadram em Instrumentos e Painel </t>
  </si>
  <si>
    <t>Gateways DP/PA e DP/Asi , Segmentos Protector, Derivadores, conectores, Terminadores.</t>
  </si>
  <si>
    <t>Switches, Micros, Servidores, Monitores, Gbic, etc.</t>
  </si>
  <si>
    <t>Serviços de Revisões, Reparos, Manutenção, metrologia Services, MO  Services</t>
  </si>
  <si>
    <t>Softwares de controle e Supervisão</t>
  </si>
  <si>
    <t>Custo com  Segurança, Treinamentos específicos de SSMA, funcionários, EPIs, RACs</t>
  </si>
  <si>
    <t>Embalagens de Painéis e Equipamentos e Transportes</t>
  </si>
  <si>
    <t>TX</t>
  </si>
  <si>
    <t>Plano de saúde</t>
  </si>
  <si>
    <t>Premio de assiduidade</t>
  </si>
  <si>
    <t>TX_ATM</t>
  </si>
  <si>
    <t>N</t>
  </si>
  <si>
    <t>Custo Interno e Custos Admnistrativos definidos para o projeto</t>
  </si>
  <si>
    <t xml:space="preserve">Controller: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</si>
</sst>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7">
    <numFmt numFmtId="44" formatCode="_-&quot;R$&quot;\ * #,##0.00_-;\-&quot;R$&quot;\ * #,##0.00_-;_-&quot;R$&quot;\ * &quot;-&quot;??_-;_-@_-"/>
    <numFmt numFmtId="43" formatCode="_-* #,##0.00_-;\-* #,##0.00_-;_-* &quot;-&quot;??_-;_-@_-"/>
    <numFmt numFmtId="164" formatCode="00"/>
    <numFmt numFmtId="165" formatCode="#,##0.00_ ;[Red]\-#,##0.00\ "/>
    <numFmt numFmtId="166" formatCode="&quot;R$ &quot;#,##0.00"/>
    <numFmt numFmtId="167" formatCode="_(* #,##0.00_);_(* \(#,##0.00\);_(* &quot;-&quot;??_);_(@_)"/>
    <numFmt numFmtId="168" formatCode="&quot;Fato Valor Venda&quot;\ \ \ \ \ \ \ \ \ \ \ \ \ \ \ \ \ \ \ \ \ \ \ \ #.##0"/>
    <numFmt numFmtId="169" formatCode="&quot;Crédito PIS&quot;\ \ \ \ \ \ \ \ \ \ \ \ \ \ \ \ \ \ \ \ \ \ \ \ 0.00%"/>
    <numFmt numFmtId="170" formatCode="&quot;Crédito COFINS&quot;\ \ \ \ \ \ \ \ \ \ \ \ \ \ \ \ \ \ \ \ \ \ \ \ 0.00%"/>
    <numFmt numFmtId="171" formatCode="&quot;Débito ICM&quot;\ \ \ \ \ \ \ \ \ \ \ \ \ \ \ \ \ \ \ \ \ \ \ \ 0.00%"/>
    <numFmt numFmtId="172" formatCode="&quot;Débito PIS&quot;\ \ \ \ \ \ \ \ \ \ \ \ \ \ \ \ \ \ \ \ \ \ \ \ 0.00%"/>
    <numFmt numFmtId="173" formatCode="&quot;Débito COFINS&quot;\ \ \ \ \ \ \ \ \ \ \ \ \ \ \ \ \ \ \ \ \ \ \ \ 0.00%"/>
    <numFmt numFmtId="174" formatCode="&quot;Débito ISSQN&quot;\ \ \ \ \ \ \ \ \ \ \ \ \ \ \ \ \ \ \ \ \ \ \ \ 0.00%"/>
    <numFmt numFmtId="175" formatCode="0.0"/>
    <numFmt numFmtId="176" formatCode="_-* #,##0.000_-;\-* #,##0.000_-;_-* &quot;-&quot;??_-;_-@_-"/>
    <numFmt numFmtId="177" formatCode="_-* #,##0.0000000000_-;\-* #,##0.0000000000_-;_-* &quot;-&quot;??_-;_-@_-"/>
    <numFmt numFmtId="178" formatCode="_-* #,##0.00000000_-;\-* #,##0.00000000_-;_-* &quot;-&quot;??_-;_-@_-"/>
  </numFmts>
  <fonts count="50" x14ac:knownFonts="1">
    <font>
      <sz val="11"/>
      <color theme="1"/>
      <name val="Calibri"/>
      <family val="2"/>
      <scheme val="minor"/>
    </font>
    <font>
      <sz val="11"/>
      <color theme="1"/>
      <name val="Calibri"/>
      <family val="2"/>
      <scheme val="minor"/>
    </font>
    <font>
      <sz val="8"/>
      <name val="Arial Narrow"/>
      <family val="2"/>
    </font>
    <font>
      <sz val="6"/>
      <name val="Arial Narrow"/>
      <family val="2"/>
    </font>
    <font>
      <sz val="7"/>
      <name val="Arial Narrow"/>
      <family val="2"/>
    </font>
    <font>
      <sz val="8"/>
      <color theme="1"/>
      <name val="Arial Narrow"/>
      <family val="2"/>
    </font>
    <font>
      <sz val="8"/>
      <color rgb="FF7030A0"/>
      <name val="Arial Narrow"/>
      <family val="2"/>
    </font>
    <font>
      <sz val="8"/>
      <color theme="0"/>
      <name val="Arial Narrow"/>
      <family val="2"/>
    </font>
    <font>
      <b/>
      <sz val="9"/>
      <name val="Arial"/>
      <family val="2"/>
    </font>
    <font>
      <sz val="10"/>
      <color theme="1"/>
      <name val="Arial Narrow"/>
      <family val="2"/>
    </font>
    <font>
      <b/>
      <sz val="8"/>
      <color theme="1"/>
      <name val="Arial Narrow"/>
      <family val="2"/>
    </font>
    <font>
      <sz val="9"/>
      <color theme="1"/>
      <name val="Arial Narrow"/>
      <family val="2"/>
    </font>
    <font>
      <sz val="8"/>
      <color rgb="FFFF0000"/>
      <name val="Arial Narrow"/>
      <family val="2"/>
    </font>
    <font>
      <b/>
      <sz val="8"/>
      <name val="Arial Narrow"/>
      <family val="2"/>
    </font>
    <font>
      <b/>
      <sz val="9"/>
      <name val="Arial Narrow"/>
      <family val="2"/>
    </font>
    <font>
      <b/>
      <sz val="8"/>
      <color rgb="FFFF0000"/>
      <name val="Arial Narrow"/>
      <family val="2"/>
    </font>
    <font>
      <b/>
      <sz val="6"/>
      <name val="Arial Narrow"/>
      <family val="2"/>
    </font>
    <font>
      <sz val="8"/>
      <name val="Tahoma"/>
      <family val="2"/>
    </font>
    <font>
      <sz val="9"/>
      <name val="Arial Nova Cond"/>
      <family val="2"/>
    </font>
    <font>
      <b/>
      <sz val="9"/>
      <color rgb="FFFFFF00"/>
      <name val="Arial Nova Cond"/>
      <family val="2"/>
    </font>
    <font>
      <b/>
      <sz val="9"/>
      <name val="Arial Nova Cond"/>
      <family val="2"/>
    </font>
    <font>
      <sz val="9"/>
      <color theme="0"/>
      <name val="Arial Nova Cond"/>
      <family val="2"/>
    </font>
    <font>
      <sz val="10"/>
      <name val="Arial Nova Cond Light"/>
      <family val="2"/>
    </font>
    <font>
      <sz val="10"/>
      <color theme="1"/>
      <name val="Arial Nova Cond Light"/>
      <family val="2"/>
    </font>
    <font>
      <sz val="10"/>
      <color rgb="FFFF0000"/>
      <name val="Arial Nova Cond Light"/>
      <family val="2"/>
    </font>
    <font>
      <sz val="5"/>
      <name val="Arial Narrow"/>
      <family val="2"/>
    </font>
    <font>
      <sz val="5"/>
      <color theme="0"/>
      <name val="Arial Narrow"/>
      <family val="2"/>
    </font>
    <font>
      <sz val="5"/>
      <color rgb="FFFF0000"/>
      <name val="Arial Narrow"/>
      <family val="2"/>
    </font>
    <font>
      <b/>
      <sz val="5"/>
      <color rgb="FF000099"/>
      <name val="Arial Narrow"/>
      <family val="2"/>
    </font>
    <font>
      <b/>
      <sz val="5"/>
      <color theme="0"/>
      <name val="Arial Narrow"/>
      <family val="2"/>
    </font>
    <font>
      <b/>
      <sz val="5"/>
      <color theme="0"/>
      <name val="Arial"/>
      <family val="2"/>
    </font>
    <font>
      <sz val="5"/>
      <color theme="0"/>
      <name val="Arial"/>
      <family val="2"/>
    </font>
    <font>
      <sz val="10"/>
      <name val="Arial Narrow"/>
      <family val="2"/>
    </font>
    <font>
      <sz val="10"/>
      <color rgb="FFFF0000"/>
      <name val="Arial Narrow"/>
      <family val="2"/>
    </font>
    <font>
      <sz val="10"/>
      <color rgb="FF0000FF"/>
      <name val="Arial Narrow"/>
      <family val="2"/>
    </font>
    <font>
      <b/>
      <sz val="10"/>
      <color rgb="FF0000FF"/>
      <name val="Arial"/>
      <family val="2"/>
    </font>
    <font>
      <b/>
      <sz val="10"/>
      <color rgb="FF0000FF"/>
      <name val="Arial Narrow"/>
      <family val="2"/>
    </font>
    <font>
      <b/>
      <sz val="10"/>
      <color theme="8" tint="0.79998168889431442"/>
      <name val="Arial"/>
      <family val="2"/>
    </font>
    <font>
      <sz val="10"/>
      <color rgb="FF0000FF"/>
      <name val="Arial"/>
      <family val="2"/>
    </font>
    <font>
      <sz val="10"/>
      <color rgb="FF492DF3"/>
      <name val="Arial Narrow"/>
      <family val="2"/>
    </font>
    <font>
      <b/>
      <sz val="10"/>
      <color rgb="FF492DF3"/>
      <name val="Arial Narrow"/>
      <family val="2"/>
    </font>
    <font>
      <sz val="10"/>
      <color rgb="FF492DF3"/>
      <name val="Arial"/>
      <family val="2"/>
    </font>
    <font>
      <sz val="7"/>
      <color rgb="FFFFFF00"/>
      <name val="Arial Narrow"/>
      <family val="2"/>
    </font>
    <font>
      <sz val="6"/>
      <color rgb="FFFFFF00"/>
      <name val="Arial Narrow"/>
      <family val="2"/>
    </font>
    <font>
      <sz val="9"/>
      <color rgb="FFFFFF00"/>
      <name val="Arial Narrow"/>
      <family val="2"/>
    </font>
    <font>
      <sz val="7"/>
      <color rgb="FFFF0000"/>
      <name val="Arial Narrow"/>
      <family val="2"/>
    </font>
    <font>
      <b/>
      <sz val="9"/>
      <color indexed="81"/>
      <name val="Segoe UI"/>
      <family val="2"/>
    </font>
    <font>
      <sz val="9"/>
      <color indexed="81"/>
      <name val="Segoe UI"/>
      <family val="2"/>
    </font>
    <font>
      <b/>
      <sz val="9"/>
      <color indexed="81"/>
      <name val="Tahoma"/>
      <family val="2"/>
    </font>
    <font>
      <sz val="9"/>
      <color indexed="81"/>
      <name val="Tahoma"/>
      <family val="2"/>
    </font>
  </fonts>
  <fills count="49">
    <fill>
      <patternFill patternType="none"/>
    </fill>
    <fill>
      <patternFill patternType="gray125"/>
    </fill>
    <fill>
      <patternFill patternType="solid">
        <fgColor theme="3" tint="0.79998168889431442"/>
        <bgColor indexed="64"/>
      </patternFill>
    </fill>
    <fill>
      <patternFill patternType="solid">
        <fgColor rgb="FFFFFFCC"/>
        <bgColor indexed="64"/>
      </patternFill>
    </fill>
    <fill>
      <patternFill patternType="solid">
        <fgColor rgb="FFFFC000"/>
        <bgColor indexed="64"/>
      </patternFill>
    </fill>
    <fill>
      <patternFill patternType="solid">
        <fgColor theme="1" tint="0.499984740745262"/>
        <bgColor indexed="64"/>
      </patternFill>
    </fill>
    <fill>
      <patternFill patternType="solid">
        <fgColor theme="8" tint="0.79998168889431442"/>
        <bgColor auto="1"/>
      </patternFill>
    </fill>
    <fill>
      <patternFill patternType="solid">
        <fgColor theme="0" tint="-0.249977111117893"/>
        <bgColor auto="1"/>
      </patternFill>
    </fill>
    <fill>
      <patternFill patternType="solid">
        <fgColor theme="6" tint="0.39997558519241921"/>
        <bgColor auto="1"/>
      </patternFill>
    </fill>
    <fill>
      <patternFill patternType="solid">
        <fgColor rgb="FFFFFF00"/>
        <bgColor indexed="64"/>
      </patternFill>
    </fill>
    <fill>
      <gradientFill degree="90">
        <stop position="0">
          <color theme="2" tint="-9.8025452436902985E-2"/>
        </stop>
        <stop position="0.5">
          <color theme="4" tint="0.59999389629810485"/>
        </stop>
        <stop position="1">
          <color theme="2" tint="-9.8025452436902985E-2"/>
        </stop>
      </gradientFill>
    </fill>
    <fill>
      <gradientFill degree="90">
        <stop position="0">
          <color theme="0" tint="-0.25098422193060094"/>
        </stop>
        <stop position="0.5">
          <color theme="6" tint="0.40000610370189521"/>
        </stop>
        <stop position="1">
          <color theme="0" tint="-0.25098422193060094"/>
        </stop>
      </gradientFill>
    </fill>
    <fill>
      <gradientFill degree="90">
        <stop position="0">
          <color theme="7" tint="0.59999389629810485"/>
        </stop>
        <stop position="0.5">
          <color theme="9" tint="0.40000610370189521"/>
        </stop>
        <stop position="1">
          <color theme="7" tint="0.59999389629810485"/>
        </stop>
      </gradientFill>
    </fill>
    <fill>
      <patternFill patternType="solid">
        <fgColor theme="0" tint="-0.249977111117893"/>
        <bgColor indexed="64"/>
      </patternFill>
    </fill>
    <fill>
      <patternFill patternType="solid">
        <fgColor theme="4" tint="0.59999389629810485"/>
        <bgColor indexed="64"/>
      </patternFill>
    </fill>
    <fill>
      <patternFill patternType="solid">
        <fgColor rgb="FF92D050"/>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0066FF"/>
        <bgColor indexed="64"/>
      </patternFill>
    </fill>
    <fill>
      <patternFill patternType="solid">
        <fgColor theme="0" tint="-0.14999847407452621"/>
        <bgColor indexed="64"/>
      </patternFill>
    </fill>
    <fill>
      <patternFill patternType="solid">
        <fgColor theme="6" tint="0.59999389629810485"/>
        <bgColor indexed="64"/>
      </patternFill>
    </fill>
    <fill>
      <patternFill patternType="solid">
        <fgColor theme="0" tint="-0.34998626667073579"/>
        <bgColor indexed="64"/>
      </patternFill>
    </fill>
    <fill>
      <gradientFill degree="90">
        <stop position="0">
          <color theme="0" tint="-5.0965910824915313E-2"/>
        </stop>
        <stop position="0.5">
          <color theme="9" tint="0.80001220740379042"/>
        </stop>
        <stop position="1">
          <color theme="0" tint="-5.0965910824915313E-2"/>
        </stop>
      </gradientFill>
    </fill>
    <fill>
      <patternFill patternType="solid">
        <fgColor theme="9" tint="0.59999389629810485"/>
        <bgColor indexed="64"/>
      </patternFill>
    </fill>
    <fill>
      <patternFill patternType="lightGray">
        <fgColor rgb="FFFFC000"/>
        <bgColor theme="9" tint="0.59999389629810485"/>
      </patternFill>
    </fill>
    <fill>
      <gradientFill degree="90">
        <stop position="0">
          <color theme="9" tint="0.40000610370189521"/>
        </stop>
        <stop position="0.5">
          <color theme="5" tint="0.80001220740379042"/>
        </stop>
        <stop position="1">
          <color theme="9" tint="0.40000610370189521"/>
        </stop>
      </gradientFill>
    </fill>
    <fill>
      <gradientFill degree="90">
        <stop position="0">
          <color theme="9" tint="0.40000610370189521"/>
        </stop>
        <stop position="0.5">
          <color theme="6" tint="0.80001220740379042"/>
        </stop>
        <stop position="1">
          <color theme="9" tint="0.40000610370189521"/>
        </stop>
      </gradientFill>
    </fill>
    <fill>
      <patternFill patternType="lightGray">
        <fgColor theme="6" tint="0.39994506668294322"/>
        <bgColor theme="6" tint="0.79998168889431442"/>
      </patternFill>
    </fill>
    <fill>
      <gradientFill degree="90">
        <stop position="0">
          <color theme="2" tint="-9.8025452436902985E-2"/>
        </stop>
        <stop position="0.5">
          <color theme="6" tint="0.40000610370189521"/>
        </stop>
        <stop position="1">
          <color theme="2" tint="-9.8025452436902985E-2"/>
        </stop>
      </gradientFill>
    </fill>
    <fill>
      <patternFill patternType="solid">
        <fgColor theme="1"/>
        <bgColor indexed="64"/>
      </patternFill>
    </fill>
    <fill>
      <patternFill patternType="solid">
        <fgColor theme="4" tint="0.79998168889431442"/>
        <bgColor indexed="64"/>
      </patternFill>
    </fill>
    <fill>
      <gradientFill degree="90">
        <stop position="0">
          <color theme="4" tint="0.80001220740379042"/>
        </stop>
        <stop position="0.5">
          <color rgb="FF92D050"/>
        </stop>
        <stop position="1">
          <color theme="4" tint="0.80001220740379042"/>
        </stop>
      </gradientFill>
    </fill>
    <fill>
      <gradientFill degree="90">
        <stop position="0">
          <color theme="0" tint="-5.0965910824915313E-2"/>
        </stop>
        <stop position="0.5">
          <color rgb="FFFFC000"/>
        </stop>
        <stop position="1">
          <color theme="0" tint="-5.0965910824915313E-2"/>
        </stop>
      </gradientFill>
    </fill>
    <fill>
      <gradientFill degree="90">
        <stop position="0">
          <color theme="0" tint="-0.1490218817712943"/>
        </stop>
        <stop position="0.5">
          <color theme="4" tint="0.40000610370189521"/>
        </stop>
        <stop position="1">
          <color theme="0" tint="-0.1490218817712943"/>
        </stop>
      </gradientFill>
    </fill>
    <fill>
      <patternFill patternType="solid">
        <fgColor theme="2" tint="-0.249977111117893"/>
        <bgColor indexed="64"/>
      </patternFill>
    </fill>
    <fill>
      <patternFill patternType="solid">
        <fgColor theme="9" tint="0.79998168889431442"/>
        <bgColor auto="1"/>
      </patternFill>
    </fill>
    <fill>
      <patternFill patternType="solid">
        <fgColor theme="9" tint="0.59999389629810485"/>
        <bgColor auto="1"/>
      </patternFill>
    </fill>
    <fill>
      <patternFill patternType="lightGray">
        <fgColor theme="6" tint="0.39994506668294322"/>
        <bgColor theme="9" tint="0.59999389629810485"/>
      </patternFill>
    </fill>
    <fill>
      <patternFill patternType="gray125">
        <fgColor theme="4" tint="0.79998168889431442"/>
        <bgColor theme="9" tint="0.59999389629810485"/>
      </patternFill>
    </fill>
    <fill>
      <patternFill patternType="gray125">
        <fgColor theme="6" tint="0.79998168889431442"/>
        <bgColor theme="9" tint="0.59999389629810485"/>
      </patternFill>
    </fill>
    <fill>
      <patternFill patternType="solid">
        <fgColor theme="6" tint="0.79998168889431442"/>
        <bgColor auto="1"/>
      </patternFill>
    </fill>
    <fill>
      <patternFill patternType="solid">
        <fgColor theme="9" tint="0.79998168889431442"/>
        <bgColor indexed="64"/>
      </patternFill>
    </fill>
    <fill>
      <patternFill patternType="lightGray">
        <fgColor theme="5" tint="0.59996337778862885"/>
        <bgColor theme="9" tint="0.59999389629810485"/>
      </patternFill>
    </fill>
    <fill>
      <patternFill patternType="solid">
        <fgColor theme="8" tint="0.79998168889431442"/>
        <bgColor indexed="64"/>
      </patternFill>
    </fill>
    <fill>
      <patternFill patternType="solid">
        <fgColor theme="1" tint="0.499984740745262"/>
        <bgColor auto="1"/>
      </patternFill>
    </fill>
    <fill>
      <gradientFill degree="90">
        <stop position="0">
          <color theme="8" tint="0.80001220740379042"/>
        </stop>
        <stop position="0.5">
          <color theme="4" tint="0.59999389629810485"/>
        </stop>
        <stop position="1">
          <color theme="8" tint="0.80001220740379042"/>
        </stop>
      </gradientFill>
    </fill>
    <fill>
      <patternFill patternType="solid">
        <fgColor theme="2"/>
        <bgColor indexed="64"/>
      </patternFill>
    </fill>
    <fill>
      <patternFill patternType="solid">
        <fgColor rgb="FF002060"/>
        <bgColor indexed="64"/>
      </patternFill>
    </fill>
  </fills>
  <borders count="2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rgb="FFC00000"/>
      </left>
      <right style="thin">
        <color rgb="FFC00000"/>
      </right>
      <top style="thin">
        <color rgb="FFC00000"/>
      </top>
      <bottom style="double">
        <color rgb="FFC00000"/>
      </bottom>
      <diagonal/>
    </border>
    <border>
      <left style="thin">
        <color rgb="FFC00000"/>
      </left>
      <right style="thin">
        <color rgb="FFC00000"/>
      </right>
      <top style="thin">
        <color rgb="FFC00000"/>
      </top>
      <bottom style="medium">
        <color rgb="FFC00000"/>
      </bottom>
      <diagonal/>
    </border>
    <border>
      <left style="thin">
        <color theme="0" tint="-0.34998626667073579"/>
      </left>
      <right style="thin">
        <color theme="2" tint="-0.24994659260841701"/>
      </right>
      <top/>
      <bottom style="thin">
        <color theme="2" tint="-0.24994659260841701"/>
      </bottom>
      <diagonal/>
    </border>
    <border>
      <left style="thin">
        <color theme="2" tint="-0.24994659260841701"/>
      </left>
      <right style="thin">
        <color theme="2" tint="-0.24994659260841701"/>
      </right>
      <top/>
      <bottom style="thin">
        <color theme="2" tint="-0.24994659260841701"/>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bottom style="thin">
        <color theme="0" tint="-0.34998626667073579"/>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theme="0" tint="-0.34998626667073579"/>
      </left>
      <right style="thin">
        <color theme="2" tint="-0.24994659260841701"/>
      </right>
      <top style="thin">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style="thin">
        <color theme="2" tint="-0.24994659260841701"/>
      </right>
      <top style="thin">
        <color theme="2" tint="-0.24994659260841701"/>
      </top>
      <bottom style="thin">
        <color theme="0" tint="-0.34998626667073579"/>
      </bottom>
      <diagonal/>
    </border>
    <border>
      <left style="thin">
        <color theme="2" tint="-0.24994659260841701"/>
      </left>
      <right style="thin">
        <color theme="2" tint="-0.24994659260841701"/>
      </right>
      <top style="thin">
        <color theme="2" tint="-0.24994659260841701"/>
      </top>
      <bottom style="thin">
        <color theme="0" tint="-0.34998626667073579"/>
      </bottom>
      <diagonal/>
    </border>
    <border>
      <left style="double">
        <color rgb="FFFFFF00"/>
      </left>
      <right style="double">
        <color rgb="FFFFFF00"/>
      </right>
      <top style="double">
        <color rgb="FFFFFF00"/>
      </top>
      <bottom style="double">
        <color rgb="FFFFFF00"/>
      </bottom>
      <diagonal/>
    </border>
    <border>
      <left style="double">
        <color rgb="FFFFFF00"/>
      </left>
      <right style="double">
        <color rgb="FFFFFF00"/>
      </right>
      <top/>
      <bottom style="double">
        <color rgb="FFFFFF00"/>
      </bottom>
      <diagonal/>
    </border>
  </borders>
  <cellStyleXfs count="6">
    <xf numFmtId="0" fontId="0" fillId="0" borderId="0"/>
    <xf numFmtId="43" fontId="1" fillId="0" borderId="0" applyFont="0" applyFill="0" applyBorder="0" applyAlignment="0" applyProtection="0"/>
    <xf numFmtId="44" fontId="1" fillId="0" borderId="0" applyFont="0" applyFill="0" applyBorder="0" applyAlignment="0" applyProtection="0"/>
    <xf numFmtId="9" fontId="1" fillId="0" borderId="0" applyFont="0" applyFill="0" applyBorder="0" applyAlignment="0" applyProtection="0"/>
    <xf numFmtId="43" fontId="1" fillId="0" borderId="0" applyFont="0" applyFill="0" applyBorder="0" applyAlignment="0" applyProtection="0"/>
    <xf numFmtId="0" fontId="17" fillId="0" borderId="0"/>
  </cellStyleXfs>
  <cellXfs count="370">
    <xf numFmtId="0" fontId="0" fillId="0" borderId="0" xfId="0"/>
    <xf numFmtId="0" fontId="2" fillId="0" borderId="0" xfId="0" applyFont="1" applyAlignment="1">
      <alignment horizontal="left" vertical="center" wrapText="1"/>
    </xf>
    <xf numFmtId="0" fontId="2" fillId="0" borderId="0" xfId="0" applyFont="1" applyAlignment="1">
      <alignment horizontal="center" vertical="center" wrapText="1"/>
    </xf>
    <xf numFmtId="0" fontId="3" fillId="0" borderId="0" xfId="0" applyFont="1" applyAlignment="1">
      <alignment horizontal="left" vertical="center" wrapText="1" indent="1"/>
    </xf>
    <xf numFmtId="43" fontId="2" fillId="0" borderId="0" xfId="1" applyFont="1" applyAlignment="1">
      <alignment horizontal="left" vertical="center" wrapText="1"/>
    </xf>
    <xf numFmtId="0" fontId="2" fillId="2" borderId="0" xfId="0" applyFont="1" applyFill="1" applyAlignment="1">
      <alignment horizontal="left" vertical="center" wrapText="1"/>
    </xf>
    <xf numFmtId="0" fontId="2" fillId="0" borderId="1" xfId="1" applyNumberFormat="1" applyFont="1" applyBorder="1" applyAlignment="1">
      <alignment horizontal="right" vertical="center" wrapText="1"/>
    </xf>
    <xf numFmtId="0" fontId="4" fillId="3" borderId="1" xfId="0" applyFont="1" applyFill="1" applyBorder="1" applyAlignment="1">
      <alignment vertical="center" wrapText="1"/>
    </xf>
    <xf numFmtId="9" fontId="2" fillId="0" borderId="0" xfId="0" applyNumberFormat="1" applyFont="1" applyAlignment="1">
      <alignment horizontal="left" vertical="center" wrapText="1"/>
    </xf>
    <xf numFmtId="164" fontId="2" fillId="2" borderId="0" xfId="0" applyNumberFormat="1" applyFont="1" applyFill="1" applyAlignment="1">
      <alignment horizontal="left" vertical="center" wrapText="1"/>
    </xf>
    <xf numFmtId="164" fontId="2" fillId="2" borderId="0" xfId="0" applyNumberFormat="1" applyFont="1" applyFill="1" applyAlignment="1">
      <alignment horizontal="center" vertical="center" wrapText="1"/>
    </xf>
    <xf numFmtId="43" fontId="2" fillId="2" borderId="0" xfId="1" applyFont="1" applyFill="1" applyAlignment="1">
      <alignment horizontal="left" vertical="center" wrapText="1"/>
    </xf>
    <xf numFmtId="0" fontId="2" fillId="0" borderId="0" xfId="0" applyFont="1" applyAlignment="1" applyProtection="1">
      <alignment horizontal="left" vertical="center" wrapText="1"/>
      <protection hidden="1"/>
    </xf>
    <xf numFmtId="164" fontId="2" fillId="0" borderId="0" xfId="0" applyNumberFormat="1" applyFont="1" applyAlignment="1">
      <alignment horizontal="left" vertical="center" wrapText="1"/>
    </xf>
    <xf numFmtId="164" fontId="2" fillId="0" borderId="0" xfId="0" applyNumberFormat="1" applyFont="1" applyAlignment="1">
      <alignment horizontal="center" vertical="center" wrapText="1"/>
    </xf>
    <xf numFmtId="0" fontId="4" fillId="0" borderId="1" xfId="0" applyFont="1" applyBorder="1" applyAlignment="1">
      <alignment vertical="center" wrapText="1"/>
    </xf>
    <xf numFmtId="0" fontId="5" fillId="0" borderId="2" xfId="0" applyFont="1" applyBorder="1" applyAlignment="1">
      <alignment horizontal="left" vertical="center" wrapText="1"/>
    </xf>
    <xf numFmtId="10" fontId="2" fillId="0" borderId="0" xfId="0" applyNumberFormat="1" applyFont="1" applyAlignment="1">
      <alignment horizontal="left" vertical="center" wrapText="1"/>
    </xf>
    <xf numFmtId="0" fontId="2" fillId="4" borderId="0" xfId="0" applyFont="1" applyFill="1" applyAlignment="1">
      <alignment horizontal="left" vertical="center" wrapText="1"/>
    </xf>
    <xf numFmtId="0" fontId="4" fillId="0" borderId="0" xfId="0" applyFont="1" applyAlignment="1">
      <alignment horizontal="left" vertical="center" wrapText="1"/>
    </xf>
    <xf numFmtId="0" fontId="5" fillId="0" borderId="0" xfId="0" applyFont="1" applyAlignment="1">
      <alignment horizontal="left" vertical="center" wrapText="1"/>
    </xf>
    <xf numFmtId="43" fontId="6" fillId="0" borderId="0" xfId="1" applyFont="1" applyBorder="1" applyAlignment="1">
      <alignment horizontal="left" vertical="center" wrapText="1"/>
    </xf>
    <xf numFmtId="43" fontId="2" fillId="0" borderId="0" xfId="1" applyFont="1" applyBorder="1" applyAlignment="1">
      <alignment horizontal="left" vertical="center" wrapText="1"/>
    </xf>
    <xf numFmtId="0" fontId="7" fillId="5" borderId="1" xfId="0" applyFont="1" applyFill="1" applyBorder="1" applyAlignment="1">
      <alignment horizontal="center" vertical="center" wrapText="1"/>
    </xf>
    <xf numFmtId="0" fontId="8" fillId="6" borderId="1" xfId="0" applyFont="1" applyFill="1" applyBorder="1" applyAlignment="1">
      <alignment horizontal="center" vertical="center" wrapText="1"/>
    </xf>
    <xf numFmtId="0" fontId="8" fillId="7" borderId="1" xfId="0" applyFont="1" applyFill="1" applyBorder="1" applyAlignment="1">
      <alignment horizontal="center" vertical="center" wrapText="1"/>
    </xf>
    <xf numFmtId="0" fontId="8" fillId="8" borderId="1" xfId="0" applyFont="1" applyFill="1" applyBorder="1" applyAlignment="1">
      <alignment horizontal="center" vertical="center" wrapText="1"/>
    </xf>
    <xf numFmtId="0" fontId="2" fillId="9" borderId="0" xfId="0" applyFont="1" applyFill="1" applyAlignment="1">
      <alignment horizontal="left" vertical="center" wrapText="1"/>
    </xf>
    <xf numFmtId="44" fontId="9" fillId="10" borderId="1" xfId="0" applyNumberFormat="1" applyFont="1" applyFill="1" applyBorder="1" applyAlignment="1" applyProtection="1">
      <alignment horizontal="center" wrapText="1"/>
      <protection locked="0"/>
    </xf>
    <xf numFmtId="165" fontId="10" fillId="10" borderId="3" xfId="1" applyNumberFormat="1" applyFont="1" applyFill="1" applyBorder="1" applyAlignment="1" applyProtection="1">
      <alignment vertical="center" wrapText="1"/>
      <protection locked="0"/>
    </xf>
    <xf numFmtId="43" fontId="11" fillId="11" borderId="1" xfId="0" applyNumberFormat="1" applyFont="1" applyFill="1" applyBorder="1" applyAlignment="1" applyProtection="1">
      <alignment horizontal="right" vertical="center" wrapText="1"/>
      <protection locked="0"/>
    </xf>
    <xf numFmtId="165" fontId="10" fillId="11" borderId="3" xfId="1" applyNumberFormat="1" applyFont="1" applyFill="1" applyBorder="1" applyAlignment="1" applyProtection="1">
      <alignment vertical="center" wrapText="1"/>
      <protection locked="0"/>
    </xf>
    <xf numFmtId="43" fontId="11" fillId="12" borderId="1" xfId="0" applyNumberFormat="1" applyFont="1" applyFill="1" applyBorder="1" applyAlignment="1" applyProtection="1">
      <alignment horizontal="right" vertical="center" wrapText="1"/>
      <protection locked="0"/>
    </xf>
    <xf numFmtId="0" fontId="10" fillId="12" borderId="2" xfId="1" applyNumberFormat="1" applyFont="1" applyFill="1" applyBorder="1" applyAlignment="1" applyProtection="1">
      <alignment horizontal="center" vertical="center" wrapText="1"/>
      <protection locked="0"/>
    </xf>
    <xf numFmtId="0" fontId="2" fillId="9" borderId="1" xfId="0" applyFont="1" applyFill="1" applyBorder="1" applyAlignment="1">
      <alignment horizontal="left" vertical="center" wrapText="1"/>
    </xf>
    <xf numFmtId="0" fontId="12" fillId="13" borderId="1" xfId="0" applyFont="1" applyFill="1" applyBorder="1" applyAlignment="1">
      <alignment horizontal="center" vertical="center" wrapText="1"/>
    </xf>
    <xf numFmtId="0" fontId="2" fillId="14" borderId="4" xfId="0" applyFont="1" applyFill="1" applyBorder="1" applyAlignment="1">
      <alignment horizontal="left" vertical="center" wrapText="1"/>
    </xf>
    <xf numFmtId="0" fontId="2" fillId="0" borderId="1" xfId="0" applyFont="1" applyBorder="1" applyAlignment="1">
      <alignment horizontal="left" vertical="center" wrapText="1"/>
    </xf>
    <xf numFmtId="0" fontId="12" fillId="13" borderId="1" xfId="0" applyFont="1" applyFill="1" applyBorder="1" applyAlignment="1">
      <alignment horizontal="center" vertical="center" wrapText="1"/>
    </xf>
    <xf numFmtId="43" fontId="6" fillId="9" borderId="1" xfId="1" applyFont="1" applyFill="1" applyBorder="1" applyAlignment="1">
      <alignment horizontal="center" vertical="center" wrapText="1"/>
    </xf>
    <xf numFmtId="0" fontId="2" fillId="9" borderId="1" xfId="0" applyFont="1" applyFill="1" applyBorder="1" applyAlignment="1">
      <alignment horizontal="center" vertical="center" wrapText="1"/>
    </xf>
    <xf numFmtId="0" fontId="13" fillId="7" borderId="1" xfId="0" applyFont="1" applyFill="1" applyBorder="1" applyAlignment="1">
      <alignment horizontal="center" vertical="center" wrapText="1"/>
    </xf>
    <xf numFmtId="0" fontId="14" fillId="4" borderId="1" xfId="0" applyFont="1" applyFill="1" applyBorder="1" applyAlignment="1">
      <alignment horizontal="center" vertical="center" wrapText="1"/>
    </xf>
    <xf numFmtId="43" fontId="2" fillId="9" borderId="5" xfId="1" applyFont="1" applyFill="1" applyBorder="1" applyAlignment="1">
      <alignment horizontal="center" vertical="center" wrapText="1"/>
    </xf>
    <xf numFmtId="43" fontId="2" fillId="9" borderId="2" xfId="1" applyFont="1" applyFill="1" applyBorder="1" applyAlignment="1">
      <alignment horizontal="center" vertical="center" wrapText="1"/>
    </xf>
    <xf numFmtId="0" fontId="13" fillId="15" borderId="1" xfId="0" applyFont="1" applyFill="1" applyBorder="1" applyAlignment="1">
      <alignment horizontal="center" vertical="center" wrapText="1"/>
    </xf>
    <xf numFmtId="0" fontId="15" fillId="9" borderId="1" xfId="1" applyNumberFormat="1" applyFont="1" applyFill="1" applyBorder="1" applyAlignment="1">
      <alignment horizontal="center" vertical="center" wrapText="1"/>
    </xf>
    <xf numFmtId="0" fontId="6" fillId="0" borderId="0" xfId="1" applyNumberFormat="1" applyFont="1" applyBorder="1" applyAlignment="1">
      <alignment horizontal="center" vertical="center" wrapText="1"/>
    </xf>
    <xf numFmtId="0" fontId="2" fillId="0" borderId="1" xfId="0" applyFont="1" applyBorder="1" applyAlignment="1">
      <alignment horizontal="center" vertical="center" wrapText="1"/>
    </xf>
    <xf numFmtId="0" fontId="2" fillId="16" borderId="0" xfId="0" applyFont="1" applyFill="1" applyAlignment="1">
      <alignment horizontal="left" vertical="center" wrapText="1"/>
    </xf>
    <xf numFmtId="0" fontId="13" fillId="7" borderId="0" xfId="0" applyFont="1" applyFill="1" applyAlignment="1">
      <alignment horizontal="center" vertical="center" wrapText="1"/>
    </xf>
    <xf numFmtId="0" fontId="15" fillId="9" borderId="0" xfId="1" applyNumberFormat="1" applyFont="1" applyFill="1" applyBorder="1" applyAlignment="1">
      <alignment horizontal="center" vertical="center" wrapText="1"/>
    </xf>
    <xf numFmtId="43" fontId="2" fillId="0" borderId="1" xfId="1" applyFont="1" applyBorder="1" applyAlignment="1">
      <alignment horizontal="left" vertical="center" wrapText="1"/>
    </xf>
    <xf numFmtId="0" fontId="6" fillId="0" borderId="1" xfId="1" applyNumberFormat="1" applyFont="1" applyBorder="1" applyAlignment="1">
      <alignment horizontal="center" vertical="center" wrapText="1"/>
    </xf>
    <xf numFmtId="164" fontId="2" fillId="9" borderId="1" xfId="0" applyNumberFormat="1" applyFont="1" applyFill="1" applyBorder="1" applyAlignment="1">
      <alignment horizontal="left" vertical="center" wrapText="1"/>
    </xf>
    <xf numFmtId="164" fontId="13" fillId="9" borderId="4" xfId="0" applyNumberFormat="1" applyFont="1" applyFill="1" applyBorder="1" applyAlignment="1">
      <alignment horizontal="center" vertical="center" wrapText="1"/>
    </xf>
    <xf numFmtId="166" fontId="13" fillId="9" borderId="4" xfId="0" applyNumberFormat="1" applyFont="1" applyFill="1" applyBorder="1" applyAlignment="1">
      <alignment horizontal="center" vertical="center" wrapText="1"/>
    </xf>
    <xf numFmtId="166" fontId="13" fillId="17" borderId="6" xfId="0" applyNumberFormat="1" applyFont="1" applyFill="1" applyBorder="1" applyAlignment="1">
      <alignment vertical="center" wrapText="1"/>
    </xf>
    <xf numFmtId="0" fontId="2" fillId="17" borderId="4" xfId="0" applyFont="1" applyFill="1" applyBorder="1" applyAlignment="1">
      <alignment horizontal="center" vertical="center" wrapText="1"/>
    </xf>
    <xf numFmtId="166" fontId="13" fillId="17" borderId="7" xfId="0" applyNumberFormat="1" applyFont="1" applyFill="1" applyBorder="1" applyAlignment="1">
      <alignment vertical="center" wrapText="1"/>
    </xf>
    <xf numFmtId="166" fontId="13" fillId="17" borderId="7" xfId="0" applyNumberFormat="1" applyFont="1" applyFill="1" applyBorder="1" applyAlignment="1">
      <alignment horizontal="center" vertical="center" wrapText="1"/>
    </xf>
    <xf numFmtId="0" fontId="13" fillId="17" borderId="7" xfId="0" applyFont="1" applyFill="1" applyBorder="1" applyAlignment="1">
      <alignment vertical="center" wrapText="1"/>
    </xf>
    <xf numFmtId="166" fontId="16" fillId="17" borderId="7" xfId="0" applyNumberFormat="1" applyFont="1" applyFill="1" applyBorder="1" applyAlignment="1">
      <alignment horizontal="left" vertical="center" wrapText="1" indent="1"/>
    </xf>
    <xf numFmtId="43" fontId="2" fillId="17" borderId="7" xfId="1" applyFont="1" applyFill="1" applyBorder="1" applyAlignment="1" applyProtection="1">
      <alignment vertical="center" wrapText="1"/>
    </xf>
    <xf numFmtId="167" fontId="2" fillId="17" borderId="7" xfId="4" applyNumberFormat="1" applyFont="1" applyFill="1" applyBorder="1" applyAlignment="1" applyProtection="1">
      <alignment vertical="center" wrapText="1"/>
    </xf>
    <xf numFmtId="167" fontId="2" fillId="17" borderId="7" xfId="4" applyNumberFormat="1" applyFont="1" applyFill="1" applyBorder="1" applyAlignment="1" applyProtection="1">
      <alignment vertical="center" wrapText="1"/>
      <protection hidden="1"/>
    </xf>
    <xf numFmtId="0" fontId="13" fillId="17" borderId="7" xfId="0" applyFont="1" applyFill="1" applyBorder="1" applyAlignment="1">
      <alignment horizontal="center" vertical="center" wrapText="1"/>
    </xf>
    <xf numFmtId="168" fontId="13" fillId="18" borderId="4" xfId="5" applyNumberFormat="1" applyFont="1" applyFill="1" applyBorder="1" applyAlignment="1" applyProtection="1">
      <alignment horizontal="center" vertical="center" wrapText="1" shrinkToFit="1"/>
      <protection hidden="1"/>
    </xf>
    <xf numFmtId="0" fontId="2" fillId="17" borderId="7" xfId="4" applyNumberFormat="1" applyFont="1" applyFill="1" applyBorder="1" applyAlignment="1" applyProtection="1">
      <alignment horizontal="center" vertical="center" wrapText="1"/>
    </xf>
    <xf numFmtId="43" fontId="3" fillId="17" borderId="4" xfId="1" applyFont="1" applyFill="1" applyBorder="1" applyAlignment="1" applyProtection="1">
      <alignment horizontal="center" vertical="center" wrapText="1"/>
    </xf>
    <xf numFmtId="0" fontId="2" fillId="17" borderId="7" xfId="0" applyFont="1" applyFill="1" applyBorder="1" applyAlignment="1">
      <alignment vertical="center" wrapText="1"/>
    </xf>
    <xf numFmtId="0" fontId="2" fillId="17" borderId="8" xfId="0" applyFont="1" applyFill="1" applyBorder="1" applyAlignment="1">
      <alignment vertical="center" wrapText="1"/>
    </xf>
    <xf numFmtId="0" fontId="2" fillId="0" borderId="4" xfId="0" applyFont="1" applyBorder="1" applyAlignment="1">
      <alignment horizontal="center" vertical="center" wrapText="1"/>
    </xf>
    <xf numFmtId="0" fontId="18" fillId="0" borderId="1" xfId="0" applyFont="1" applyBorder="1" applyAlignment="1">
      <alignment horizontal="left" vertical="center" wrapText="1"/>
    </xf>
    <xf numFmtId="164" fontId="18" fillId="14" borderId="1" xfId="0" applyNumberFormat="1" applyFont="1" applyFill="1" applyBorder="1" applyAlignment="1">
      <alignment horizontal="center" vertical="center" textRotation="90" wrapText="1"/>
    </xf>
    <xf numFmtId="0" fontId="18" fillId="14" borderId="1" xfId="0" applyFont="1" applyFill="1" applyBorder="1" applyAlignment="1">
      <alignment horizontal="center" vertical="center" textRotation="90" wrapText="1"/>
    </xf>
    <xf numFmtId="164" fontId="18" fillId="14" borderId="5" xfId="0" applyNumberFormat="1" applyFont="1" applyFill="1" applyBorder="1" applyAlignment="1">
      <alignment horizontal="center" vertical="center" textRotation="90" wrapText="1"/>
    </xf>
    <xf numFmtId="164" fontId="18" fillId="14" borderId="9" xfId="0" applyNumberFormat="1" applyFont="1" applyFill="1" applyBorder="1" applyAlignment="1">
      <alignment horizontal="center" vertical="center" textRotation="90" wrapText="1"/>
    </xf>
    <xf numFmtId="0" fontId="18" fillId="17" borderId="9" xfId="0" applyFont="1" applyFill="1" applyBorder="1" applyAlignment="1">
      <alignment horizontal="center" vertical="center" textRotation="90" wrapText="1"/>
    </xf>
    <xf numFmtId="0" fontId="19" fillId="19" borderId="9" xfId="0" applyFont="1" applyFill="1" applyBorder="1" applyAlignment="1">
      <alignment horizontal="center" vertical="center" textRotation="90" wrapText="1"/>
    </xf>
    <xf numFmtId="0" fontId="18" fillId="20" borderId="9" xfId="0" applyFont="1" applyFill="1" applyBorder="1" applyAlignment="1">
      <alignment horizontal="center" vertical="center" textRotation="90" wrapText="1"/>
    </xf>
    <xf numFmtId="0" fontId="20" fillId="14" borderId="9" xfId="0" applyFont="1" applyFill="1" applyBorder="1" applyAlignment="1">
      <alignment horizontal="center" vertical="center" textRotation="90" wrapText="1"/>
    </xf>
    <xf numFmtId="0" fontId="20" fillId="14" borderId="9" xfId="0" applyFont="1" applyFill="1" applyBorder="1" applyAlignment="1">
      <alignment horizontal="center" vertical="center" wrapText="1"/>
    </xf>
    <xf numFmtId="0" fontId="18" fillId="14" borderId="9" xfId="0" applyFont="1" applyFill="1" applyBorder="1" applyAlignment="1">
      <alignment horizontal="center" vertical="center" textRotation="90" wrapText="1"/>
    </xf>
    <xf numFmtId="0" fontId="18" fillId="14" borderId="9" xfId="0" applyFont="1" applyFill="1" applyBorder="1" applyAlignment="1">
      <alignment horizontal="center" vertical="center" wrapText="1"/>
    </xf>
    <xf numFmtId="0" fontId="18" fillId="21" borderId="9" xfId="0" applyFont="1" applyFill="1" applyBorder="1" applyAlignment="1">
      <alignment horizontal="center" vertical="center" wrapText="1"/>
    </xf>
    <xf numFmtId="0" fontId="18" fillId="22" borderId="9" xfId="0" applyFont="1" applyFill="1" applyBorder="1" applyAlignment="1">
      <alignment horizontal="center" vertical="center" textRotation="90" wrapText="1"/>
    </xf>
    <xf numFmtId="43" fontId="18" fillId="23" borderId="9" xfId="1" applyFont="1" applyFill="1" applyBorder="1" applyAlignment="1">
      <alignment horizontal="center" vertical="center" wrapText="1"/>
    </xf>
    <xf numFmtId="0" fontId="18" fillId="24" borderId="9" xfId="0" applyFont="1" applyFill="1" applyBorder="1" applyAlignment="1">
      <alignment horizontal="center" vertical="center" wrapText="1"/>
    </xf>
    <xf numFmtId="0" fontId="18" fillId="24" borderId="9" xfId="0" applyFont="1" applyFill="1" applyBorder="1" applyAlignment="1">
      <alignment horizontal="center" vertical="center" textRotation="90" wrapText="1"/>
    </xf>
    <xf numFmtId="0" fontId="20" fillId="25" borderId="9" xfId="0" applyFont="1" applyFill="1" applyBorder="1" applyAlignment="1">
      <alignment horizontal="center" vertical="center" textRotation="90" wrapText="1"/>
    </xf>
    <xf numFmtId="0" fontId="18" fillId="26" borderId="9" xfId="0" applyFont="1" applyFill="1" applyBorder="1" applyAlignment="1">
      <alignment horizontal="center" vertical="center" wrapText="1"/>
    </xf>
    <xf numFmtId="0" fontId="18" fillId="27" borderId="9" xfId="0" applyFont="1" applyFill="1" applyBorder="1" applyAlignment="1" applyProtection="1">
      <alignment horizontal="center" vertical="center" wrapText="1"/>
      <protection hidden="1"/>
    </xf>
    <xf numFmtId="0" fontId="18" fillId="28" borderId="9" xfId="0" applyFont="1" applyFill="1" applyBorder="1" applyAlignment="1">
      <alignment horizontal="center" vertical="center" textRotation="90" wrapText="1"/>
    </xf>
    <xf numFmtId="0" fontId="18" fillId="18" borderId="9" xfId="0" applyFont="1" applyFill="1" applyBorder="1" applyAlignment="1">
      <alignment horizontal="center" vertical="center" wrapText="1"/>
    </xf>
    <xf numFmtId="44" fontId="18" fillId="29" borderId="9" xfId="2" applyFont="1" applyFill="1" applyBorder="1" applyAlignment="1" applyProtection="1">
      <alignment horizontal="center" vertical="top" wrapText="1"/>
    </xf>
    <xf numFmtId="0" fontId="18" fillId="18" borderId="9" xfId="0" applyFont="1" applyFill="1" applyBorder="1" applyAlignment="1">
      <alignment horizontal="center" vertical="center" textRotation="90" wrapText="1"/>
    </xf>
    <xf numFmtId="0" fontId="21" fillId="30" borderId="10" xfId="0" applyFont="1" applyFill="1" applyBorder="1" applyAlignment="1">
      <alignment horizontal="center" vertical="center" textRotation="90" wrapText="1"/>
    </xf>
    <xf numFmtId="0" fontId="18" fillId="20" borderId="10" xfId="0" applyFont="1" applyFill="1" applyBorder="1" applyAlignment="1">
      <alignment horizontal="center" vertical="center" textRotation="90" wrapText="1"/>
    </xf>
    <xf numFmtId="0" fontId="19" fillId="19" borderId="10" xfId="0" applyFont="1" applyFill="1" applyBorder="1" applyAlignment="1">
      <alignment horizontal="center" vertical="center" textRotation="90" wrapText="1"/>
    </xf>
    <xf numFmtId="0" fontId="18" fillId="31" borderId="10" xfId="0" applyFont="1" applyFill="1" applyBorder="1" applyAlignment="1">
      <alignment horizontal="center" vertical="center" textRotation="90" wrapText="1"/>
    </xf>
    <xf numFmtId="0" fontId="18" fillId="32" borderId="10" xfId="0" applyFont="1" applyFill="1" applyBorder="1" applyAlignment="1">
      <alignment horizontal="center" vertical="center" wrapText="1"/>
    </xf>
    <xf numFmtId="169" fontId="18" fillId="32" borderId="10" xfId="5" applyNumberFormat="1" applyFont="1" applyFill="1" applyBorder="1" applyAlignment="1" applyProtection="1">
      <alignment horizontal="center" vertical="center" wrapText="1" shrinkToFit="1"/>
      <protection hidden="1"/>
    </xf>
    <xf numFmtId="170" fontId="18" fillId="32" borderId="10" xfId="5" applyNumberFormat="1" applyFont="1" applyFill="1" applyBorder="1" applyAlignment="1" applyProtection="1">
      <alignment horizontal="center" vertical="center" wrapText="1" shrinkToFit="1"/>
      <protection hidden="1"/>
    </xf>
    <xf numFmtId="171" fontId="18" fillId="33" borderId="10" xfId="5" applyNumberFormat="1" applyFont="1" applyFill="1" applyBorder="1" applyAlignment="1" applyProtection="1">
      <alignment horizontal="center" vertical="center" wrapText="1" shrinkToFit="1"/>
      <protection hidden="1"/>
    </xf>
    <xf numFmtId="172" fontId="18" fillId="33" borderId="10" xfId="5" applyNumberFormat="1" applyFont="1" applyFill="1" applyBorder="1" applyAlignment="1" applyProtection="1">
      <alignment horizontal="center" vertical="center" wrapText="1" shrinkToFit="1"/>
      <protection hidden="1"/>
    </xf>
    <xf numFmtId="173" fontId="18" fillId="33" borderId="10" xfId="5" applyNumberFormat="1" applyFont="1" applyFill="1" applyBorder="1" applyAlignment="1" applyProtection="1">
      <alignment horizontal="center" vertical="center" wrapText="1" shrinkToFit="1"/>
      <protection hidden="1"/>
    </xf>
    <xf numFmtId="174" fontId="18" fillId="33" borderId="10" xfId="5" applyNumberFormat="1" applyFont="1" applyFill="1" applyBorder="1" applyAlignment="1" applyProtection="1">
      <alignment horizontal="center" vertical="center" wrapText="1" shrinkToFit="1"/>
      <protection hidden="1"/>
    </xf>
    <xf numFmtId="1" fontId="2" fillId="34" borderId="10" xfId="0" applyNumberFormat="1" applyFont="1" applyFill="1" applyBorder="1" applyAlignment="1">
      <alignment horizontal="center" vertical="center" textRotation="90" wrapText="1"/>
    </xf>
    <xf numFmtId="1" fontId="2" fillId="10" borderId="10" xfId="0" applyNumberFormat="1" applyFont="1" applyFill="1" applyBorder="1" applyAlignment="1">
      <alignment horizontal="center" vertical="center" textRotation="90" wrapText="1"/>
    </xf>
    <xf numFmtId="0" fontId="2" fillId="18" borderId="10" xfId="0" applyFont="1" applyFill="1" applyBorder="1" applyAlignment="1">
      <alignment horizontal="center" vertical="center" textRotation="90" wrapText="1"/>
    </xf>
    <xf numFmtId="43" fontId="2" fillId="0" borderId="2" xfId="0" applyNumberFormat="1" applyFont="1" applyBorder="1" applyAlignment="1">
      <alignment horizontal="left" vertical="center" wrapText="1"/>
    </xf>
    <xf numFmtId="9" fontId="2" fillId="35" borderId="1" xfId="0" applyNumberFormat="1" applyFont="1" applyFill="1" applyBorder="1" applyAlignment="1">
      <alignment horizontal="left" vertical="center" wrapText="1"/>
    </xf>
    <xf numFmtId="0" fontId="2" fillId="36" borderId="0" xfId="0" applyFont="1" applyFill="1" applyAlignment="1">
      <alignment horizontal="left" vertical="center" wrapText="1"/>
    </xf>
    <xf numFmtId="0" fontId="22" fillId="37" borderId="1" xfId="0" applyFont="1" applyFill="1" applyBorder="1" applyAlignment="1" applyProtection="1">
      <alignment horizontal="center" vertical="center" wrapText="1" shrinkToFit="1"/>
      <protection locked="0"/>
    </xf>
    <xf numFmtId="0" fontId="22" fillId="24" borderId="1" xfId="0" applyFont="1" applyFill="1" applyBorder="1" applyAlignment="1">
      <alignment horizontal="center" vertical="center" wrapText="1"/>
    </xf>
    <xf numFmtId="0" fontId="22" fillId="37" borderId="5" xfId="0" applyFont="1" applyFill="1" applyBorder="1" applyAlignment="1" applyProtection="1">
      <alignment horizontal="center" vertical="center" wrapText="1"/>
      <protection locked="0"/>
    </xf>
    <xf numFmtId="0" fontId="22" fillId="24" borderId="11" xfId="0" applyFont="1" applyFill="1" applyBorder="1" applyAlignment="1" applyProtection="1">
      <alignment horizontal="center" vertical="center" wrapText="1"/>
      <protection locked="0"/>
    </xf>
    <xf numFmtId="0" fontId="22" fillId="24" borderId="12" xfId="0" applyFont="1" applyFill="1" applyBorder="1" applyAlignment="1" applyProtection="1">
      <alignment horizontal="center" vertical="center" wrapText="1"/>
      <protection locked="0"/>
    </xf>
    <xf numFmtId="0" fontId="22" fillId="37" borderId="12" xfId="0" applyFont="1" applyFill="1" applyBorder="1" applyAlignment="1">
      <alignment horizontal="center" vertical="center" wrapText="1"/>
    </xf>
    <xf numFmtId="0" fontId="22" fillId="37" borderId="12" xfId="0" applyFont="1" applyFill="1" applyBorder="1" applyAlignment="1" applyProtection="1">
      <alignment horizontal="center" vertical="center" wrapText="1"/>
      <protection locked="0"/>
    </xf>
    <xf numFmtId="0" fontId="23" fillId="37" borderId="12" xfId="0" applyFont="1" applyFill="1" applyBorder="1" applyAlignment="1">
      <alignment horizontal="center" vertical="center" wrapText="1"/>
    </xf>
    <xf numFmtId="0" fontId="22" fillId="24" borderId="12" xfId="0" applyFont="1" applyFill="1" applyBorder="1" applyAlignment="1" applyProtection="1">
      <alignment horizontal="center" vertical="center" wrapText="1" shrinkToFit="1"/>
      <protection locked="0"/>
    </xf>
    <xf numFmtId="0" fontId="22" fillId="37" borderId="12" xfId="0" applyFont="1" applyFill="1" applyBorder="1" applyAlignment="1" applyProtection="1">
      <alignment horizontal="center" vertical="center" wrapText="1" shrinkToFit="1"/>
      <protection locked="0"/>
    </xf>
    <xf numFmtId="43" fontId="22" fillId="37" borderId="12" xfId="0" applyNumberFormat="1" applyFont="1" applyFill="1" applyBorder="1" applyAlignment="1" applyProtection="1">
      <alignment horizontal="center" vertical="center" wrapText="1"/>
      <protection locked="0"/>
    </xf>
    <xf numFmtId="0" fontId="24" fillId="37" borderId="12" xfId="0" applyFont="1" applyFill="1" applyBorder="1" applyAlignment="1" applyProtection="1">
      <alignment horizontal="center" vertical="center" wrapText="1"/>
      <protection locked="0"/>
    </xf>
    <xf numFmtId="43" fontId="22" fillId="37" borderId="12" xfId="1" applyFont="1" applyFill="1" applyBorder="1" applyAlignment="1" applyProtection="1">
      <alignment horizontal="center" vertical="center" wrapText="1"/>
      <protection locked="0"/>
    </xf>
    <xf numFmtId="9" fontId="22" fillId="37" borderId="12" xfId="0" applyNumberFormat="1" applyFont="1" applyFill="1" applyBorder="1" applyAlignment="1" applyProtection="1">
      <alignment horizontal="center" vertical="center" wrapText="1"/>
      <protection locked="0"/>
    </xf>
    <xf numFmtId="9" fontId="22" fillId="37" borderId="12" xfId="3" applyFont="1" applyFill="1" applyBorder="1" applyAlignment="1" applyProtection="1">
      <alignment horizontal="center" vertical="center" wrapText="1"/>
      <protection locked="0"/>
    </xf>
    <xf numFmtId="9" fontId="22" fillId="25" borderId="12" xfId="3" applyFont="1" applyFill="1" applyBorder="1" applyAlignment="1" applyProtection="1">
      <alignment horizontal="center" vertical="center" wrapText="1"/>
      <protection locked="0"/>
    </xf>
    <xf numFmtId="43" fontId="22" fillId="37" borderId="12" xfId="4" applyFont="1" applyFill="1" applyBorder="1" applyAlignment="1" applyProtection="1">
      <alignment horizontal="center" vertical="center" wrapText="1"/>
    </xf>
    <xf numFmtId="43" fontId="22" fillId="37" borderId="12" xfId="0" applyNumberFormat="1" applyFont="1" applyFill="1" applyBorder="1" applyAlignment="1" applyProtection="1">
      <alignment horizontal="center" vertical="center" wrapText="1"/>
      <protection hidden="1"/>
    </xf>
    <xf numFmtId="0" fontId="22" fillId="38" borderId="12" xfId="0" applyFont="1" applyFill="1" applyBorder="1" applyAlignment="1" applyProtection="1">
      <alignment horizontal="center" vertical="center" wrapText="1"/>
      <protection locked="0"/>
    </xf>
    <xf numFmtId="43" fontId="22" fillId="37" borderId="12" xfId="1" applyFont="1" applyFill="1" applyBorder="1" applyAlignment="1" applyProtection="1">
      <alignment horizontal="center" vertical="center" wrapText="1"/>
    </xf>
    <xf numFmtId="44" fontId="22" fillId="37" borderId="12" xfId="2" applyFont="1" applyFill="1" applyBorder="1" applyAlignment="1" applyProtection="1">
      <alignment horizontal="center" vertical="center" wrapText="1"/>
    </xf>
    <xf numFmtId="175" fontId="22" fillId="39" borderId="13" xfId="0" applyNumberFormat="1" applyFont="1" applyFill="1" applyBorder="1" applyAlignment="1">
      <alignment horizontal="center" vertical="center" wrapText="1"/>
    </xf>
    <xf numFmtId="0" fontId="22" fillId="37" borderId="14" xfId="0" applyFont="1" applyFill="1" applyBorder="1" applyAlignment="1">
      <alignment horizontal="center" vertical="center" wrapText="1"/>
    </xf>
    <xf numFmtId="49" fontId="22" fillId="37" borderId="14" xfId="0" applyNumberFormat="1" applyFont="1" applyFill="1" applyBorder="1" applyAlignment="1" applyProtection="1">
      <alignment horizontal="center" vertical="center" wrapText="1"/>
      <protection locked="0"/>
    </xf>
    <xf numFmtId="43" fontId="22" fillId="37" borderId="15" xfId="0" applyNumberFormat="1" applyFont="1" applyFill="1" applyBorder="1" applyAlignment="1" applyProtection="1">
      <alignment horizontal="center" vertical="center" wrapText="1"/>
      <protection hidden="1"/>
    </xf>
    <xf numFmtId="43" fontId="22" fillId="37" borderId="16" xfId="0" applyNumberFormat="1" applyFont="1" applyFill="1" applyBorder="1" applyAlignment="1" applyProtection="1">
      <alignment horizontal="center" vertical="center" wrapText="1"/>
      <protection hidden="1"/>
    </xf>
    <xf numFmtId="43" fontId="22" fillId="37" borderId="16" xfId="4" applyFont="1" applyFill="1" applyBorder="1" applyAlignment="1" applyProtection="1">
      <alignment horizontal="center" vertical="center" wrapText="1"/>
      <protection hidden="1"/>
    </xf>
    <xf numFmtId="0" fontId="2" fillId="37" borderId="16" xfId="0" applyFont="1" applyFill="1" applyBorder="1" applyAlignment="1" applyProtection="1">
      <alignment horizontal="center" vertical="center" wrapText="1"/>
      <protection hidden="1"/>
    </xf>
    <xf numFmtId="43" fontId="2" fillId="24" borderId="16" xfId="1" applyFont="1" applyFill="1" applyBorder="1" applyAlignment="1" applyProtection="1">
      <alignment horizontal="center" vertical="center" wrapText="1"/>
      <protection hidden="1"/>
    </xf>
    <xf numFmtId="0" fontId="2" fillId="36" borderId="1" xfId="0" applyFont="1" applyFill="1" applyBorder="1" applyAlignment="1">
      <alignment horizontal="left" vertical="center" wrapText="1"/>
    </xf>
    <xf numFmtId="2" fontId="2" fillId="36" borderId="1" xfId="0" applyNumberFormat="1" applyFont="1" applyFill="1" applyBorder="1" applyAlignment="1">
      <alignment horizontal="left" vertical="center" wrapText="1"/>
    </xf>
    <xf numFmtId="2" fontId="2" fillId="36" borderId="0" xfId="0" applyNumberFormat="1" applyFont="1" applyFill="1" applyAlignment="1">
      <alignment horizontal="left" vertical="center" wrapText="1"/>
    </xf>
    <xf numFmtId="43" fontId="2" fillId="36" borderId="1" xfId="0" applyNumberFormat="1" applyFont="1" applyFill="1" applyBorder="1" applyAlignment="1">
      <alignment horizontal="left" vertical="center" wrapText="1"/>
    </xf>
    <xf numFmtId="43" fontId="2" fillId="36" borderId="0" xfId="0" applyNumberFormat="1" applyFont="1" applyFill="1" applyAlignment="1">
      <alignment horizontal="left" vertical="center" wrapText="1"/>
    </xf>
    <xf numFmtId="0" fontId="22" fillId="37" borderId="1" xfId="0" applyFont="1" applyFill="1" applyBorder="1" applyAlignment="1">
      <alignment horizontal="center" vertical="center" wrapText="1"/>
    </xf>
    <xf numFmtId="0" fontId="22" fillId="24" borderId="17" xfId="0" applyFont="1" applyFill="1" applyBorder="1" applyAlignment="1" applyProtection="1">
      <alignment horizontal="center" vertical="center" wrapText="1"/>
      <protection locked="0"/>
    </xf>
    <xf numFmtId="0" fontId="22" fillId="37" borderId="18" xfId="0" applyFont="1" applyFill="1" applyBorder="1" applyAlignment="1" applyProtection="1">
      <alignment horizontal="center" vertical="center" wrapText="1"/>
      <protection locked="0"/>
    </xf>
    <xf numFmtId="0" fontId="22" fillId="37" borderId="18" xfId="0" applyFont="1" applyFill="1" applyBorder="1" applyAlignment="1">
      <alignment horizontal="center" vertical="center" wrapText="1"/>
    </xf>
    <xf numFmtId="0" fontId="23" fillId="37" borderId="18" xfId="0" applyFont="1" applyFill="1" applyBorder="1" applyAlignment="1">
      <alignment horizontal="center" vertical="center" wrapText="1"/>
    </xf>
    <xf numFmtId="0" fontId="22" fillId="24" borderId="18" xfId="0" applyFont="1" applyFill="1" applyBorder="1" applyAlignment="1" applyProtection="1">
      <alignment horizontal="center" vertical="center" wrapText="1"/>
      <protection locked="0"/>
    </xf>
    <xf numFmtId="0" fontId="22" fillId="24" borderId="18" xfId="0" applyFont="1" applyFill="1" applyBorder="1" applyAlignment="1" applyProtection="1">
      <alignment horizontal="center" vertical="center" wrapText="1" shrinkToFit="1"/>
      <protection locked="0"/>
    </xf>
    <xf numFmtId="0" fontId="22" fillId="37" borderId="18" xfId="0" applyFont="1" applyFill="1" applyBorder="1" applyAlignment="1" applyProtection="1">
      <alignment horizontal="center" vertical="center" wrapText="1" shrinkToFit="1"/>
      <protection locked="0"/>
    </xf>
    <xf numFmtId="43" fontId="22" fillId="37" borderId="18" xfId="0" applyNumberFormat="1" applyFont="1" applyFill="1" applyBorder="1" applyAlignment="1" applyProtection="1">
      <alignment horizontal="center" vertical="center" wrapText="1"/>
      <protection locked="0"/>
    </xf>
    <xf numFmtId="0" fontId="22" fillId="37" borderId="18" xfId="0" applyFont="1" applyFill="1" applyBorder="1" applyAlignment="1" applyProtection="1">
      <alignment horizontal="left" vertical="center" wrapText="1"/>
      <protection locked="0"/>
    </xf>
    <xf numFmtId="0" fontId="24" fillId="37" borderId="18" xfId="0" applyFont="1" applyFill="1" applyBorder="1" applyAlignment="1" applyProtection="1">
      <alignment horizontal="center" vertical="center" wrapText="1"/>
      <protection locked="0"/>
    </xf>
    <xf numFmtId="43" fontId="22" fillId="37" borderId="18" xfId="1" applyFont="1" applyFill="1" applyBorder="1" applyAlignment="1" applyProtection="1">
      <alignment horizontal="center" vertical="center" wrapText="1"/>
      <protection locked="0"/>
    </xf>
    <xf numFmtId="43" fontId="22" fillId="37" borderId="18" xfId="1" applyFont="1" applyFill="1" applyBorder="1" applyAlignment="1" applyProtection="1">
      <alignment horizontal="center" vertical="center" wrapText="1"/>
    </xf>
    <xf numFmtId="9" fontId="22" fillId="37" borderId="18" xfId="0" applyNumberFormat="1" applyFont="1" applyFill="1" applyBorder="1" applyAlignment="1" applyProtection="1">
      <alignment horizontal="center" vertical="center" wrapText="1"/>
      <protection locked="0"/>
    </xf>
    <xf numFmtId="9" fontId="22" fillId="37" borderId="18" xfId="3" applyFont="1" applyFill="1" applyBorder="1" applyAlignment="1" applyProtection="1">
      <alignment horizontal="center" vertical="center" wrapText="1"/>
      <protection locked="0"/>
    </xf>
    <xf numFmtId="9" fontId="22" fillId="25" borderId="18" xfId="3" applyFont="1" applyFill="1" applyBorder="1" applyAlignment="1" applyProtection="1">
      <alignment horizontal="center" vertical="center" wrapText="1"/>
      <protection locked="0"/>
    </xf>
    <xf numFmtId="43" fontId="22" fillId="37" borderId="18" xfId="4" applyFont="1" applyFill="1" applyBorder="1" applyAlignment="1" applyProtection="1">
      <alignment horizontal="center" vertical="center" wrapText="1"/>
    </xf>
    <xf numFmtId="43" fontId="22" fillId="37" borderId="18" xfId="0" applyNumberFormat="1" applyFont="1" applyFill="1" applyBorder="1" applyAlignment="1" applyProtection="1">
      <alignment horizontal="center" vertical="center" wrapText="1"/>
      <protection hidden="1"/>
    </xf>
    <xf numFmtId="0" fontId="22" fillId="38" borderId="18" xfId="0" applyFont="1" applyFill="1" applyBorder="1" applyAlignment="1" applyProtection="1">
      <alignment horizontal="center" vertical="center" wrapText="1"/>
      <protection locked="0"/>
    </xf>
    <xf numFmtId="44" fontId="22" fillId="37" borderId="18" xfId="2" applyFont="1" applyFill="1" applyBorder="1" applyAlignment="1" applyProtection="1">
      <alignment horizontal="center" vertical="center" wrapText="1"/>
    </xf>
    <xf numFmtId="175" fontId="22" fillId="40" borderId="19" xfId="0" applyNumberFormat="1" applyFont="1" applyFill="1" applyBorder="1" applyAlignment="1">
      <alignment horizontal="center" vertical="center" wrapText="1"/>
    </xf>
    <xf numFmtId="0" fontId="22" fillId="37" borderId="20" xfId="0" applyFont="1" applyFill="1" applyBorder="1" applyAlignment="1">
      <alignment horizontal="center" vertical="center" wrapText="1"/>
    </xf>
    <xf numFmtId="49" fontId="22" fillId="37" borderId="20" xfId="0" applyNumberFormat="1" applyFont="1" applyFill="1" applyBorder="1" applyAlignment="1" applyProtection="1">
      <alignment horizontal="center" vertical="center" wrapText="1"/>
      <protection locked="0"/>
    </xf>
    <xf numFmtId="43" fontId="22" fillId="37" borderId="2" xfId="0" applyNumberFormat="1" applyFont="1" applyFill="1" applyBorder="1" applyAlignment="1" applyProtection="1">
      <alignment horizontal="center" vertical="center" wrapText="1"/>
      <protection hidden="1"/>
    </xf>
    <xf numFmtId="43" fontId="22" fillId="37" borderId="1" xfId="0" applyNumberFormat="1" applyFont="1" applyFill="1" applyBorder="1" applyAlignment="1" applyProtection="1">
      <alignment horizontal="center" vertical="center" wrapText="1"/>
      <protection hidden="1"/>
    </xf>
    <xf numFmtId="43" fontId="22" fillId="37" borderId="1" xfId="4" applyFont="1" applyFill="1" applyBorder="1" applyAlignment="1" applyProtection="1">
      <alignment horizontal="center" vertical="center" wrapText="1"/>
      <protection hidden="1"/>
    </xf>
    <xf numFmtId="0" fontId="2" fillId="37" borderId="1" xfId="0" applyFont="1" applyFill="1" applyBorder="1" applyAlignment="1" applyProtection="1">
      <alignment horizontal="center" vertical="center" wrapText="1"/>
      <protection hidden="1"/>
    </xf>
    <xf numFmtId="43" fontId="2" fillId="24" borderId="1" xfId="1" applyFont="1" applyFill="1" applyBorder="1" applyAlignment="1" applyProtection="1">
      <alignment horizontal="center" vertical="center" wrapText="1"/>
      <protection hidden="1"/>
    </xf>
    <xf numFmtId="0" fontId="12" fillId="16" borderId="0" xfId="0" applyFont="1" applyFill="1" applyAlignment="1">
      <alignment horizontal="left" vertical="center" wrapText="1"/>
    </xf>
    <xf numFmtId="2" fontId="12" fillId="16" borderId="0" xfId="0" applyNumberFormat="1" applyFont="1" applyFill="1" applyAlignment="1">
      <alignment horizontal="left" vertical="center" wrapText="1"/>
    </xf>
    <xf numFmtId="2" fontId="12" fillId="16" borderId="1" xfId="0" applyNumberFormat="1" applyFont="1" applyFill="1" applyBorder="1" applyAlignment="1">
      <alignment horizontal="left" vertical="center" wrapText="1"/>
    </xf>
    <xf numFmtId="0" fontId="12" fillId="16" borderId="1" xfId="0" applyFont="1" applyFill="1" applyBorder="1" applyAlignment="1">
      <alignment horizontal="left" vertical="center" wrapText="1"/>
    </xf>
    <xf numFmtId="43" fontId="12" fillId="16" borderId="1" xfId="0" applyNumberFormat="1" applyFont="1" applyFill="1" applyBorder="1" applyAlignment="1">
      <alignment horizontal="left" vertical="center" wrapText="1"/>
    </xf>
    <xf numFmtId="43" fontId="12" fillId="16" borderId="0" xfId="0" applyNumberFormat="1" applyFont="1" applyFill="1" applyAlignment="1">
      <alignment horizontal="left" vertical="center" wrapText="1"/>
    </xf>
    <xf numFmtId="0" fontId="2" fillId="41" borderId="0" xfId="0" applyFont="1" applyFill="1" applyAlignment="1">
      <alignment horizontal="left" vertical="center" wrapText="1"/>
    </xf>
    <xf numFmtId="175" fontId="22" fillId="39" borderId="19" xfId="0" applyNumberFormat="1" applyFont="1" applyFill="1" applyBorder="1" applyAlignment="1">
      <alignment horizontal="center" vertical="center" wrapText="1"/>
    </xf>
    <xf numFmtId="2" fontId="2" fillId="41" borderId="0" xfId="0" applyNumberFormat="1" applyFont="1" applyFill="1" applyAlignment="1">
      <alignment horizontal="left" vertical="center" wrapText="1"/>
    </xf>
    <xf numFmtId="2" fontId="2" fillId="41" borderId="1" xfId="0" applyNumberFormat="1" applyFont="1" applyFill="1" applyBorder="1" applyAlignment="1">
      <alignment horizontal="left" vertical="center" wrapText="1"/>
    </xf>
    <xf numFmtId="0" fontId="2" fillId="41" borderId="1" xfId="0" applyFont="1" applyFill="1" applyBorder="1" applyAlignment="1">
      <alignment horizontal="left" vertical="center" wrapText="1"/>
    </xf>
    <xf numFmtId="43" fontId="2" fillId="41" borderId="1" xfId="0" applyNumberFormat="1" applyFont="1" applyFill="1" applyBorder="1" applyAlignment="1">
      <alignment horizontal="left" vertical="center" wrapText="1"/>
    </xf>
    <xf numFmtId="43" fontId="2" fillId="41" borderId="0" xfId="0" applyNumberFormat="1" applyFont="1" applyFill="1" applyAlignment="1">
      <alignment horizontal="left" vertical="center" wrapText="1"/>
    </xf>
    <xf numFmtId="44" fontId="2" fillId="41" borderId="0" xfId="2" applyFont="1" applyFill="1" applyAlignment="1">
      <alignment horizontal="left" vertical="center" wrapText="1"/>
    </xf>
    <xf numFmtId="44" fontId="2" fillId="36" borderId="0" xfId="2" applyFont="1" applyFill="1" applyAlignment="1">
      <alignment horizontal="left" vertical="center" wrapText="1"/>
    </xf>
    <xf numFmtId="43" fontId="22" fillId="37" borderId="18" xfId="4" applyFont="1" applyFill="1" applyBorder="1" applyAlignment="1" applyProtection="1">
      <alignment horizontal="center" vertical="center" wrapText="1"/>
      <protection hidden="1"/>
    </xf>
    <xf numFmtId="0" fontId="2" fillId="36" borderId="0" xfId="0" applyFont="1" applyFill="1" applyAlignment="1">
      <alignment horizontal="center" vertical="center" wrapText="1"/>
    </xf>
    <xf numFmtId="2" fontId="2" fillId="36" borderId="0" xfId="0" applyNumberFormat="1" applyFont="1" applyFill="1" applyAlignment="1">
      <alignment horizontal="center" vertical="center" wrapText="1"/>
    </xf>
    <xf numFmtId="0" fontId="12" fillId="42" borderId="0" xfId="0" applyFont="1" applyFill="1" applyAlignment="1">
      <alignment horizontal="left" vertical="center" wrapText="1"/>
    </xf>
    <xf numFmtId="2" fontId="12" fillId="42" borderId="0" xfId="0" applyNumberFormat="1" applyFont="1" applyFill="1" applyAlignment="1">
      <alignment horizontal="left" vertical="center" wrapText="1"/>
    </xf>
    <xf numFmtId="2" fontId="12" fillId="42" borderId="1" xfId="0" applyNumberFormat="1" applyFont="1" applyFill="1" applyBorder="1" applyAlignment="1">
      <alignment horizontal="left" vertical="center" wrapText="1"/>
    </xf>
    <xf numFmtId="0" fontId="12" fillId="42" borderId="1" xfId="0" applyFont="1" applyFill="1" applyBorder="1" applyAlignment="1">
      <alignment horizontal="left" vertical="center" wrapText="1"/>
    </xf>
    <xf numFmtId="43" fontId="12" fillId="42" borderId="1" xfId="0" applyNumberFormat="1" applyFont="1" applyFill="1" applyBorder="1" applyAlignment="1">
      <alignment horizontal="left" vertical="center" wrapText="1"/>
    </xf>
    <xf numFmtId="43" fontId="12" fillId="42" borderId="0" xfId="0" applyNumberFormat="1" applyFont="1" applyFill="1" applyAlignment="1">
      <alignment horizontal="left" vertical="center" wrapText="1"/>
    </xf>
    <xf numFmtId="44" fontId="12" fillId="42" borderId="0" xfId="2" applyFont="1" applyFill="1" applyAlignment="1">
      <alignment horizontal="left" vertical="center" wrapText="1"/>
    </xf>
    <xf numFmtId="0" fontId="22" fillId="24" borderId="18" xfId="0" applyFont="1" applyFill="1" applyBorder="1" applyAlignment="1" applyProtection="1">
      <alignment horizontal="left" vertical="center" wrapText="1"/>
      <protection locked="0"/>
    </xf>
    <xf numFmtId="9" fontId="22" fillId="43" borderId="18" xfId="0" applyNumberFormat="1" applyFont="1" applyFill="1" applyBorder="1" applyAlignment="1" applyProtection="1">
      <alignment horizontal="center" vertical="center" wrapText="1"/>
      <protection locked="0"/>
    </xf>
    <xf numFmtId="0" fontId="12" fillId="44" borderId="0" xfId="0" applyFont="1" applyFill="1" applyAlignment="1">
      <alignment horizontal="left" vertical="center" wrapText="1"/>
    </xf>
    <xf numFmtId="2" fontId="12" fillId="44" borderId="0" xfId="0" applyNumberFormat="1" applyFont="1" applyFill="1" applyAlignment="1">
      <alignment horizontal="left" vertical="center" wrapText="1"/>
    </xf>
    <xf numFmtId="2" fontId="12" fillId="44" borderId="1" xfId="0" applyNumberFormat="1" applyFont="1" applyFill="1" applyBorder="1" applyAlignment="1">
      <alignment horizontal="left" vertical="center" wrapText="1"/>
    </xf>
    <xf numFmtId="0" fontId="12" fillId="44" borderId="1" xfId="0" applyFont="1" applyFill="1" applyBorder="1" applyAlignment="1">
      <alignment horizontal="left" vertical="center" wrapText="1"/>
    </xf>
    <xf numFmtId="43" fontId="12" fillId="44" borderId="1" xfId="0" applyNumberFormat="1" applyFont="1" applyFill="1" applyBorder="1" applyAlignment="1">
      <alignment horizontal="left" vertical="center" wrapText="1"/>
    </xf>
    <xf numFmtId="43" fontId="12" fillId="44" borderId="0" xfId="0" applyNumberFormat="1" applyFont="1" applyFill="1" applyAlignment="1">
      <alignment horizontal="left" vertical="center" wrapText="1"/>
    </xf>
    <xf numFmtId="44" fontId="12" fillId="44" borderId="0" xfId="2" applyFont="1" applyFill="1" applyAlignment="1">
      <alignment horizontal="left" vertical="center" wrapText="1"/>
    </xf>
    <xf numFmtId="0" fontId="2" fillId="6" borderId="0" xfId="0" applyFont="1" applyFill="1" applyAlignment="1">
      <alignment horizontal="left" vertical="center" wrapText="1"/>
    </xf>
    <xf numFmtId="43" fontId="24" fillId="37" borderId="18" xfId="1" applyFont="1" applyFill="1" applyBorder="1" applyAlignment="1" applyProtection="1">
      <alignment horizontal="center" vertical="center" wrapText="1"/>
      <protection locked="0"/>
    </xf>
    <xf numFmtId="0" fontId="2" fillId="44" borderId="0" xfId="0" applyFont="1" applyFill="1" applyAlignment="1">
      <alignment horizontal="left" vertical="center" wrapText="1"/>
    </xf>
    <xf numFmtId="2" fontId="2" fillId="44" borderId="0" xfId="0" applyNumberFormat="1" applyFont="1" applyFill="1" applyAlignment="1">
      <alignment horizontal="left" vertical="center" wrapText="1"/>
    </xf>
    <xf numFmtId="2" fontId="2" fillId="44" borderId="1" xfId="0" applyNumberFormat="1" applyFont="1" applyFill="1" applyBorder="1" applyAlignment="1">
      <alignment horizontal="left" vertical="center" wrapText="1"/>
    </xf>
    <xf numFmtId="0" fontId="2" fillId="44" borderId="1" xfId="0" applyFont="1" applyFill="1" applyBorder="1" applyAlignment="1">
      <alignment horizontal="left" vertical="center" wrapText="1"/>
    </xf>
    <xf numFmtId="43" fontId="2" fillId="44" borderId="1" xfId="0" applyNumberFormat="1" applyFont="1" applyFill="1" applyBorder="1" applyAlignment="1">
      <alignment horizontal="left" vertical="center" wrapText="1"/>
    </xf>
    <xf numFmtId="43" fontId="2" fillId="44" borderId="0" xfId="0" applyNumberFormat="1" applyFont="1" applyFill="1" applyAlignment="1">
      <alignment horizontal="left" vertical="center" wrapText="1"/>
    </xf>
    <xf numFmtId="44" fontId="2" fillId="44" borderId="0" xfId="2" applyFont="1" applyFill="1" applyAlignment="1">
      <alignment horizontal="left" vertical="center" wrapText="1"/>
    </xf>
    <xf numFmtId="44" fontId="12" fillId="16" borderId="0" xfId="2" applyFont="1" applyFill="1" applyAlignment="1">
      <alignment horizontal="left" vertical="center" wrapText="1"/>
    </xf>
    <xf numFmtId="0" fontId="22" fillId="24" borderId="21" xfId="0" applyFont="1" applyFill="1" applyBorder="1" applyAlignment="1" applyProtection="1">
      <alignment horizontal="center" vertical="center" wrapText="1"/>
      <protection locked="0"/>
    </xf>
    <xf numFmtId="0" fontId="22" fillId="37" borderId="22" xfId="0" applyFont="1" applyFill="1" applyBorder="1" applyAlignment="1" applyProtection="1">
      <alignment horizontal="center" vertical="center" wrapText="1"/>
      <protection locked="0"/>
    </xf>
    <xf numFmtId="0" fontId="22" fillId="37" borderId="22" xfId="0" applyFont="1" applyFill="1" applyBorder="1" applyAlignment="1">
      <alignment horizontal="center" vertical="center" wrapText="1"/>
    </xf>
    <xf numFmtId="0" fontId="23" fillId="37" borderId="22" xfId="0" applyFont="1" applyFill="1" applyBorder="1" applyAlignment="1">
      <alignment horizontal="center" vertical="center" wrapText="1"/>
    </xf>
    <xf numFmtId="0" fontId="22" fillId="24" borderId="22" xfId="0" applyFont="1" applyFill="1" applyBorder="1" applyAlignment="1" applyProtection="1">
      <alignment horizontal="center" vertical="center" wrapText="1"/>
      <protection locked="0"/>
    </xf>
    <xf numFmtId="0" fontId="22" fillId="24" borderId="22" xfId="0" applyFont="1" applyFill="1" applyBorder="1" applyAlignment="1" applyProtection="1">
      <alignment horizontal="center" vertical="center" wrapText="1" shrinkToFit="1"/>
      <protection locked="0"/>
    </xf>
    <xf numFmtId="0" fontId="22" fillId="37" borderId="22" xfId="0" applyFont="1" applyFill="1" applyBorder="1" applyAlignment="1" applyProtection="1">
      <alignment horizontal="center" vertical="center" wrapText="1" shrinkToFit="1"/>
      <protection locked="0"/>
    </xf>
    <xf numFmtId="43" fontId="22" fillId="37" borderId="22" xfId="0" applyNumberFormat="1" applyFont="1" applyFill="1" applyBorder="1" applyAlignment="1" applyProtection="1">
      <alignment horizontal="center" vertical="center" wrapText="1"/>
      <protection locked="0"/>
    </xf>
    <xf numFmtId="0" fontId="22" fillId="37" borderId="22" xfId="0" applyFont="1" applyFill="1" applyBorder="1" applyAlignment="1" applyProtection="1">
      <alignment horizontal="left" vertical="center" wrapText="1"/>
      <protection locked="0"/>
    </xf>
    <xf numFmtId="0" fontId="24" fillId="37" borderId="22" xfId="0" applyFont="1" applyFill="1" applyBorder="1" applyAlignment="1" applyProtection="1">
      <alignment horizontal="center" vertical="center" wrapText="1"/>
      <protection locked="0"/>
    </xf>
    <xf numFmtId="43" fontId="22" fillId="37" borderId="22" xfId="1" applyFont="1" applyFill="1" applyBorder="1" applyAlignment="1" applyProtection="1">
      <alignment horizontal="center" vertical="center" wrapText="1"/>
      <protection locked="0"/>
    </xf>
    <xf numFmtId="43" fontId="22" fillId="37" borderId="22" xfId="1" applyFont="1" applyFill="1" applyBorder="1" applyAlignment="1" applyProtection="1">
      <alignment horizontal="center" vertical="center" wrapText="1"/>
    </xf>
    <xf numFmtId="9" fontId="22" fillId="37" borderId="22" xfId="0" applyNumberFormat="1" applyFont="1" applyFill="1" applyBorder="1" applyAlignment="1" applyProtection="1">
      <alignment horizontal="center" vertical="center" wrapText="1"/>
      <protection locked="0"/>
    </xf>
    <xf numFmtId="9" fontId="22" fillId="37" borderId="22" xfId="3" applyFont="1" applyFill="1" applyBorder="1" applyAlignment="1" applyProtection="1">
      <alignment horizontal="center" vertical="center" wrapText="1"/>
      <protection locked="0"/>
    </xf>
    <xf numFmtId="9" fontId="22" fillId="25" borderId="22" xfId="3" applyFont="1" applyFill="1" applyBorder="1" applyAlignment="1" applyProtection="1">
      <alignment horizontal="center" vertical="center" wrapText="1"/>
      <protection locked="0"/>
    </xf>
    <xf numFmtId="43" fontId="22" fillId="37" borderId="22" xfId="4" applyFont="1" applyFill="1" applyBorder="1" applyAlignment="1" applyProtection="1">
      <alignment horizontal="center" vertical="center" wrapText="1"/>
    </xf>
    <xf numFmtId="43" fontId="22" fillId="37" borderId="22" xfId="0" applyNumberFormat="1" applyFont="1" applyFill="1" applyBorder="1" applyAlignment="1" applyProtection="1">
      <alignment horizontal="center" vertical="center" wrapText="1"/>
      <protection hidden="1"/>
    </xf>
    <xf numFmtId="44" fontId="22" fillId="37" borderId="22" xfId="2" applyFont="1" applyFill="1" applyBorder="1" applyAlignment="1" applyProtection="1">
      <alignment horizontal="center" vertical="center" wrapText="1"/>
    </xf>
    <xf numFmtId="0" fontId="25" fillId="36" borderId="0" xfId="0" applyFont="1" applyFill="1" applyAlignment="1">
      <alignment horizontal="left" vertical="center" wrapText="1"/>
    </xf>
    <xf numFmtId="0" fontId="25" fillId="37" borderId="1" xfId="0" applyFont="1" applyFill="1" applyBorder="1" applyAlignment="1" applyProtection="1">
      <alignment horizontal="center" vertical="center" wrapText="1" shrinkToFit="1"/>
      <protection locked="0"/>
    </xf>
    <xf numFmtId="0" fontId="25" fillId="24" borderId="1" xfId="0" applyFont="1" applyFill="1" applyBorder="1" applyAlignment="1">
      <alignment horizontal="center" vertical="center" wrapText="1"/>
    </xf>
    <xf numFmtId="164" fontId="26" fillId="24" borderId="5" xfId="0" applyNumberFormat="1" applyFont="1" applyFill="1" applyBorder="1" applyAlignment="1" applyProtection="1">
      <alignment horizontal="center" vertical="center" wrapText="1"/>
      <protection locked="0"/>
    </xf>
    <xf numFmtId="0" fontId="27" fillId="24" borderId="20" xfId="0" applyFont="1" applyFill="1" applyBorder="1" applyAlignment="1" applyProtection="1">
      <alignment horizontal="center" vertical="center" wrapText="1"/>
      <protection locked="0"/>
    </xf>
    <xf numFmtId="0" fontId="26" fillId="24" borderId="20" xfId="0" applyFont="1" applyFill="1" applyBorder="1" applyAlignment="1" applyProtection="1">
      <alignment horizontal="center" vertical="center" wrapText="1"/>
      <protection locked="0"/>
    </xf>
    <xf numFmtId="0" fontId="28" fillId="24" borderId="20" xfId="0" applyFont="1" applyFill="1" applyBorder="1" applyAlignment="1">
      <alignment horizontal="center" vertical="center" wrapText="1"/>
    </xf>
    <xf numFmtId="0" fontId="26" fillId="24" borderId="20" xfId="0" applyFont="1" applyFill="1" applyBorder="1" applyAlignment="1">
      <alignment horizontal="center" vertical="center" wrapText="1"/>
    </xf>
    <xf numFmtId="0" fontId="25" fillId="24" borderId="14" xfId="0" applyFont="1" applyFill="1" applyBorder="1" applyAlignment="1" applyProtection="1">
      <alignment horizontal="center" vertical="center" wrapText="1"/>
      <protection locked="0"/>
    </xf>
    <xf numFmtId="0" fontId="25" fillId="24" borderId="14" xfId="0" applyFont="1" applyFill="1" applyBorder="1" applyAlignment="1" applyProtection="1">
      <alignment horizontal="center" vertical="center" wrapText="1" shrinkToFit="1"/>
      <protection locked="0"/>
    </xf>
    <xf numFmtId="0" fontId="26" fillId="24" borderId="20" xfId="0" applyFont="1" applyFill="1" applyBorder="1" applyAlignment="1" applyProtection="1">
      <alignment horizontal="center" vertical="center" wrapText="1" shrinkToFit="1"/>
      <protection locked="0"/>
    </xf>
    <xf numFmtId="49" fontId="26" fillId="24" borderId="20" xfId="0" applyNumberFormat="1" applyFont="1" applyFill="1" applyBorder="1" applyAlignment="1" applyProtection="1">
      <alignment horizontal="center" vertical="center" wrapText="1" shrinkToFit="1"/>
      <protection locked="0"/>
    </xf>
    <xf numFmtId="0" fontId="26" fillId="24" borderId="20" xfId="0" applyFont="1" applyFill="1" applyBorder="1" applyAlignment="1" applyProtection="1">
      <alignment horizontal="left" vertical="center" wrapText="1" indent="1"/>
      <protection locked="0"/>
    </xf>
    <xf numFmtId="43" fontId="29" fillId="24" borderId="20" xfId="1" applyFont="1" applyFill="1" applyBorder="1" applyAlignment="1" applyProtection="1">
      <alignment horizontal="center" vertical="center" wrapText="1"/>
      <protection locked="0"/>
    </xf>
    <xf numFmtId="43" fontId="26" fillId="24" borderId="20" xfId="1" applyFont="1" applyFill="1" applyBorder="1" applyAlignment="1" applyProtection="1">
      <alignment horizontal="left" vertical="center" wrapText="1"/>
      <protection locked="0"/>
    </xf>
    <xf numFmtId="9" fontId="26" fillId="24" borderId="20" xfId="0" applyNumberFormat="1" applyFont="1" applyFill="1" applyBorder="1" applyAlignment="1" applyProtection="1">
      <alignment horizontal="center" vertical="center" wrapText="1"/>
      <protection locked="0"/>
    </xf>
    <xf numFmtId="43" fontId="26" fillId="24" borderId="20" xfId="4" applyFont="1" applyFill="1" applyBorder="1" applyAlignment="1" applyProtection="1">
      <alignment horizontal="left" vertical="center" wrapText="1"/>
    </xf>
    <xf numFmtId="43" fontId="26" fillId="24" borderId="20" xfId="4" applyFont="1" applyFill="1" applyBorder="1" applyAlignment="1" applyProtection="1">
      <alignment horizontal="left" vertical="center" wrapText="1"/>
      <protection hidden="1"/>
    </xf>
    <xf numFmtId="0" fontId="30" fillId="38" borderId="20" xfId="0" applyFont="1" applyFill="1" applyBorder="1" applyAlignment="1" applyProtection="1">
      <alignment horizontal="center" vertical="center" wrapText="1"/>
      <protection locked="0"/>
    </xf>
    <xf numFmtId="43" fontId="26" fillId="24" borderId="20" xfId="0" applyNumberFormat="1" applyFont="1" applyFill="1" applyBorder="1" applyAlignment="1">
      <alignment horizontal="left" vertical="center" wrapText="1"/>
    </xf>
    <xf numFmtId="44" fontId="26" fillId="24" borderId="20" xfId="2" applyFont="1" applyFill="1" applyBorder="1" applyAlignment="1" applyProtection="1">
      <alignment horizontal="left" vertical="center" wrapText="1"/>
    </xf>
    <xf numFmtId="2" fontId="25" fillId="24" borderId="20" xfId="0" applyNumberFormat="1" applyFont="1" applyFill="1" applyBorder="1" applyAlignment="1" applyProtection="1">
      <alignment horizontal="center" vertical="center" wrapText="1"/>
      <protection locked="0"/>
    </xf>
    <xf numFmtId="0" fontId="31" fillId="24" borderId="20" xfId="0" applyFont="1" applyFill="1" applyBorder="1" applyAlignment="1">
      <alignment horizontal="center" vertical="center" wrapText="1"/>
    </xf>
    <xf numFmtId="0" fontId="29" fillId="24" borderId="20" xfId="0" applyFont="1" applyFill="1" applyBorder="1" applyAlignment="1">
      <alignment horizontal="center" vertical="center" wrapText="1"/>
    </xf>
    <xf numFmtId="49" fontId="26" fillId="24" borderId="20" xfId="0" applyNumberFormat="1" applyFont="1" applyFill="1" applyBorder="1" applyAlignment="1" applyProtection="1">
      <alignment horizontal="center" vertical="center" wrapText="1"/>
      <protection locked="0"/>
    </xf>
    <xf numFmtId="43" fontId="26" fillId="24" borderId="2" xfId="0" applyNumberFormat="1" applyFont="1" applyFill="1" applyBorder="1" applyAlignment="1" applyProtection="1">
      <alignment horizontal="left" vertical="center" wrapText="1"/>
      <protection hidden="1"/>
    </xf>
    <xf numFmtId="43" fontId="26" fillId="24" borderId="1" xfId="0" applyNumberFormat="1" applyFont="1" applyFill="1" applyBorder="1" applyAlignment="1" applyProtection="1">
      <alignment horizontal="left" vertical="center" wrapText="1"/>
      <protection hidden="1"/>
    </xf>
    <xf numFmtId="43" fontId="26" fillId="24" borderId="1" xfId="4" applyFont="1" applyFill="1" applyBorder="1" applyAlignment="1" applyProtection="1">
      <alignment horizontal="left" vertical="center" wrapText="1"/>
      <protection hidden="1"/>
    </xf>
    <xf numFmtId="0" fontId="26" fillId="24" borderId="1" xfId="0" applyFont="1" applyFill="1" applyBorder="1" applyAlignment="1" applyProtection="1">
      <alignment horizontal="center" vertical="center" wrapText="1"/>
      <protection hidden="1"/>
    </xf>
    <xf numFmtId="43" fontId="25" fillId="24" borderId="1" xfId="1" applyFont="1" applyFill="1" applyBorder="1" applyAlignment="1" applyProtection="1">
      <alignment horizontal="center" vertical="center" wrapText="1"/>
      <protection hidden="1"/>
    </xf>
    <xf numFmtId="0" fontId="25" fillId="45" borderId="0" xfId="0" applyFont="1" applyFill="1" applyAlignment="1">
      <alignment horizontal="left" vertical="center" wrapText="1"/>
    </xf>
    <xf numFmtId="2" fontId="25" fillId="45" borderId="0" xfId="0" applyNumberFormat="1" applyFont="1" applyFill="1" applyAlignment="1">
      <alignment horizontal="left" vertical="center" wrapText="1"/>
    </xf>
    <xf numFmtId="2" fontId="25" fillId="45" borderId="1" xfId="0" applyNumberFormat="1" applyFont="1" applyFill="1" applyBorder="1" applyAlignment="1">
      <alignment horizontal="left" vertical="center" wrapText="1"/>
    </xf>
    <xf numFmtId="0" fontId="25" fillId="45" borderId="1" xfId="0" applyFont="1" applyFill="1" applyBorder="1" applyAlignment="1">
      <alignment horizontal="left" vertical="center" wrapText="1"/>
    </xf>
    <xf numFmtId="43" fontId="25" fillId="45" borderId="1" xfId="0" applyNumberFormat="1" applyFont="1" applyFill="1" applyBorder="1" applyAlignment="1">
      <alignment horizontal="left" vertical="center" wrapText="1"/>
    </xf>
    <xf numFmtId="43" fontId="25" fillId="45" borderId="0" xfId="0" applyNumberFormat="1" applyFont="1" applyFill="1" applyAlignment="1">
      <alignment horizontal="left" vertical="center" wrapText="1"/>
    </xf>
    <xf numFmtId="44" fontId="25" fillId="45" borderId="0" xfId="2" applyFont="1" applyFill="1" applyAlignment="1">
      <alignment horizontal="left" vertical="center" wrapText="1"/>
    </xf>
    <xf numFmtId="0" fontId="25" fillId="16" borderId="0" xfId="0" applyFont="1" applyFill="1" applyAlignment="1">
      <alignment horizontal="left" vertical="center" wrapText="1"/>
    </xf>
    <xf numFmtId="0" fontId="25" fillId="37" borderId="1" xfId="0" applyFont="1" applyFill="1" applyBorder="1" applyAlignment="1">
      <alignment horizontal="center" vertical="center" wrapText="1"/>
    </xf>
    <xf numFmtId="0" fontId="27" fillId="16" borderId="0" xfId="0" applyFont="1" applyFill="1" applyAlignment="1">
      <alignment horizontal="left" vertical="center" wrapText="1"/>
    </xf>
    <xf numFmtId="0" fontId="27" fillId="5" borderId="0" xfId="0" applyFont="1" applyFill="1" applyAlignment="1">
      <alignment horizontal="left" vertical="center" wrapText="1"/>
    </xf>
    <xf numFmtId="176" fontId="26" fillId="24" borderId="1" xfId="0" applyNumberFormat="1" applyFont="1" applyFill="1" applyBorder="1" applyAlignment="1" applyProtection="1">
      <alignment horizontal="left" vertical="center" wrapText="1"/>
      <protection hidden="1"/>
    </xf>
    <xf numFmtId="0" fontId="32" fillId="36" borderId="0" xfId="0" applyFont="1" applyFill="1" applyAlignment="1">
      <alignment horizontal="left" vertical="center" wrapText="1"/>
    </xf>
    <xf numFmtId="0" fontId="32" fillId="37" borderId="1" xfId="0" applyFont="1" applyFill="1" applyBorder="1" applyAlignment="1" applyProtection="1">
      <alignment horizontal="center" vertical="center" wrapText="1" shrinkToFit="1"/>
      <protection locked="0"/>
    </xf>
    <xf numFmtId="0" fontId="32" fillId="24" borderId="1" xfId="0" applyFont="1" applyFill="1" applyBorder="1" applyAlignment="1">
      <alignment horizontal="center" vertical="center" wrapText="1"/>
    </xf>
    <xf numFmtId="0" fontId="32" fillId="37" borderId="5" xfId="0" applyFont="1" applyFill="1" applyBorder="1" applyAlignment="1" applyProtection="1">
      <alignment horizontal="center" vertical="center" wrapText="1"/>
      <protection locked="0"/>
    </xf>
    <xf numFmtId="0" fontId="33" fillId="24" borderId="20" xfId="0" applyFont="1" applyFill="1" applyBorder="1" applyAlignment="1" applyProtection="1">
      <alignment horizontal="center" vertical="center" wrapText="1"/>
      <protection locked="0"/>
    </xf>
    <xf numFmtId="0" fontId="34" fillId="24" borderId="18" xfId="0" applyFont="1" applyFill="1" applyBorder="1" applyAlignment="1" applyProtection="1">
      <alignment horizontal="center" vertical="center" wrapText="1"/>
      <protection locked="0"/>
    </xf>
    <xf numFmtId="0" fontId="35" fillId="37" borderId="18" xfId="0" applyFont="1" applyFill="1" applyBorder="1" applyAlignment="1">
      <alignment horizontal="center" vertical="center" wrapText="1"/>
    </xf>
    <xf numFmtId="0" fontId="34" fillId="37" borderId="18" xfId="0" applyFont="1" applyFill="1" applyBorder="1" applyAlignment="1" applyProtection="1">
      <alignment horizontal="center" vertical="center" wrapText="1"/>
      <protection locked="0"/>
    </xf>
    <xf numFmtId="0" fontId="36" fillId="37" borderId="18" xfId="0" applyFont="1" applyFill="1" applyBorder="1" applyAlignment="1">
      <alignment horizontal="center" vertical="center" wrapText="1"/>
    </xf>
    <xf numFmtId="0" fontId="34" fillId="24" borderId="18" xfId="0" applyFont="1" applyFill="1" applyBorder="1" applyAlignment="1" applyProtection="1">
      <alignment horizontal="center" vertical="center" wrapText="1" shrinkToFit="1"/>
      <protection locked="0"/>
    </xf>
    <xf numFmtId="0" fontId="34" fillId="37" borderId="18" xfId="0" applyFont="1" applyFill="1" applyBorder="1" applyAlignment="1" applyProtection="1">
      <alignment horizontal="center" vertical="center" wrapText="1" shrinkToFit="1"/>
      <protection locked="0"/>
    </xf>
    <xf numFmtId="43" fontId="34" fillId="37" borderId="18" xfId="0" applyNumberFormat="1" applyFont="1" applyFill="1" applyBorder="1" applyAlignment="1" applyProtection="1">
      <alignment horizontal="center" vertical="center" wrapText="1"/>
      <protection locked="0"/>
    </xf>
    <xf numFmtId="0" fontId="34" fillId="37" borderId="18" xfId="0" applyFont="1" applyFill="1" applyBorder="1" applyAlignment="1" applyProtection="1">
      <alignment horizontal="left" vertical="center" wrapText="1"/>
      <protection locked="0"/>
    </xf>
    <xf numFmtId="43" fontId="34" fillId="37" borderId="18" xfId="1" applyFont="1" applyFill="1" applyBorder="1" applyAlignment="1" applyProtection="1">
      <alignment horizontal="center" vertical="center" wrapText="1"/>
      <protection locked="0"/>
    </xf>
    <xf numFmtId="43" fontId="34" fillId="37" borderId="18" xfId="1" applyFont="1" applyFill="1" applyBorder="1" applyAlignment="1" applyProtection="1">
      <alignment horizontal="center" vertical="center" wrapText="1"/>
    </xf>
    <xf numFmtId="9" fontId="34" fillId="37" borderId="18" xfId="0" applyNumberFormat="1" applyFont="1" applyFill="1" applyBorder="1" applyAlignment="1" applyProtection="1">
      <alignment horizontal="center" vertical="center" wrapText="1"/>
      <protection locked="0"/>
    </xf>
    <xf numFmtId="9" fontId="34" fillId="37" borderId="18" xfId="3" applyFont="1" applyFill="1" applyBorder="1" applyAlignment="1" applyProtection="1">
      <alignment horizontal="center" vertical="center" wrapText="1"/>
      <protection locked="0"/>
    </xf>
    <xf numFmtId="9" fontId="34" fillId="25" borderId="18" xfId="3" applyFont="1" applyFill="1" applyBorder="1" applyAlignment="1" applyProtection="1">
      <alignment horizontal="center" vertical="center" wrapText="1"/>
      <protection locked="0"/>
    </xf>
    <xf numFmtId="43" fontId="34" fillId="37" borderId="18" xfId="4" applyFont="1" applyFill="1" applyBorder="1" applyAlignment="1" applyProtection="1">
      <alignment horizontal="center" vertical="center" wrapText="1"/>
    </xf>
    <xf numFmtId="43" fontId="34" fillId="37" borderId="18" xfId="4" applyFont="1" applyFill="1" applyBorder="1" applyAlignment="1" applyProtection="1">
      <alignment horizontal="center" vertical="center" wrapText="1"/>
      <protection hidden="1"/>
    </xf>
    <xf numFmtId="0" fontId="37" fillId="38" borderId="18" xfId="0" quotePrefix="1" applyFont="1" applyFill="1" applyBorder="1" applyAlignment="1" applyProtection="1">
      <alignment horizontal="center" vertical="center" wrapText="1"/>
      <protection locked="0"/>
    </xf>
    <xf numFmtId="44" fontId="34" fillId="37" borderId="18" xfId="2" applyFont="1" applyFill="1" applyBorder="1" applyAlignment="1" applyProtection="1">
      <alignment horizontal="center" vertical="center" wrapText="1"/>
    </xf>
    <xf numFmtId="175" fontId="34" fillId="40" borderId="19" xfId="0" applyNumberFormat="1" applyFont="1" applyFill="1" applyBorder="1" applyAlignment="1">
      <alignment horizontal="center" vertical="center" wrapText="1"/>
    </xf>
    <xf numFmtId="0" fontId="38" fillId="37" borderId="20" xfId="0" applyFont="1" applyFill="1" applyBorder="1" applyAlignment="1">
      <alignment horizontal="center" vertical="center" wrapText="1"/>
    </xf>
    <xf numFmtId="0" fontId="36" fillId="37" borderId="20" xfId="0" applyFont="1" applyFill="1" applyBorder="1" applyAlignment="1">
      <alignment horizontal="center" vertical="center" wrapText="1"/>
    </xf>
    <xf numFmtId="49" fontId="34" fillId="37" borderId="20" xfId="0" applyNumberFormat="1" applyFont="1" applyFill="1" applyBorder="1" applyAlignment="1" applyProtection="1">
      <alignment horizontal="center" vertical="center" wrapText="1"/>
      <protection locked="0"/>
    </xf>
    <xf numFmtId="43" fontId="34" fillId="37" borderId="2" xfId="0" applyNumberFormat="1" applyFont="1" applyFill="1" applyBorder="1" applyAlignment="1" applyProtection="1">
      <alignment horizontal="center" vertical="center" wrapText="1"/>
      <protection hidden="1"/>
    </xf>
    <xf numFmtId="43" fontId="34" fillId="37" borderId="1" xfId="0" applyNumberFormat="1" applyFont="1" applyFill="1" applyBorder="1" applyAlignment="1" applyProtection="1">
      <alignment horizontal="center" vertical="center" wrapText="1"/>
      <protection hidden="1"/>
    </xf>
    <xf numFmtId="43" fontId="34" fillId="37" borderId="1" xfId="4" applyFont="1" applyFill="1" applyBorder="1" applyAlignment="1" applyProtection="1">
      <alignment horizontal="center" vertical="center" wrapText="1"/>
      <protection hidden="1"/>
    </xf>
    <xf numFmtId="0" fontId="34" fillId="37" borderId="1" xfId="0" applyFont="1" applyFill="1" applyBorder="1" applyAlignment="1" applyProtection="1">
      <alignment horizontal="center" vertical="center" wrapText="1"/>
      <protection hidden="1"/>
    </xf>
    <xf numFmtId="43" fontId="34" fillId="24" borderId="1" xfId="1" applyFont="1" applyFill="1" applyBorder="1" applyAlignment="1" applyProtection="1">
      <alignment horizontal="center" vertical="center" wrapText="1"/>
      <protection hidden="1"/>
    </xf>
    <xf numFmtId="0" fontId="32" fillId="36" borderId="0" xfId="0" applyFont="1" applyFill="1" applyAlignment="1">
      <alignment horizontal="center" vertical="center" wrapText="1"/>
    </xf>
    <xf numFmtId="2" fontId="32" fillId="36" borderId="0" xfId="0" applyNumberFormat="1" applyFont="1" applyFill="1" applyAlignment="1">
      <alignment horizontal="center" vertical="center" wrapText="1"/>
    </xf>
    <xf numFmtId="2" fontId="32" fillId="36" borderId="1" xfId="0" applyNumberFormat="1" applyFont="1" applyFill="1" applyBorder="1" applyAlignment="1">
      <alignment horizontal="left" vertical="center" wrapText="1"/>
    </xf>
    <xf numFmtId="0" fontId="32" fillId="36" borderId="1" xfId="0" applyFont="1" applyFill="1" applyBorder="1" applyAlignment="1">
      <alignment horizontal="left" vertical="center" wrapText="1"/>
    </xf>
    <xf numFmtId="2" fontId="32" fillId="36" borderId="0" xfId="0" applyNumberFormat="1" applyFont="1" applyFill="1" applyAlignment="1">
      <alignment horizontal="left" vertical="center" wrapText="1"/>
    </xf>
    <xf numFmtId="43" fontId="32" fillId="36" borderId="1" xfId="0" applyNumberFormat="1" applyFont="1" applyFill="1" applyBorder="1" applyAlignment="1">
      <alignment horizontal="left" vertical="center" wrapText="1"/>
    </xf>
    <xf numFmtId="43" fontId="32" fillId="36" borderId="0" xfId="0" applyNumberFormat="1" applyFont="1" applyFill="1" applyAlignment="1">
      <alignment horizontal="left" vertical="center" wrapText="1"/>
    </xf>
    <xf numFmtId="44" fontId="32" fillId="36" borderId="0" xfId="2" applyFont="1" applyFill="1" applyAlignment="1">
      <alignment horizontal="left" vertical="center" wrapText="1"/>
    </xf>
    <xf numFmtId="0" fontId="32" fillId="16" borderId="0" xfId="0" applyFont="1" applyFill="1" applyAlignment="1">
      <alignment horizontal="left" vertical="center" wrapText="1"/>
    </xf>
    <xf numFmtId="0" fontId="39" fillId="36" borderId="0" xfId="0" applyFont="1" applyFill="1" applyAlignment="1">
      <alignment horizontal="left" vertical="center" wrapText="1"/>
    </xf>
    <xf numFmtId="0" fontId="39" fillId="24" borderId="1" xfId="0" applyFont="1" applyFill="1" applyBorder="1" applyAlignment="1">
      <alignment horizontal="center" vertical="center" wrapText="1"/>
    </xf>
    <xf numFmtId="0" fontId="39" fillId="24" borderId="4" xfId="0" applyFont="1" applyFill="1" applyBorder="1" applyAlignment="1" applyProtection="1">
      <alignment horizontal="center" vertical="center" wrapText="1"/>
      <protection locked="0"/>
    </xf>
    <xf numFmtId="164" fontId="39" fillId="24" borderId="6" xfId="0" applyNumberFormat="1" applyFont="1" applyFill="1" applyBorder="1" applyAlignment="1" applyProtection="1">
      <alignment horizontal="center" vertical="center" wrapText="1"/>
      <protection locked="0"/>
    </xf>
    <xf numFmtId="0" fontId="39" fillId="24" borderId="20" xfId="0" applyFont="1" applyFill="1" applyBorder="1" applyAlignment="1" applyProtection="1">
      <alignment horizontal="center" vertical="center" wrapText="1"/>
      <protection locked="0"/>
    </xf>
    <xf numFmtId="0" fontId="40" fillId="24" borderId="20" xfId="0" applyFont="1" applyFill="1" applyBorder="1" applyAlignment="1">
      <alignment horizontal="center" vertical="center" wrapText="1"/>
    </xf>
    <xf numFmtId="0" fontId="39" fillId="24" borderId="20" xfId="0" applyFont="1" applyFill="1" applyBorder="1" applyAlignment="1">
      <alignment horizontal="center" vertical="center" wrapText="1"/>
    </xf>
    <xf numFmtId="0" fontId="39" fillId="24" borderId="20" xfId="0" applyFont="1" applyFill="1" applyBorder="1" applyAlignment="1" applyProtection="1">
      <alignment horizontal="center" vertical="center" wrapText="1" shrinkToFit="1"/>
      <protection locked="0"/>
    </xf>
    <xf numFmtId="49" fontId="39" fillId="24" borderId="20" xfId="0" applyNumberFormat="1" applyFont="1" applyFill="1" applyBorder="1" applyAlignment="1" applyProtection="1">
      <alignment horizontal="center" vertical="center" wrapText="1" shrinkToFit="1"/>
      <protection locked="0"/>
    </xf>
    <xf numFmtId="43" fontId="40" fillId="24" borderId="20" xfId="1" applyFont="1" applyFill="1" applyBorder="1" applyAlignment="1" applyProtection="1">
      <alignment horizontal="center" vertical="center" wrapText="1"/>
      <protection locked="0"/>
    </xf>
    <xf numFmtId="43" fontId="39" fillId="24" borderId="20" xfId="1" applyFont="1" applyFill="1" applyBorder="1" applyAlignment="1" applyProtection="1">
      <alignment horizontal="left" vertical="center" wrapText="1"/>
    </xf>
    <xf numFmtId="9" fontId="39" fillId="24" borderId="20" xfId="0" applyNumberFormat="1" applyFont="1" applyFill="1" applyBorder="1" applyAlignment="1" applyProtection="1">
      <alignment horizontal="center" vertical="center" wrapText="1"/>
      <protection locked="0"/>
    </xf>
    <xf numFmtId="43" fontId="39" fillId="24" borderId="20" xfId="4" applyFont="1" applyFill="1" applyBorder="1" applyAlignment="1" applyProtection="1">
      <alignment horizontal="left" vertical="center" wrapText="1"/>
    </xf>
    <xf numFmtId="43" fontId="39" fillId="24" borderId="20" xfId="4" applyFont="1" applyFill="1" applyBorder="1" applyAlignment="1" applyProtection="1">
      <alignment horizontal="left" vertical="center" wrapText="1"/>
      <protection hidden="1"/>
    </xf>
    <xf numFmtId="2" fontId="40" fillId="38" borderId="20" xfId="0" applyNumberFormat="1" applyFont="1" applyFill="1" applyBorder="1" applyAlignment="1" applyProtection="1">
      <alignment horizontal="center" vertical="center" wrapText="1"/>
      <protection locked="0"/>
    </xf>
    <xf numFmtId="43" fontId="39" fillId="24" borderId="20" xfId="0" applyNumberFormat="1" applyFont="1" applyFill="1" applyBorder="1" applyAlignment="1">
      <alignment horizontal="left" vertical="center" wrapText="1"/>
    </xf>
    <xf numFmtId="49" fontId="39" fillId="24" borderId="20" xfId="0" applyNumberFormat="1" applyFont="1" applyFill="1" applyBorder="1" applyAlignment="1" applyProtection="1">
      <alignment horizontal="left" vertical="center" wrapText="1"/>
      <protection locked="0"/>
    </xf>
    <xf numFmtId="0" fontId="41" fillId="37" borderId="20" xfId="0" applyFont="1" applyFill="1" applyBorder="1" applyAlignment="1">
      <alignment horizontal="center" vertical="center" wrapText="1"/>
    </xf>
    <xf numFmtId="49" fontId="39" fillId="24" borderId="20" xfId="0" applyNumberFormat="1" applyFont="1" applyFill="1" applyBorder="1" applyAlignment="1" applyProtection="1">
      <alignment horizontal="center" vertical="center" wrapText="1"/>
      <protection locked="0"/>
    </xf>
    <xf numFmtId="43" fontId="39" fillId="24" borderId="8" xfId="0" applyNumberFormat="1" applyFont="1" applyFill="1" applyBorder="1" applyAlignment="1" applyProtection="1">
      <alignment horizontal="left" vertical="center" wrapText="1"/>
      <protection hidden="1"/>
    </xf>
    <xf numFmtId="43" fontId="39" fillId="24" borderId="4" xfId="0" applyNumberFormat="1" applyFont="1" applyFill="1" applyBorder="1" applyAlignment="1" applyProtection="1">
      <alignment horizontal="left" vertical="center" wrapText="1"/>
      <protection hidden="1"/>
    </xf>
    <xf numFmtId="43" fontId="39" fillId="24" borderId="1" xfId="0" applyNumberFormat="1" applyFont="1" applyFill="1" applyBorder="1" applyAlignment="1" applyProtection="1">
      <alignment horizontal="left" vertical="center" wrapText="1"/>
      <protection hidden="1"/>
    </xf>
    <xf numFmtId="0" fontId="39" fillId="24" borderId="4" xfId="0" applyFont="1" applyFill="1" applyBorder="1" applyAlignment="1" applyProtection="1">
      <alignment horizontal="center" vertical="center" wrapText="1"/>
      <protection hidden="1"/>
    </xf>
    <xf numFmtId="0" fontId="39" fillId="46" borderId="0" xfId="0" applyFont="1" applyFill="1" applyAlignment="1">
      <alignment horizontal="left" vertical="center" wrapText="1"/>
    </xf>
    <xf numFmtId="2" fontId="39" fillId="46" borderId="0" xfId="0" applyNumberFormat="1" applyFont="1" applyFill="1" applyAlignment="1">
      <alignment horizontal="left" vertical="center" wrapText="1"/>
    </xf>
    <xf numFmtId="43" fontId="39" fillId="46" borderId="4" xfId="0" applyNumberFormat="1" applyFont="1" applyFill="1" applyBorder="1" applyAlignment="1">
      <alignment horizontal="left" vertical="center" wrapText="1"/>
    </xf>
    <xf numFmtId="43" fontId="39" fillId="46" borderId="0" xfId="0" applyNumberFormat="1" applyFont="1" applyFill="1" applyAlignment="1">
      <alignment horizontal="left" vertical="center" wrapText="1"/>
    </xf>
    <xf numFmtId="44" fontId="39" fillId="46" borderId="0" xfId="2" applyFont="1" applyFill="1" applyAlignment="1">
      <alignment horizontal="left" vertical="center" wrapText="1"/>
    </xf>
    <xf numFmtId="0" fontId="39" fillId="16" borderId="0" xfId="0" applyFont="1" applyFill="1" applyAlignment="1">
      <alignment horizontal="left" vertical="center" wrapText="1"/>
    </xf>
    <xf numFmtId="0" fontId="39" fillId="47" borderId="0" xfId="0" applyFont="1" applyFill="1" applyAlignment="1">
      <alignment horizontal="left" vertical="center" wrapText="1"/>
    </xf>
    <xf numFmtId="0" fontId="42" fillId="48" borderId="0" xfId="0" applyFont="1" applyFill="1" applyAlignment="1">
      <alignment horizontal="left" vertical="center" wrapText="1"/>
    </xf>
    <xf numFmtId="0" fontId="42" fillId="48" borderId="23" xfId="0" applyFont="1" applyFill="1" applyBorder="1" applyAlignment="1" applyProtection="1">
      <alignment horizontal="left" vertical="center" wrapText="1"/>
      <protection locked="0"/>
    </xf>
    <xf numFmtId="164" fontId="42" fillId="48" borderId="23" xfId="0" applyNumberFormat="1" applyFont="1" applyFill="1" applyBorder="1" applyAlignment="1" applyProtection="1">
      <alignment horizontal="left" vertical="center" wrapText="1"/>
      <protection locked="0"/>
    </xf>
    <xf numFmtId="0" fontId="42" fillId="48" borderId="24" xfId="0" applyFont="1" applyFill="1" applyBorder="1" applyAlignment="1" applyProtection="1">
      <alignment horizontal="left" vertical="center" wrapText="1"/>
      <protection locked="0"/>
    </xf>
    <xf numFmtId="0" fontId="42" fillId="48" borderId="24" xfId="0" applyFont="1" applyFill="1" applyBorder="1" applyAlignment="1" applyProtection="1">
      <alignment vertical="center" wrapText="1"/>
      <protection locked="0"/>
    </xf>
    <xf numFmtId="0" fontId="43" fillId="48" borderId="24" xfId="0" applyFont="1" applyFill="1" applyBorder="1" applyAlignment="1" applyProtection="1">
      <alignment horizontal="left" vertical="center" wrapText="1" indent="1"/>
      <protection locked="0"/>
    </xf>
    <xf numFmtId="43" fontId="44" fillId="48" borderId="24" xfId="1" applyFont="1" applyFill="1" applyBorder="1" applyAlignment="1" applyProtection="1">
      <alignment horizontal="center" vertical="center" wrapText="1"/>
      <protection locked="0"/>
    </xf>
    <xf numFmtId="43" fontId="44" fillId="48" borderId="24" xfId="1" applyFont="1" applyFill="1" applyBorder="1" applyAlignment="1" applyProtection="1">
      <alignment horizontal="left" vertical="center" wrapText="1"/>
      <protection locked="0"/>
    </xf>
    <xf numFmtId="43" fontId="44" fillId="48" borderId="24" xfId="4" applyFont="1" applyFill="1" applyBorder="1" applyAlignment="1" applyProtection="1">
      <alignment horizontal="left" vertical="center" wrapText="1"/>
      <protection locked="0"/>
    </xf>
    <xf numFmtId="43" fontId="42" fillId="48" borderId="24" xfId="4" applyFont="1" applyFill="1" applyBorder="1" applyAlignment="1" applyProtection="1">
      <alignment horizontal="left" vertical="center" wrapText="1"/>
    </xf>
    <xf numFmtId="43" fontId="42" fillId="48" borderId="24" xfId="4" applyFont="1" applyFill="1" applyBorder="1" applyAlignment="1" applyProtection="1">
      <alignment horizontal="left" vertical="center" wrapText="1"/>
      <protection hidden="1"/>
    </xf>
    <xf numFmtId="43" fontId="45" fillId="48" borderId="24" xfId="4" applyFont="1" applyFill="1" applyBorder="1" applyAlignment="1" applyProtection="1">
      <alignment horizontal="left" vertical="center" wrapText="1"/>
      <protection locked="0"/>
    </xf>
    <xf numFmtId="43" fontId="42" fillId="48" borderId="24" xfId="4" applyFont="1" applyFill="1" applyBorder="1" applyAlignment="1" applyProtection="1">
      <alignment horizontal="left" vertical="center" wrapText="1"/>
      <protection locked="0"/>
    </xf>
    <xf numFmtId="43" fontId="43" fillId="48" borderId="23" xfId="4" applyFont="1" applyFill="1" applyBorder="1" applyAlignment="1" applyProtection="1">
      <alignment horizontal="left" vertical="center" wrapText="1"/>
      <protection locked="0"/>
    </xf>
    <xf numFmtId="0" fontId="42" fillId="48" borderId="23" xfId="0" applyFont="1" applyFill="1" applyBorder="1" applyAlignment="1">
      <alignment horizontal="left" vertical="center" wrapText="1"/>
    </xf>
    <xf numFmtId="44" fontId="42" fillId="48" borderId="23" xfId="2" applyFont="1" applyFill="1" applyBorder="1" applyAlignment="1" applyProtection="1">
      <alignment horizontal="left" vertical="center" wrapText="1"/>
      <protection locked="0"/>
    </xf>
    <xf numFmtId="0" fontId="42" fillId="16" borderId="0" xfId="0" applyFont="1" applyFill="1" applyAlignment="1">
      <alignment horizontal="left" vertical="center" wrapText="1"/>
    </xf>
    <xf numFmtId="44" fontId="2" fillId="0" borderId="0" xfId="2" applyFont="1" applyAlignment="1" applyProtection="1">
      <alignment horizontal="left" vertical="center" wrapText="1"/>
    </xf>
    <xf numFmtId="177" fontId="2" fillId="0" borderId="0" xfId="0" applyNumberFormat="1" applyFont="1" applyAlignment="1">
      <alignment horizontal="left" vertical="center" wrapText="1"/>
    </xf>
    <xf numFmtId="178" fontId="2" fillId="0" borderId="0" xfId="0" applyNumberFormat="1" applyFont="1" applyAlignment="1">
      <alignment horizontal="left" vertical="center" wrapText="1"/>
    </xf>
  </cellXfs>
  <cellStyles count="6">
    <cellStyle name="Moeda" xfId="2" builtinId="4"/>
    <cellStyle name="Normal" xfId="0" builtinId="0"/>
    <cellStyle name="Normal_Estudo_Custo_MO_UBV" xfId="5" xr:uid="{69F02C51-4BC8-44B6-ABAB-6B8377668D9A}"/>
    <cellStyle name="Porcentagem" xfId="3" builtinId="5"/>
    <cellStyle name="Separador de milhares 2 12" xfId="4" xr:uid="{BF241607-9EDD-421C-86FE-C431C21CC5A2}"/>
    <cellStyle name="Vírgula" xfId="1" builtinId="3"/>
  </cellStyles>
  <dxfs count="2">
    <dxf>
      <fill>
        <patternFill>
          <bgColor theme="8" tint="0.79998168889431442"/>
        </patternFill>
      </fill>
    </dxf>
    <dxf>
      <font>
        <b/>
        <i val="0"/>
        <color rgb="FFFFFF00"/>
      </font>
      <fill>
        <patternFill>
          <bgColor theme="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2" Type="http://schemas.openxmlformats.org/officeDocument/2006/relationships/image" Target="../media/image2.svg"/><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editAs="oneCell">
    <xdr:from>
      <xdr:col>42</xdr:col>
      <xdr:colOff>351864</xdr:colOff>
      <xdr:row>101</xdr:row>
      <xdr:rowOff>376196</xdr:rowOff>
    </xdr:from>
    <xdr:to>
      <xdr:col>42</xdr:col>
      <xdr:colOff>1100977</xdr:colOff>
      <xdr:row>101</xdr:row>
      <xdr:rowOff>1108164</xdr:rowOff>
    </xdr:to>
    <xdr:pic macro="[1]!Atualizar_Tudo_Completo">
      <xdr:nvPicPr>
        <xdr:cNvPr id="2" name="Gráfico 1" descr="Repetir com preenchimento sólido">
          <a:extLst>
            <a:ext uri="{FF2B5EF4-FFF2-40B4-BE49-F238E27FC236}">
              <a16:creationId xmlns:a16="http://schemas.microsoft.com/office/drawing/2014/main" id="{467A7DF5-6F85-47E5-B2D7-7C4EE3B55F5E}"/>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 uri="{96DAC541-7B7A-43D3-8B79-37D633B846F1}">
              <asvg:svgBlip xmlns:asvg="http://schemas.microsoft.com/office/drawing/2016/SVG/main" r:embed="rId2"/>
            </a:ext>
          </a:extLst>
        </a:blip>
        <a:stretch>
          <a:fillRect/>
        </a:stretch>
      </xdr:blipFill>
      <xdr:spPr>
        <a:xfrm>
          <a:off x="19811439" y="6205496"/>
          <a:ext cx="749113" cy="731968"/>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file:///N:\ENGENHARIA\Clientes\Em%20Andamento\SADA\Eber%20Bio\ATK_102_25_REV02_R3_(SADA_EBER_Montagem%20Processo%20Milho)\Em%20andamento\Administrativo\Planilha%20Mestre%20Engenharia\PD_ATK_102_25_REV02_R3_(SADA_EBER_Montagem%20Processo%20Milho)_Consolidada.xlsb" TargetMode="External"/><Relationship Id="rId2" Type="http://schemas.microsoft.com/office/2019/04/relationships/externalLinkLongPath" Target="/ENGENHARIA/Clientes/Em%20Andamento/SADA/Eber%20Bio/ATK_102_25_REV02_R3_(SADA_EBER_Montagem%20Processo%20Milho)/Em%20andamento/Administrativo/Planilha%20Mestre%20Engenharia/PD_ATK_102_25_REV02_R3_(SADA_EBER_Montagem%20Processo%20Milho)_Consolidada.xlsb?7EF171AD" TargetMode="External"/><Relationship Id="rId1" Type="http://schemas.openxmlformats.org/officeDocument/2006/relationships/externalLinkPath" Target="file:///\\7EF171AD\PD_ATK_102_25_REV02_R3_(SADA_EBER_Montagem%20Processo%20Milho)_Consolidada.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3"/>
    </xxl21:alternateUrls>
    <sheetNames>
      <sheetName val="Pedágio e Combustivel_21"/>
      <sheetName val="Custos Fixos 2017"/>
      <sheetName val="2019 DP"/>
      <sheetName val="Encargos"/>
      <sheetName val="Logistica 2020"/>
      <sheetName val="Valores HH 2° tri 25"/>
      <sheetName val="Cálculo Fat"/>
      <sheetName val="FAT_Evolução"/>
      <sheetName val="Típicos"/>
      <sheetName val="Tab Din MI"/>
      <sheetName val="CONDIÇÕES COMERCIAIS"/>
      <sheetName val="TAB DIN Valores"/>
      <sheetName val="ICMS_DIFAL"/>
      <sheetName val="Debitos Impostos"/>
      <sheetName val="Faturamento Direto"/>
      <sheetName val="THEO"/>
      <sheetName val="Avulso HH"/>
      <sheetName val="Fluxo Financeiro Geral"/>
      <sheetName val="Calc Eng"/>
      <sheetName val="Cockpit Retorno"/>
      <sheetName val="Impostos_Taxas_ICMs"/>
      <sheetName val="Apresentação Valores"/>
      <sheetName val="Check List Importante"/>
      <sheetName val="Pendencia CHECK"/>
      <sheetName val="Divisão Venda 2020"/>
      <sheetName val="FAT_22"/>
      <sheetName val="Base custos Fixo"/>
      <sheetName val="MOF"/>
      <sheetName val="PHEA"/>
      <sheetName val="Base Brasil Obras"/>
      <sheetName val="TAB DIN MAT"/>
      <sheetName val="Pareto THEO"/>
      <sheetName val="Preenchimento"/>
      <sheetName val="M&amp;P"/>
      <sheetName val="I_C"/>
      <sheetName val="BDI"/>
      <sheetName val="Suportes"/>
      <sheetName val="THEO Desmontagem"/>
      <sheetName val="Custo MO Impostos Obras"/>
      <sheetName val="Funções THEO"/>
      <sheetName val="Processo Venda Obra"/>
      <sheetName val="HubSpot"/>
      <sheetName val="Resumo_HIA_HIC_HOC "/>
      <sheetName val="HOC_Histograma_Obra"/>
      <sheetName val="Fluxo Eventos"/>
      <sheetName val="Valores médios Ref_Lanches"/>
      <sheetName val="Check nomes"/>
      <sheetName val="Custo Impostos Sobre HH"/>
      <sheetName val="Histograma Numérico"/>
      <sheetName val="compair 23 x 24"/>
      <sheetName val="Cronograma Canteiros"/>
      <sheetName val="Check Canteiro Obra"/>
      <sheetName val="INMET"/>
      <sheetName val="Estação Climática"/>
      <sheetName val="Cidades Feriado"/>
      <sheetName val="Custo Interno"/>
      <sheetName val="Calendário"/>
      <sheetName val="Calculo_Integração"/>
      <sheetName val="HIA_Histograma_Integração_ATM"/>
      <sheetName val="HIC_Histograma_Integra_Cliente"/>
      <sheetName val="HOM_Histograma_Mob e DesmMOB"/>
      <sheetName val="HIP_Periculosidade"/>
      <sheetName val="Turnover Absenteismo Folgas"/>
      <sheetName val="Tabela DP"/>
      <sheetName val="MOB_Obra"/>
      <sheetName val="LOG _Obra"/>
      <sheetName val="Estimativa Casa"/>
      <sheetName val="SSMA_Cliente"/>
      <sheetName val="TESTE_LOG_OBRA"/>
      <sheetName val="Casa Locada_KM"/>
      <sheetName val="Matriz Responsabilidade"/>
      <sheetName val="Pareto Metas"/>
      <sheetName val="Mestre"/>
      <sheetName val="Pareto_Calculo Meta"/>
      <sheetName val="Apoio_BI"/>
      <sheetName val="Planej_Cronograma"/>
      <sheetName val="Planej_Histograma"/>
      <sheetName val="Planej_LOG"/>
      <sheetName val="Valores Vendas HH_D_Km"/>
      <sheetName val="Custos de HH_LOG"/>
      <sheetName val="Planej_Recrutamento"/>
      <sheetName val="DRE_Resumo"/>
      <sheetName val="Separação SSMA"/>
    </sheetNames>
    <definedNames>
      <definedName name="Atualizar_Tudo_Completo"/>
    </definedNames>
    <sheetDataSet>
      <sheetData sheetId="0"/>
      <sheetData sheetId="1"/>
      <sheetData sheetId="2"/>
      <sheetData sheetId="3"/>
      <sheetData sheetId="4"/>
      <sheetData sheetId="5"/>
      <sheetData sheetId="6"/>
      <sheetData sheetId="7"/>
      <sheetData sheetId="8">
        <row r="27">
          <cell r="I27">
            <v>7.07</v>
          </cell>
        </row>
        <row r="43">
          <cell r="I43">
            <v>7.5500000000000007</v>
          </cell>
        </row>
        <row r="59">
          <cell r="I59">
            <v>8.51</v>
          </cell>
        </row>
        <row r="75">
          <cell r="I75">
            <v>8.0300000000000011</v>
          </cell>
        </row>
        <row r="103">
          <cell r="I103">
            <v>8.99</v>
          </cell>
        </row>
      </sheetData>
      <sheetData sheetId="9"/>
      <sheetData sheetId="10"/>
      <sheetData sheetId="11"/>
      <sheetData sheetId="12"/>
      <sheetData sheetId="13"/>
      <sheetData sheetId="14"/>
      <sheetData sheetId="15"/>
      <sheetData sheetId="16">
        <row r="9">
          <cell r="M9">
            <v>616.44444444444446</v>
          </cell>
          <cell r="W9">
            <v>270.66666666666669</v>
          </cell>
          <cell r="AG9">
            <v>90</v>
          </cell>
        </row>
        <row r="253">
          <cell r="C253">
            <v>810</v>
          </cell>
          <cell r="M253">
            <v>270</v>
          </cell>
        </row>
      </sheetData>
      <sheetData sheetId="17"/>
      <sheetData sheetId="18">
        <row r="3">
          <cell r="B3">
            <v>47.99116721048555</v>
          </cell>
        </row>
        <row r="4">
          <cell r="B4">
            <v>479.91167210485554</v>
          </cell>
        </row>
        <row r="5">
          <cell r="B5">
            <v>250.5</v>
          </cell>
          <cell r="H5">
            <v>0</v>
          </cell>
        </row>
        <row r="6">
          <cell r="B6">
            <v>167</v>
          </cell>
        </row>
        <row r="7">
          <cell r="B7">
            <v>47.8</v>
          </cell>
        </row>
        <row r="8">
          <cell r="B8">
            <v>4.2468182715271316</v>
          </cell>
        </row>
        <row r="9">
          <cell r="B9">
            <v>7.086990675684441</v>
          </cell>
          <cell r="H9">
            <v>0</v>
          </cell>
        </row>
        <row r="10">
          <cell r="H10">
            <v>0</v>
          </cell>
        </row>
        <row r="11">
          <cell r="H11">
            <v>0</v>
          </cell>
        </row>
        <row r="13">
          <cell r="H13">
            <v>0</v>
          </cell>
        </row>
        <row r="14">
          <cell r="R14">
            <v>0</v>
          </cell>
        </row>
        <row r="18">
          <cell r="B18">
            <v>11.56</v>
          </cell>
        </row>
        <row r="23">
          <cell r="B23">
            <v>35</v>
          </cell>
        </row>
        <row r="24">
          <cell r="B24">
            <v>0</v>
          </cell>
        </row>
        <row r="25">
          <cell r="B25">
            <v>0</v>
          </cell>
        </row>
        <row r="28">
          <cell r="B28">
            <v>0</v>
          </cell>
        </row>
        <row r="29">
          <cell r="B29">
            <v>9</v>
          </cell>
        </row>
        <row r="30">
          <cell r="B30">
            <v>0</v>
          </cell>
        </row>
        <row r="31">
          <cell r="B31">
            <v>0</v>
          </cell>
        </row>
        <row r="32">
          <cell r="B32">
            <v>0</v>
          </cell>
        </row>
        <row r="33">
          <cell r="B33">
            <v>19</v>
          </cell>
        </row>
        <row r="34">
          <cell r="B34">
            <v>0</v>
          </cell>
        </row>
        <row r="35">
          <cell r="B35">
            <v>0</v>
          </cell>
        </row>
        <row r="36">
          <cell r="B36">
            <v>0</v>
          </cell>
        </row>
        <row r="37">
          <cell r="B37">
            <v>820</v>
          </cell>
        </row>
        <row r="38">
          <cell r="B38">
            <v>30</v>
          </cell>
        </row>
        <row r="40">
          <cell r="B40">
            <v>0</v>
          </cell>
        </row>
        <row r="41">
          <cell r="B41">
            <v>0</v>
          </cell>
        </row>
        <row r="42">
          <cell r="B42">
            <v>2211.0079460584848</v>
          </cell>
        </row>
        <row r="43">
          <cell r="B43">
            <v>0</v>
          </cell>
        </row>
        <row r="44">
          <cell r="B44">
            <v>2900</v>
          </cell>
          <cell r="Q44">
            <v>0</v>
          </cell>
        </row>
        <row r="45">
          <cell r="B45">
            <v>152.09778185277349</v>
          </cell>
        </row>
        <row r="46">
          <cell r="B46">
            <v>0</v>
          </cell>
        </row>
        <row r="47">
          <cell r="B47">
            <v>0</v>
          </cell>
        </row>
        <row r="48">
          <cell r="B48">
            <v>0</v>
          </cell>
        </row>
        <row r="49">
          <cell r="B49">
            <v>0</v>
          </cell>
        </row>
        <row r="50">
          <cell r="B50">
            <v>0</v>
          </cell>
        </row>
        <row r="51">
          <cell r="B51">
            <v>0</v>
          </cell>
        </row>
        <row r="52">
          <cell r="B52">
            <v>0</v>
          </cell>
          <cell r="O52">
            <v>0</v>
          </cell>
        </row>
        <row r="53">
          <cell r="B53">
            <v>0</v>
          </cell>
          <cell r="L53">
            <v>0</v>
          </cell>
        </row>
        <row r="54">
          <cell r="B54">
            <v>0</v>
          </cell>
        </row>
        <row r="56">
          <cell r="B56">
            <v>0</v>
          </cell>
          <cell r="O56">
            <v>0</v>
          </cell>
        </row>
        <row r="57">
          <cell r="B57">
            <v>0</v>
          </cell>
        </row>
        <row r="59">
          <cell r="B59">
            <v>290</v>
          </cell>
        </row>
        <row r="60">
          <cell r="B60">
            <v>10</v>
          </cell>
          <cell r="G60">
            <v>90</v>
          </cell>
        </row>
        <row r="61">
          <cell r="B61">
            <v>6</v>
          </cell>
        </row>
        <row r="62">
          <cell r="B62">
            <v>220</v>
          </cell>
        </row>
        <row r="63">
          <cell r="B63">
            <v>2</v>
          </cell>
        </row>
        <row r="66">
          <cell r="B66">
            <v>125.06327127962082</v>
          </cell>
        </row>
        <row r="68">
          <cell r="K68">
            <v>0.8</v>
          </cell>
        </row>
        <row r="78">
          <cell r="A78" t="str">
            <v>Sim</v>
          </cell>
        </row>
        <row r="79">
          <cell r="A79" t="str">
            <v>Não</v>
          </cell>
        </row>
        <row r="100">
          <cell r="K100" t="str">
            <v>Não</v>
          </cell>
        </row>
        <row r="101">
          <cell r="I101">
            <v>0</v>
          </cell>
        </row>
        <row r="128">
          <cell r="DA128">
            <v>21</v>
          </cell>
        </row>
        <row r="136">
          <cell r="AB136">
            <v>0</v>
          </cell>
        </row>
        <row r="241">
          <cell r="EZ241">
            <v>186.49079460584849</v>
          </cell>
        </row>
        <row r="242">
          <cell r="EZ242">
            <v>157.36214894342336</v>
          </cell>
        </row>
        <row r="243">
          <cell r="EZ243">
            <v>215.5488497074912</v>
          </cell>
        </row>
        <row r="244">
          <cell r="EZ244">
            <v>189.20440868603464</v>
          </cell>
        </row>
        <row r="245">
          <cell r="EZ245">
            <v>192.98849685975534</v>
          </cell>
        </row>
        <row r="246">
          <cell r="EZ246">
            <v>132.56706755639809</v>
          </cell>
        </row>
        <row r="247">
          <cell r="EZ247">
            <v>125.06327127962082</v>
          </cell>
        </row>
        <row r="248">
          <cell r="EZ248">
            <v>125.06327127962082</v>
          </cell>
        </row>
        <row r="249">
          <cell r="EZ249">
            <v>186.49079460584849</v>
          </cell>
        </row>
        <row r="250">
          <cell r="EZ250">
            <v>152.09778185277349</v>
          </cell>
        </row>
        <row r="251">
          <cell r="EZ251">
            <v>166.28768853768148</v>
          </cell>
        </row>
      </sheetData>
      <sheetData sheetId="19">
        <row r="1">
          <cell r="D1">
            <v>1</v>
          </cell>
          <cell r="L1">
            <v>8.6499999999999994E-2</v>
          </cell>
        </row>
        <row r="2">
          <cell r="D2">
            <v>0</v>
          </cell>
          <cell r="J2">
            <v>0.16250000000000001</v>
          </cell>
          <cell r="L2">
            <v>8.6499999999999994E-2</v>
          </cell>
        </row>
        <row r="3">
          <cell r="J3">
            <v>0.14250000000000002</v>
          </cell>
        </row>
        <row r="4">
          <cell r="I4">
            <v>8.6499999999999994E-2</v>
          </cell>
        </row>
        <row r="6">
          <cell r="GS6">
            <v>1</v>
          </cell>
        </row>
        <row r="32">
          <cell r="K32">
            <v>861133.63496237982</v>
          </cell>
        </row>
        <row r="35">
          <cell r="C35">
            <v>0.86646531532069737</v>
          </cell>
        </row>
        <row r="37">
          <cell r="C37">
            <v>206432.20545894993</v>
          </cell>
        </row>
        <row r="38">
          <cell r="C38">
            <v>48951.040000000001</v>
          </cell>
        </row>
        <row r="39">
          <cell r="D39">
            <v>6.7999999999999996E-3</v>
          </cell>
        </row>
        <row r="40">
          <cell r="C40">
            <v>303542.82260587811</v>
          </cell>
          <cell r="D40">
            <v>2.8400338941418239E-2</v>
          </cell>
        </row>
        <row r="41">
          <cell r="C41">
            <v>236642.8542859242</v>
          </cell>
          <cell r="D41">
            <v>2.2140985618069254E-2</v>
          </cell>
        </row>
        <row r="42">
          <cell r="C42">
            <v>448153.94720876933</v>
          </cell>
          <cell r="D42">
            <v>4.1930571408006115E-2</v>
          </cell>
        </row>
        <row r="43">
          <cell r="C43">
            <v>68122.126379999987</v>
          </cell>
        </row>
        <row r="44">
          <cell r="C44">
            <v>213760</v>
          </cell>
          <cell r="K44">
            <v>0.13</v>
          </cell>
        </row>
        <row r="45">
          <cell r="C45">
            <v>160320</v>
          </cell>
        </row>
        <row r="47">
          <cell r="C47">
            <v>9083338.1094628647</v>
          </cell>
        </row>
        <row r="48">
          <cell r="C48">
            <v>5</v>
          </cell>
        </row>
        <row r="50">
          <cell r="D50">
            <v>128935400</v>
          </cell>
        </row>
        <row r="51">
          <cell r="C51">
            <v>11897000</v>
          </cell>
        </row>
        <row r="53">
          <cell r="C53">
            <v>10688000</v>
          </cell>
        </row>
        <row r="54">
          <cell r="C54">
            <v>10688000</v>
          </cell>
        </row>
        <row r="55">
          <cell r="C55">
            <v>10688000</v>
          </cell>
          <cell r="D55">
            <v>9826866.3650376201</v>
          </cell>
        </row>
        <row r="58">
          <cell r="C58">
            <v>0.15</v>
          </cell>
        </row>
        <row r="62">
          <cell r="D62">
            <v>2.4148217903256355E-2</v>
          </cell>
        </row>
        <row r="64">
          <cell r="D64">
            <v>0.1027509040801442</v>
          </cell>
        </row>
        <row r="65">
          <cell r="C65" t="str">
            <v>Não</v>
          </cell>
        </row>
        <row r="66">
          <cell r="C66" t="str">
            <v>Sim</v>
          </cell>
        </row>
        <row r="67">
          <cell r="C67" t="str">
            <v>Não</v>
          </cell>
          <cell r="E67" t="str">
            <v>Sim</v>
          </cell>
        </row>
        <row r="101">
          <cell r="C101">
            <v>1758603.3959395217</v>
          </cell>
        </row>
        <row r="116">
          <cell r="E116">
            <v>1.4360679844325142E-2</v>
          </cell>
        </row>
        <row r="166">
          <cell r="AEK166">
            <v>116041860</v>
          </cell>
        </row>
        <row r="171">
          <cell r="AFB171">
            <v>1.0500000000000001E-2</v>
          </cell>
        </row>
        <row r="174">
          <cell r="AFB174">
            <v>1.9314390480814927E-2</v>
          </cell>
          <cell r="AFD174">
            <v>2.8400338941418239E-2</v>
          </cell>
          <cell r="AFK174">
            <v>2.2140985618069254E-2</v>
          </cell>
          <cell r="AFR174">
            <v>4.1930571408006115E-2</v>
          </cell>
        </row>
      </sheetData>
      <sheetData sheetId="20">
        <row r="3">
          <cell r="P3">
            <v>0.05</v>
          </cell>
        </row>
        <row r="4">
          <cell r="H4">
            <v>7.0000000000000007E-2</v>
          </cell>
        </row>
        <row r="5">
          <cell r="H5">
            <v>1.6500000000000001E-2</v>
          </cell>
        </row>
        <row r="6">
          <cell r="H6">
            <v>7.5999999999999998E-2</v>
          </cell>
          <cell r="P6">
            <v>7.0000000000000007E-2</v>
          </cell>
        </row>
        <row r="9">
          <cell r="H9">
            <v>1.6500000000000001E-2</v>
          </cell>
        </row>
        <row r="10">
          <cell r="S10">
            <v>0</v>
          </cell>
        </row>
        <row r="13">
          <cell r="H13">
            <v>1.4999999999999999E-2</v>
          </cell>
        </row>
        <row r="14">
          <cell r="H14">
            <v>0.05</v>
          </cell>
        </row>
        <row r="15">
          <cell r="H15">
            <v>6.5000000000000006E-3</v>
          </cell>
        </row>
        <row r="16">
          <cell r="H16">
            <v>0.03</v>
          </cell>
        </row>
        <row r="20">
          <cell r="H20">
            <v>0.05</v>
          </cell>
        </row>
        <row r="24">
          <cell r="H24">
            <v>6.5000000000000006E-3</v>
          </cell>
        </row>
        <row r="25">
          <cell r="K25">
            <v>0.03</v>
          </cell>
        </row>
        <row r="26">
          <cell r="H26">
            <v>0.05</v>
          </cell>
        </row>
        <row r="27">
          <cell r="H27">
            <v>1.2E-2</v>
          </cell>
        </row>
        <row r="28">
          <cell r="H28">
            <v>7.1999999999999998E-3</v>
          </cell>
        </row>
        <row r="30">
          <cell r="H30">
            <v>1.6500000000000001E-2</v>
          </cell>
          <cell r="I30">
            <v>6.5000000000000006E-3</v>
          </cell>
        </row>
        <row r="31">
          <cell r="H31">
            <v>7.5999999999999998E-2</v>
          </cell>
          <cell r="I31">
            <v>0.03</v>
          </cell>
        </row>
      </sheetData>
      <sheetData sheetId="21"/>
      <sheetData sheetId="22"/>
      <sheetData sheetId="23"/>
      <sheetData sheetId="24"/>
      <sheetData sheetId="25"/>
      <sheetData sheetId="26"/>
      <sheetData sheetId="27"/>
      <sheetData sheetId="28">
        <row r="27">
          <cell r="F27">
            <v>180.33333333333334</v>
          </cell>
        </row>
      </sheetData>
      <sheetData sheetId="29"/>
      <sheetData sheetId="30"/>
      <sheetData sheetId="31"/>
      <sheetData sheetId="32"/>
      <sheetData sheetId="33"/>
      <sheetData sheetId="34"/>
      <sheetData sheetId="35">
        <row r="24">
          <cell r="G24">
            <v>0.45492745341720342</v>
          </cell>
        </row>
      </sheetData>
      <sheetData sheetId="36"/>
      <sheetData sheetId="37"/>
      <sheetData sheetId="38">
        <row r="6">
          <cell r="F6">
            <v>5.0000000000000001E-3</v>
          </cell>
        </row>
      </sheetData>
      <sheetData sheetId="39"/>
      <sheetData sheetId="40"/>
      <sheetData sheetId="41"/>
      <sheetData sheetId="42">
        <row r="6">
          <cell r="E6">
            <v>183202.89407003025</v>
          </cell>
          <cell r="F6">
            <v>0</v>
          </cell>
          <cell r="G6">
            <v>0</v>
          </cell>
          <cell r="Q6">
            <v>0</v>
          </cell>
        </row>
        <row r="7">
          <cell r="E7">
            <v>472580.95291063137</v>
          </cell>
          <cell r="F7">
            <v>8036.1170355025915</v>
          </cell>
          <cell r="G7">
            <v>4270.4494865979414</v>
          </cell>
          <cell r="Q7">
            <v>7579.5806108286133</v>
          </cell>
        </row>
        <row r="8">
          <cell r="E8">
            <v>1745195.8117631448</v>
          </cell>
          <cell r="F8">
            <v>96107.892482854077</v>
          </cell>
          <cell r="G8">
            <v>5056.8705407227681</v>
          </cell>
          <cell r="Q8">
            <v>90647.947907229915</v>
          </cell>
        </row>
        <row r="9">
          <cell r="E9">
            <v>211982.43355324148</v>
          </cell>
        </row>
        <row r="10">
          <cell r="E10">
            <v>31574.432718199823</v>
          </cell>
        </row>
        <row r="11">
          <cell r="L11">
            <v>214525.72520153469</v>
          </cell>
        </row>
        <row r="12">
          <cell r="L12">
            <v>825516.52254036604</v>
          </cell>
        </row>
        <row r="13">
          <cell r="E13">
            <v>1420330.3751407722</v>
          </cell>
          <cell r="F13">
            <v>53424.665959922058</v>
          </cell>
          <cell r="G13">
            <v>2992.3999605728804</v>
          </cell>
        </row>
        <row r="23">
          <cell r="G23">
            <v>56200</v>
          </cell>
        </row>
        <row r="34">
          <cell r="E34">
            <v>0</v>
          </cell>
        </row>
      </sheetData>
      <sheetData sheetId="43">
        <row r="41">
          <cell r="F41">
            <v>74353.5</v>
          </cell>
        </row>
      </sheetData>
      <sheetData sheetId="44"/>
      <sheetData sheetId="45">
        <row r="26">
          <cell r="AI26">
            <v>14.5</v>
          </cell>
        </row>
        <row r="30">
          <cell r="AJ30">
            <v>110.1</v>
          </cell>
        </row>
      </sheetData>
      <sheetData sheetId="46"/>
      <sheetData sheetId="47">
        <row r="34">
          <cell r="B34">
            <v>2.0107595448845492</v>
          </cell>
        </row>
        <row r="35">
          <cell r="B35">
            <v>1.7094383335671313</v>
          </cell>
        </row>
      </sheetData>
      <sheetData sheetId="48"/>
      <sheetData sheetId="49"/>
      <sheetData sheetId="50"/>
      <sheetData sheetId="51"/>
      <sheetData sheetId="52"/>
      <sheetData sheetId="53"/>
      <sheetData sheetId="54"/>
      <sheetData sheetId="55"/>
      <sheetData sheetId="56"/>
      <sheetData sheetId="57"/>
      <sheetData sheetId="58">
        <row r="51">
          <cell r="J51">
            <v>37760.74</v>
          </cell>
        </row>
      </sheetData>
      <sheetData sheetId="59">
        <row r="51">
          <cell r="I51">
            <v>12628.839999999998</v>
          </cell>
        </row>
      </sheetData>
      <sheetData sheetId="60"/>
      <sheetData sheetId="61"/>
      <sheetData sheetId="62">
        <row r="82">
          <cell r="H82">
            <v>6</v>
          </cell>
        </row>
      </sheetData>
      <sheetData sheetId="63"/>
      <sheetData sheetId="64"/>
      <sheetData sheetId="65"/>
      <sheetData sheetId="66"/>
      <sheetData sheetId="67"/>
      <sheetData sheetId="68">
        <row r="38">
          <cell r="J38">
            <v>10</v>
          </cell>
        </row>
      </sheetData>
      <sheetData sheetId="69"/>
      <sheetData sheetId="70"/>
      <sheetData sheetId="71"/>
      <sheetData sheetId="72"/>
      <sheetData sheetId="73"/>
      <sheetData sheetId="74"/>
      <sheetData sheetId="75"/>
      <sheetData sheetId="76"/>
      <sheetData sheetId="77"/>
      <sheetData sheetId="78"/>
      <sheetData sheetId="79">
        <row r="21">
          <cell r="K21">
            <v>21</v>
          </cell>
        </row>
      </sheetData>
      <sheetData sheetId="80"/>
      <sheetData sheetId="81"/>
      <sheetData sheetId="82"/>
    </sheetDataSet>
  </externalBook>
</externalLink>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printerSettings" Target="../printerSettings/printerSettings1.bin"/><Relationship Id="rId5" Type="http://schemas.openxmlformats.org/officeDocument/2006/relationships/comments" Target="../comments1.xml"/><Relationship Id="rId4"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C0B053-E01E-4DC9-B669-5C07FD0642AE}">
  <sheetPr codeName="Plan5">
    <tabColor rgb="FFFF0000"/>
  </sheetPr>
  <dimension ref="A1:FA457"/>
  <sheetViews>
    <sheetView showGridLines="0" tabSelected="1" topLeftCell="G102" zoomScale="90" zoomScaleNormal="90" workbookViewId="0">
      <pane ySplit="1" topLeftCell="A103" activePane="bottomLeft" state="frozen"/>
      <selection activeCell="G102" sqref="G102"/>
      <selection pane="bottomLeft" activeCell="O119" sqref="O119"/>
    </sheetView>
  </sheetViews>
  <sheetFormatPr defaultColWidth="9.140625" defaultRowHeight="12.75" x14ac:dyDescent="0.25"/>
  <cols>
    <col min="1" max="3" width="9.140625" style="1" hidden="1" customWidth="1"/>
    <col min="4" max="4" width="18.85546875" style="1" hidden="1" customWidth="1"/>
    <col min="5" max="5" width="2.5703125" style="1" hidden="1" customWidth="1"/>
    <col min="6" max="6" width="8.7109375" style="13" hidden="1" customWidth="1"/>
    <col min="7" max="7" width="7.85546875" style="14" bestFit="1" customWidth="1"/>
    <col min="8" max="8" width="13.5703125" style="1" customWidth="1"/>
    <col min="9" max="9" width="13.42578125" style="2" bestFit="1" customWidth="1"/>
    <col min="10" max="10" width="6" style="1" customWidth="1"/>
    <col min="11" max="11" width="10.5703125" style="1" customWidth="1"/>
    <col min="12" max="12" width="10.28515625" style="1" customWidth="1"/>
    <col min="13" max="13" width="10.5703125" style="1" customWidth="1"/>
    <col min="14" max="14" width="19.7109375" style="2" customWidth="1"/>
    <col min="15" max="15" width="21.140625" style="1" customWidth="1"/>
    <col min="16" max="16" width="4.28515625" style="1" hidden="1" customWidth="1"/>
    <col min="17" max="17" width="4.7109375" style="1" hidden="1" customWidth="1"/>
    <col min="18" max="18" width="4.5703125" style="1" hidden="1" customWidth="1"/>
    <col min="19" max="19" width="4.7109375" style="1" hidden="1" customWidth="1"/>
    <col min="20" max="20" width="16" style="1" hidden="1" customWidth="1"/>
    <col min="21" max="21" width="6" style="1" hidden="1" customWidth="1"/>
    <col min="22" max="23" width="4.28515625" style="1" hidden="1" customWidth="1"/>
    <col min="24" max="24" width="59" style="3" customWidth="1"/>
    <col min="25" max="25" width="21.28515625" style="1" customWidth="1"/>
    <col min="26" max="26" width="3.7109375" style="1" hidden="1" customWidth="1"/>
    <col min="27" max="27" width="6" style="1" hidden="1" customWidth="1"/>
    <col min="28" max="28" width="4.28515625" style="1" hidden="1" customWidth="1"/>
    <col min="29" max="29" width="4" style="1" hidden="1" customWidth="1"/>
    <col min="30" max="30" width="8" style="1" hidden="1" customWidth="1"/>
    <col min="31" max="31" width="14.7109375" style="1" hidden="1" customWidth="1"/>
    <col min="32" max="32" width="7.28515625" style="2" hidden="1" customWidth="1"/>
    <col min="33" max="33" width="9.85546875" style="1" bestFit="1" customWidth="1"/>
    <col min="34" max="34" width="14.28515625" style="4" bestFit="1" customWidth="1"/>
    <col min="35" max="35" width="7.7109375" style="1" customWidth="1"/>
    <col min="36" max="36" width="6.140625" style="1" customWidth="1"/>
    <col min="37" max="38" width="4.85546875" style="1" customWidth="1"/>
    <col min="39" max="39" width="11.7109375" style="1" bestFit="1" customWidth="1"/>
    <col min="40" max="40" width="11.7109375" style="12" bestFit="1" customWidth="1"/>
    <col min="41" max="41" width="10.85546875" style="1" customWidth="1"/>
    <col min="42" max="42" width="16.42578125" style="1" bestFit="1" customWidth="1"/>
    <col min="43" max="43" width="20.7109375" style="1" bestFit="1" customWidth="1"/>
    <col min="44" max="44" width="11.7109375" style="1" bestFit="1" customWidth="1"/>
    <col min="45" max="45" width="8.85546875" style="1" bestFit="1" customWidth="1"/>
    <col min="46" max="46" width="14.5703125" style="1" customWidth="1"/>
    <col min="47" max="47" width="12.140625" style="1" customWidth="1"/>
    <col min="48" max="48" width="4.5703125" style="1" customWidth="1"/>
    <col min="49" max="49" width="10.5703125" style="1" customWidth="1"/>
    <col min="50" max="50" width="9.140625" style="1" bestFit="1" customWidth="1"/>
    <col min="51" max="51" width="8.28515625" style="1" customWidth="1"/>
    <col min="52" max="52" width="8.85546875" style="1" customWidth="1"/>
    <col min="53" max="53" width="8.7109375" style="1" customWidth="1"/>
    <col min="54" max="54" width="27.7109375" style="1" bestFit="1" customWidth="1"/>
    <col min="55" max="55" width="8.28515625" style="1" customWidth="1"/>
    <col min="56" max="56" width="29" style="1" bestFit="1" customWidth="1"/>
    <col min="57" max="57" width="14.140625" style="1" customWidth="1"/>
    <col min="58" max="58" width="9.5703125" style="1" customWidth="1"/>
    <col min="59" max="77" width="4.28515625" style="1" hidden="1" customWidth="1"/>
    <col min="78" max="80" width="4.7109375" style="1" hidden="1" customWidth="1"/>
    <col min="81" max="81" width="9.42578125" style="1" customWidth="1"/>
    <col min="82" max="82" width="9.7109375" style="1" hidden="1" customWidth="1"/>
    <col min="83" max="84" width="6.28515625" style="1" hidden="1" customWidth="1"/>
    <col min="85" max="85" width="5.28515625" style="1" hidden="1" customWidth="1"/>
    <col min="86" max="86" width="6.5703125" style="1" hidden="1" customWidth="1"/>
    <col min="87" max="87" width="4" style="1" hidden="1" customWidth="1"/>
    <col min="88" max="92" width="4.5703125" style="1" hidden="1" customWidth="1"/>
    <col min="93" max="93" width="4" style="1" hidden="1" customWidth="1"/>
    <col min="94" max="94" width="11" style="1" hidden="1" customWidth="1"/>
    <col min="95" max="95" width="12.42578125" style="1" hidden="1" customWidth="1"/>
    <col min="96" max="96" width="10.7109375" style="1" hidden="1" customWidth="1"/>
    <col min="97" max="157" width="9.140625" style="49"/>
    <col min="158" max="16384" width="9.140625" style="1"/>
  </cols>
  <sheetData>
    <row r="1" spans="4:4" hidden="1" x14ac:dyDescent="0.25">
      <c r="D1" s="1" t="s">
        <v>0</v>
      </c>
    </row>
    <row r="38" spans="8:38" hidden="1" x14ac:dyDescent="0.25">
      <c r="H38" s="1" t="s">
        <v>1</v>
      </c>
      <c r="I38" s="1"/>
    </row>
    <row r="39" spans="8:38" hidden="1" x14ac:dyDescent="0.25">
      <c r="H39" s="1" t="s">
        <v>2</v>
      </c>
      <c r="I39" s="1"/>
      <c r="U39" s="1">
        <f>Mestre!AG1312</f>
        <v>0</v>
      </c>
    </row>
    <row r="40" spans="8:38" hidden="1" x14ac:dyDescent="0.25">
      <c r="H40" s="5" t="s">
        <v>3</v>
      </c>
      <c r="I40" s="1"/>
    </row>
    <row r="41" spans="8:38" hidden="1" x14ac:dyDescent="0.25">
      <c r="H41" s="1" t="s">
        <v>4</v>
      </c>
      <c r="I41" s="1"/>
    </row>
    <row r="42" spans="8:38" hidden="1" x14ac:dyDescent="0.25">
      <c r="H42" s="1" t="s">
        <v>5</v>
      </c>
      <c r="I42" s="1"/>
    </row>
    <row r="43" spans="8:38" hidden="1" x14ac:dyDescent="0.25">
      <c r="H43" s="1" t="s">
        <v>6</v>
      </c>
      <c r="I43" s="1"/>
    </row>
    <row r="44" spans="8:38" hidden="1" x14ac:dyDescent="0.25">
      <c r="H44" s="1" t="s">
        <v>7</v>
      </c>
      <c r="I44" s="1"/>
    </row>
    <row r="45" spans="8:38" hidden="1" x14ac:dyDescent="0.25">
      <c r="H45" s="1" t="s">
        <v>8</v>
      </c>
      <c r="I45" s="1"/>
    </row>
    <row r="46" spans="8:38" hidden="1" x14ac:dyDescent="0.25">
      <c r="H46" s="1" t="s">
        <v>9</v>
      </c>
      <c r="I46" s="1"/>
    </row>
    <row r="47" spans="8:38" ht="25.5" hidden="1" x14ac:dyDescent="0.25">
      <c r="H47" s="1" t="s">
        <v>10</v>
      </c>
      <c r="I47" s="1"/>
      <c r="K47" s="1" t="s">
        <v>11</v>
      </c>
      <c r="L47" s="1" t="s">
        <v>12</v>
      </c>
      <c r="N47" s="2" t="s">
        <v>13</v>
      </c>
    </row>
    <row r="48" spans="8:38" ht="51" hidden="1" x14ac:dyDescent="0.25">
      <c r="H48" s="1" t="s">
        <v>14</v>
      </c>
      <c r="I48" s="1"/>
      <c r="J48" s="6">
        <v>48</v>
      </c>
      <c r="K48" s="7" t="s">
        <v>2</v>
      </c>
      <c r="L48" s="1" t="s">
        <v>15</v>
      </c>
      <c r="M48" s="1">
        <v>1</v>
      </c>
      <c r="N48" s="2">
        <v>1</v>
      </c>
      <c r="Z48" s="1" t="s">
        <v>16</v>
      </c>
      <c r="AA48" s="1">
        <v>0</v>
      </c>
      <c r="AC48" s="1" t="s">
        <v>17</v>
      </c>
      <c r="AE48" s="1" t="s">
        <v>18</v>
      </c>
      <c r="AF48" s="2" t="s">
        <v>19</v>
      </c>
      <c r="AI48" s="8">
        <v>0.15</v>
      </c>
      <c r="AJ48" s="8">
        <v>0.05</v>
      </c>
      <c r="AK48" s="8">
        <v>0</v>
      </c>
      <c r="AL48" s="8"/>
    </row>
    <row r="49" spans="6:47" ht="51" hidden="1" x14ac:dyDescent="0.25">
      <c r="F49" s="9"/>
      <c r="G49" s="10"/>
      <c r="H49" s="1" t="s">
        <v>20</v>
      </c>
      <c r="I49" s="5"/>
      <c r="J49" s="6">
        <v>49</v>
      </c>
      <c r="K49" s="7" t="s">
        <v>3</v>
      </c>
      <c r="L49" s="1" t="s">
        <v>21</v>
      </c>
      <c r="M49" s="1">
        <v>2</v>
      </c>
      <c r="N49" s="2">
        <v>1</v>
      </c>
      <c r="Z49" s="1" t="s">
        <v>22</v>
      </c>
      <c r="AA49" s="1">
        <v>4</v>
      </c>
      <c r="AC49" s="1" t="s">
        <v>23</v>
      </c>
      <c r="AE49" s="1" t="s">
        <v>24</v>
      </c>
      <c r="AF49" s="2" t="s">
        <v>25</v>
      </c>
      <c r="AH49" s="11"/>
      <c r="AI49" s="8">
        <v>0.03</v>
      </c>
      <c r="AJ49" s="8">
        <v>7.0000000000000007E-2</v>
      </c>
      <c r="AK49" s="8">
        <v>0.01</v>
      </c>
      <c r="AL49" s="8"/>
    </row>
    <row r="50" spans="6:47" hidden="1" x14ac:dyDescent="0.25">
      <c r="H50" s="1" t="s">
        <v>26</v>
      </c>
      <c r="I50" s="1"/>
      <c r="J50" s="6">
        <v>50</v>
      </c>
      <c r="K50" s="15" t="s">
        <v>27</v>
      </c>
      <c r="L50" s="1" t="s">
        <v>28</v>
      </c>
      <c r="M50" s="1">
        <v>3</v>
      </c>
      <c r="N50" s="2">
        <v>1</v>
      </c>
      <c r="Z50" s="1" t="s">
        <v>29</v>
      </c>
      <c r="AA50" s="1">
        <v>8</v>
      </c>
      <c r="AC50" s="1" t="s">
        <v>30</v>
      </c>
      <c r="AE50" s="1" t="s">
        <v>31</v>
      </c>
      <c r="AF50" s="2" t="s">
        <v>32</v>
      </c>
      <c r="AI50" s="8">
        <v>0.05</v>
      </c>
      <c r="AJ50" s="8">
        <v>0.12</v>
      </c>
      <c r="AK50" s="8">
        <v>0.02</v>
      </c>
      <c r="AL50" s="8"/>
    </row>
    <row r="51" spans="6:47" hidden="1" x14ac:dyDescent="0.25">
      <c r="H51" s="1" t="s">
        <v>33</v>
      </c>
      <c r="I51" s="1"/>
      <c r="J51" s="6">
        <v>51</v>
      </c>
      <c r="K51" s="15" t="s">
        <v>34</v>
      </c>
      <c r="L51" s="16"/>
      <c r="M51" s="1">
        <v>4</v>
      </c>
      <c r="N51" s="2">
        <v>1</v>
      </c>
      <c r="Z51" s="1" t="s">
        <v>35</v>
      </c>
      <c r="AA51" s="1">
        <v>12</v>
      </c>
      <c r="AC51" s="1" t="s">
        <v>36</v>
      </c>
      <c r="AE51" s="1" t="s">
        <v>37</v>
      </c>
      <c r="AF51" s="2" t="s">
        <v>38</v>
      </c>
      <c r="AI51" s="8">
        <v>0.1</v>
      </c>
      <c r="AJ51" s="8">
        <v>0.18</v>
      </c>
      <c r="AK51" s="8">
        <v>0.03</v>
      </c>
      <c r="AL51" s="8"/>
    </row>
    <row r="52" spans="6:47" hidden="1" x14ac:dyDescent="0.25">
      <c r="H52" s="1" t="s">
        <v>39</v>
      </c>
      <c r="I52" s="1"/>
      <c r="J52" s="6">
        <v>52</v>
      </c>
      <c r="K52" s="7" t="s">
        <v>7</v>
      </c>
      <c r="L52" s="16"/>
      <c r="M52" s="1">
        <v>5</v>
      </c>
      <c r="N52" s="2">
        <v>1</v>
      </c>
      <c r="Z52" s="1" t="s">
        <v>40</v>
      </c>
      <c r="AA52" s="1">
        <v>16</v>
      </c>
      <c r="AC52" s="1" t="s">
        <v>41</v>
      </c>
      <c r="AE52" s="1" t="s">
        <v>42</v>
      </c>
      <c r="AF52" s="2" t="s">
        <v>43</v>
      </c>
      <c r="AI52" s="8">
        <v>0.2</v>
      </c>
      <c r="AJ52" s="17">
        <v>8.7999999999999995E-2</v>
      </c>
      <c r="AK52" s="8">
        <v>0.04</v>
      </c>
      <c r="AL52" s="8"/>
    </row>
    <row r="53" spans="6:47" ht="25.5" hidden="1" x14ac:dyDescent="0.25">
      <c r="H53" s="1" t="s">
        <v>44</v>
      </c>
      <c r="I53" s="18"/>
      <c r="J53" s="6">
        <v>53</v>
      </c>
      <c r="K53" s="15" t="s">
        <v>45</v>
      </c>
      <c r="L53" s="16"/>
      <c r="M53" s="1">
        <v>6</v>
      </c>
      <c r="N53" s="2">
        <v>1</v>
      </c>
      <c r="Z53" s="1" t="s">
        <v>46</v>
      </c>
      <c r="AA53" s="1">
        <v>20</v>
      </c>
      <c r="AC53" s="1" t="s">
        <v>47</v>
      </c>
      <c r="AE53" s="1" t="s">
        <v>48</v>
      </c>
      <c r="AI53" s="8">
        <v>0</v>
      </c>
      <c r="AJ53" s="8">
        <v>0</v>
      </c>
      <c r="AK53" s="8">
        <v>0.05</v>
      </c>
      <c r="AL53" s="8"/>
    </row>
    <row r="54" spans="6:47" hidden="1" x14ac:dyDescent="0.25">
      <c r="H54" s="1" t="s">
        <v>49</v>
      </c>
      <c r="I54" s="18"/>
      <c r="J54" s="6">
        <v>54</v>
      </c>
      <c r="K54" s="15" t="s">
        <v>50</v>
      </c>
      <c r="L54" s="16"/>
      <c r="M54" s="1">
        <v>7</v>
      </c>
      <c r="N54" s="2">
        <v>1</v>
      </c>
      <c r="Z54" s="1" t="s">
        <v>51</v>
      </c>
      <c r="AA54" s="1">
        <v>24</v>
      </c>
      <c r="AC54" s="1" t="s">
        <v>52</v>
      </c>
      <c r="AE54" s="1" t="s">
        <v>53</v>
      </c>
      <c r="AI54" s="17">
        <v>7.4999999999999997E-3</v>
      </c>
      <c r="AJ54" s="17"/>
      <c r="AK54" s="8">
        <v>0.06</v>
      </c>
      <c r="AL54" s="8"/>
    </row>
    <row r="55" spans="6:47" hidden="1" x14ac:dyDescent="0.25">
      <c r="H55" s="1" t="s">
        <v>54</v>
      </c>
      <c r="I55" s="18"/>
      <c r="J55" s="6">
        <v>55</v>
      </c>
      <c r="K55" s="15" t="s">
        <v>55</v>
      </c>
      <c r="L55" s="16"/>
      <c r="M55" s="1">
        <v>8</v>
      </c>
      <c r="N55" s="2">
        <v>1</v>
      </c>
      <c r="Z55" s="1" t="s">
        <v>56</v>
      </c>
      <c r="AA55" s="1">
        <v>32</v>
      </c>
      <c r="AC55" s="1" t="s">
        <v>57</v>
      </c>
      <c r="AE55" s="1" t="s">
        <v>58</v>
      </c>
      <c r="AK55" s="8">
        <v>7.0000000000000007E-2</v>
      </c>
      <c r="AL55" s="8"/>
    </row>
    <row r="56" spans="6:47" ht="25.5" hidden="1" x14ac:dyDescent="0.25">
      <c r="H56" s="1" t="s">
        <v>59</v>
      </c>
      <c r="I56" s="18"/>
      <c r="J56" s="6">
        <v>56</v>
      </c>
      <c r="K56" s="15" t="s">
        <v>60</v>
      </c>
      <c r="L56" s="16"/>
      <c r="M56" s="1">
        <v>9</v>
      </c>
      <c r="N56" s="2">
        <v>1</v>
      </c>
      <c r="Z56" s="1" t="s">
        <v>61</v>
      </c>
      <c r="AA56" s="1">
        <v>36</v>
      </c>
      <c r="AC56" s="1" t="s">
        <v>62</v>
      </c>
      <c r="AE56" s="1" t="s">
        <v>63</v>
      </c>
      <c r="AK56" s="8">
        <v>0.08</v>
      </c>
      <c r="AL56" s="8"/>
    </row>
    <row r="57" spans="6:47" hidden="1" x14ac:dyDescent="0.25">
      <c r="H57" s="1" t="s">
        <v>64</v>
      </c>
      <c r="I57" s="18"/>
      <c r="J57" s="6">
        <v>57</v>
      </c>
      <c r="K57" s="15" t="s">
        <v>65</v>
      </c>
      <c r="L57" s="16"/>
      <c r="M57" s="1">
        <v>10</v>
      </c>
      <c r="N57" s="2">
        <v>1</v>
      </c>
      <c r="Z57" s="1" t="s">
        <v>66</v>
      </c>
      <c r="AA57" s="1">
        <v>40</v>
      </c>
      <c r="AC57" s="1" t="s">
        <v>67</v>
      </c>
      <c r="AE57" s="1" t="s">
        <v>68</v>
      </c>
      <c r="AK57" s="8">
        <v>0.09</v>
      </c>
      <c r="AL57" s="8"/>
    </row>
    <row r="58" spans="6:47" hidden="1" x14ac:dyDescent="0.25">
      <c r="H58" s="1" t="s">
        <v>69</v>
      </c>
      <c r="I58" s="18"/>
      <c r="J58" s="6">
        <v>58</v>
      </c>
      <c r="K58" s="15" t="s">
        <v>70</v>
      </c>
      <c r="L58" s="16"/>
      <c r="M58" s="1">
        <v>11</v>
      </c>
      <c r="N58" s="2">
        <v>1</v>
      </c>
      <c r="Z58" s="1" t="s">
        <v>43</v>
      </c>
      <c r="AA58" s="1">
        <v>46</v>
      </c>
      <c r="AC58" s="1" t="s">
        <v>71</v>
      </c>
      <c r="AE58" s="1" t="s">
        <v>72</v>
      </c>
      <c r="AK58" s="8">
        <v>0.1</v>
      </c>
      <c r="AL58" s="8"/>
    </row>
    <row r="59" spans="6:47" ht="25.5" hidden="1" x14ac:dyDescent="0.25">
      <c r="H59" s="1" t="s">
        <v>73</v>
      </c>
      <c r="I59" s="1"/>
      <c r="J59" s="6">
        <v>59</v>
      </c>
      <c r="K59" s="7" t="s">
        <v>74</v>
      </c>
      <c r="L59" s="16"/>
      <c r="M59" s="1">
        <v>12</v>
      </c>
      <c r="N59" s="2">
        <v>1</v>
      </c>
      <c r="Z59" s="1" t="s">
        <v>75</v>
      </c>
      <c r="AA59" s="1">
        <v>50</v>
      </c>
      <c r="AC59" s="1" t="s">
        <v>76</v>
      </c>
      <c r="AE59" s="1" t="s">
        <v>77</v>
      </c>
      <c r="AK59" s="8">
        <v>0.11</v>
      </c>
      <c r="AL59" s="8"/>
      <c r="AU59" s="19"/>
    </row>
    <row r="60" spans="6:47" hidden="1" x14ac:dyDescent="0.25">
      <c r="H60" s="1" t="s">
        <v>78</v>
      </c>
      <c r="I60" s="1"/>
      <c r="J60" s="6">
        <v>60</v>
      </c>
      <c r="K60" s="7" t="s">
        <v>79</v>
      </c>
      <c r="L60" s="16"/>
      <c r="M60" s="1">
        <v>13</v>
      </c>
      <c r="N60" s="2">
        <v>1</v>
      </c>
      <c r="Z60" s="1" t="s">
        <v>80</v>
      </c>
      <c r="AA60" s="1">
        <v>62</v>
      </c>
      <c r="AC60" s="1" t="s">
        <v>81</v>
      </c>
      <c r="AE60" s="1" t="s">
        <v>82</v>
      </c>
      <c r="AK60" s="8">
        <v>0.12</v>
      </c>
      <c r="AL60" s="8"/>
      <c r="AU60" s="19"/>
    </row>
    <row r="61" spans="6:47" hidden="1" x14ac:dyDescent="0.25">
      <c r="H61" s="1" t="s">
        <v>83</v>
      </c>
      <c r="I61" s="1"/>
      <c r="J61" s="6">
        <v>61</v>
      </c>
      <c r="K61" s="7" t="s">
        <v>84</v>
      </c>
      <c r="L61" s="16"/>
      <c r="M61" s="1">
        <v>14</v>
      </c>
      <c r="N61" s="2">
        <v>1</v>
      </c>
      <c r="Z61" s="1" t="s">
        <v>85</v>
      </c>
      <c r="AA61" s="1">
        <v>14</v>
      </c>
      <c r="AC61" s="1" t="s">
        <v>86</v>
      </c>
      <c r="AE61" s="1" t="s">
        <v>87</v>
      </c>
      <c r="AK61" s="8">
        <v>0.13</v>
      </c>
      <c r="AL61" s="8"/>
      <c r="AU61" s="19"/>
    </row>
    <row r="62" spans="6:47" ht="51" hidden="1" x14ac:dyDescent="0.25">
      <c r="H62" s="1" t="s">
        <v>88</v>
      </c>
      <c r="I62" s="1"/>
      <c r="J62" s="6">
        <v>62</v>
      </c>
      <c r="K62" s="7" t="s">
        <v>89</v>
      </c>
      <c r="L62" s="16"/>
      <c r="M62" s="1">
        <v>15</v>
      </c>
      <c r="N62" s="2">
        <v>1</v>
      </c>
      <c r="Z62" s="1" t="s">
        <v>90</v>
      </c>
      <c r="AC62" s="1" t="s">
        <v>91</v>
      </c>
      <c r="AE62" s="1" t="s">
        <v>92</v>
      </c>
      <c r="AK62" s="8">
        <v>0.14000000000000001</v>
      </c>
      <c r="AL62" s="8"/>
      <c r="AU62" s="19"/>
    </row>
    <row r="63" spans="6:47" ht="51" hidden="1" x14ac:dyDescent="0.25">
      <c r="H63" s="1" t="s">
        <v>93</v>
      </c>
      <c r="I63" s="1"/>
      <c r="J63" s="6">
        <v>63</v>
      </c>
      <c r="K63" s="7" t="s">
        <v>94</v>
      </c>
      <c r="L63" s="16"/>
      <c r="M63" s="1">
        <v>16</v>
      </c>
      <c r="N63" s="2">
        <v>1</v>
      </c>
      <c r="Z63" s="1" t="s">
        <v>95</v>
      </c>
      <c r="AC63" s="1" t="s">
        <v>96</v>
      </c>
      <c r="AE63" s="1" t="s">
        <v>97</v>
      </c>
      <c r="AK63" s="8">
        <v>0.15</v>
      </c>
      <c r="AL63" s="8"/>
      <c r="AU63" s="19"/>
    </row>
    <row r="64" spans="6:47" ht="51" hidden="1" x14ac:dyDescent="0.25">
      <c r="H64" s="1" t="s">
        <v>98</v>
      </c>
      <c r="I64" s="1"/>
      <c r="J64" s="6">
        <v>64</v>
      </c>
      <c r="K64" s="7" t="s">
        <v>99</v>
      </c>
      <c r="L64" s="16"/>
      <c r="M64" s="1">
        <v>17</v>
      </c>
      <c r="N64" s="2">
        <v>1</v>
      </c>
      <c r="Z64" s="1" t="s">
        <v>100</v>
      </c>
      <c r="AC64" s="1" t="s">
        <v>101</v>
      </c>
      <c r="AE64" s="1" t="s">
        <v>102</v>
      </c>
      <c r="AK64" s="8">
        <v>0.16</v>
      </c>
      <c r="AL64" s="8"/>
      <c r="AU64" s="19"/>
    </row>
    <row r="65" spans="8:57" ht="102" hidden="1" x14ac:dyDescent="0.25">
      <c r="H65" s="18" t="s">
        <v>45</v>
      </c>
      <c r="I65" s="1"/>
      <c r="J65" s="6">
        <v>65</v>
      </c>
      <c r="K65" s="15" t="s">
        <v>103</v>
      </c>
      <c r="L65" s="16"/>
      <c r="M65" s="1">
        <v>18</v>
      </c>
      <c r="N65" s="2">
        <v>1</v>
      </c>
      <c r="Z65" s="1" t="s">
        <v>104</v>
      </c>
      <c r="AC65" s="1" t="s">
        <v>105</v>
      </c>
      <c r="AE65" s="1" t="s">
        <v>106</v>
      </c>
      <c r="AK65" s="8">
        <v>0.17</v>
      </c>
      <c r="AL65" s="8"/>
      <c r="AU65" s="19" t="s">
        <v>107</v>
      </c>
    </row>
    <row r="66" spans="8:57" hidden="1" x14ac:dyDescent="0.25">
      <c r="H66" s="18" t="s">
        <v>50</v>
      </c>
      <c r="I66" s="18"/>
      <c r="J66" s="6">
        <v>66</v>
      </c>
      <c r="K66" s="7" t="s">
        <v>108</v>
      </c>
      <c r="L66" s="20"/>
      <c r="M66" s="1">
        <v>19</v>
      </c>
      <c r="N66" s="2">
        <v>1</v>
      </c>
      <c r="AC66" s="1" t="s">
        <v>109</v>
      </c>
      <c r="AE66" s="1" t="s">
        <v>110</v>
      </c>
      <c r="AK66" s="8">
        <v>0.18</v>
      </c>
      <c r="AL66" s="8"/>
      <c r="AU66" s="19" t="s">
        <v>111</v>
      </c>
    </row>
    <row r="67" spans="8:57" ht="25.5" hidden="1" x14ac:dyDescent="0.25">
      <c r="H67" s="18" t="s">
        <v>55</v>
      </c>
      <c r="I67" s="1"/>
      <c r="J67" s="6">
        <v>67</v>
      </c>
      <c r="K67" s="7" t="s">
        <v>112</v>
      </c>
      <c r="L67" s="20"/>
      <c r="M67" s="1">
        <v>20</v>
      </c>
      <c r="N67" s="2">
        <v>1</v>
      </c>
      <c r="AC67" s="1" t="s">
        <v>113</v>
      </c>
      <c r="AE67" s="1" t="s">
        <v>114</v>
      </c>
      <c r="AK67" s="8">
        <v>0.19</v>
      </c>
      <c r="AL67" s="8"/>
      <c r="AU67" s="19" t="s">
        <v>115</v>
      </c>
    </row>
    <row r="68" spans="8:57" ht="25.5" hidden="1" x14ac:dyDescent="0.25">
      <c r="H68" s="18" t="s">
        <v>60</v>
      </c>
      <c r="I68" s="1"/>
      <c r="J68" s="6">
        <v>68</v>
      </c>
      <c r="K68" s="7" t="s">
        <v>116</v>
      </c>
      <c r="L68" s="20"/>
      <c r="M68" s="1">
        <v>21</v>
      </c>
      <c r="N68" s="2">
        <v>1</v>
      </c>
      <c r="AC68" s="1" t="s">
        <v>117</v>
      </c>
      <c r="AE68" s="1" t="s">
        <v>118</v>
      </c>
      <c r="AK68" s="8">
        <v>0.2</v>
      </c>
      <c r="AL68" s="8"/>
      <c r="AU68" s="19" t="s">
        <v>119</v>
      </c>
      <c r="AY68" s="21"/>
      <c r="AZ68" s="22"/>
      <c r="BA68" s="22"/>
      <c r="BB68" s="22"/>
      <c r="BC68" s="22"/>
      <c r="BD68" s="22"/>
      <c r="BE68" s="21"/>
    </row>
    <row r="69" spans="8:57" hidden="1" x14ac:dyDescent="0.25">
      <c r="H69" s="18" t="s">
        <v>65</v>
      </c>
      <c r="I69" s="1"/>
      <c r="J69" s="6">
        <v>69</v>
      </c>
      <c r="K69" s="7" t="s">
        <v>120</v>
      </c>
      <c r="L69" s="20"/>
      <c r="AC69" s="1" t="s">
        <v>121</v>
      </c>
      <c r="AE69" s="1" t="s">
        <v>122</v>
      </c>
      <c r="AK69" s="8">
        <v>0.21</v>
      </c>
      <c r="AL69" s="8"/>
      <c r="AU69" s="19"/>
      <c r="AY69" s="21"/>
      <c r="AZ69" s="22"/>
      <c r="BA69" s="22"/>
      <c r="BB69" s="22"/>
      <c r="BC69" s="22"/>
      <c r="BD69" s="22"/>
      <c r="BE69" s="21"/>
    </row>
    <row r="70" spans="8:57" hidden="1" x14ac:dyDescent="0.25">
      <c r="H70" s="18" t="s">
        <v>70</v>
      </c>
      <c r="I70" s="18"/>
      <c r="J70" s="6">
        <v>70</v>
      </c>
      <c r="K70" s="15" t="s">
        <v>123</v>
      </c>
      <c r="AC70" s="1" t="s">
        <v>124</v>
      </c>
      <c r="AE70" s="1" t="s">
        <v>125</v>
      </c>
      <c r="AK70" s="8">
        <v>0.22</v>
      </c>
      <c r="AL70" s="8"/>
      <c r="AU70" s="19"/>
      <c r="AY70" s="21"/>
      <c r="AZ70" s="22"/>
      <c r="BA70" s="22"/>
      <c r="BB70" s="22"/>
      <c r="BC70" s="22"/>
      <c r="BD70" s="22"/>
      <c r="BE70" s="21"/>
    </row>
    <row r="71" spans="8:57" hidden="1" x14ac:dyDescent="0.25">
      <c r="H71" s="1" t="s">
        <v>74</v>
      </c>
      <c r="I71" s="1"/>
      <c r="K71" s="1" t="s">
        <v>126</v>
      </c>
      <c r="AC71" s="1" t="s">
        <v>43</v>
      </c>
      <c r="AE71" s="1" t="s">
        <v>127</v>
      </c>
      <c r="AK71" s="8">
        <v>0.23</v>
      </c>
      <c r="AL71" s="8"/>
      <c r="AU71" s="19"/>
      <c r="AY71" s="21"/>
      <c r="AZ71" s="22"/>
      <c r="BA71" s="22"/>
      <c r="BB71" s="22"/>
      <c r="BC71" s="22"/>
      <c r="BD71" s="22"/>
      <c r="BE71" s="21"/>
    </row>
    <row r="72" spans="8:57" hidden="1" x14ac:dyDescent="0.25">
      <c r="H72" s="1" t="s">
        <v>128</v>
      </c>
      <c r="I72" s="1"/>
      <c r="AC72" s="1" t="s">
        <v>129</v>
      </c>
      <c r="AE72" s="1" t="s">
        <v>130</v>
      </c>
      <c r="AK72" s="8">
        <v>0.25</v>
      </c>
      <c r="AL72" s="8"/>
      <c r="AU72" s="19"/>
      <c r="AY72" s="21"/>
      <c r="AZ72" s="22"/>
      <c r="BA72" s="22"/>
      <c r="BB72" s="22"/>
      <c r="BC72" s="22"/>
      <c r="BD72" s="22"/>
      <c r="BE72" s="21"/>
    </row>
    <row r="73" spans="8:57" hidden="1" x14ac:dyDescent="0.25">
      <c r="H73" s="1" t="s">
        <v>84</v>
      </c>
      <c r="I73" s="1"/>
      <c r="AE73" s="1" t="s">
        <v>131</v>
      </c>
      <c r="AK73" s="8">
        <v>0.27</v>
      </c>
      <c r="AL73" s="8"/>
      <c r="AU73" s="19"/>
      <c r="AY73" s="21"/>
      <c r="AZ73" s="22"/>
      <c r="BA73" s="22"/>
      <c r="BB73" s="22"/>
      <c r="BC73" s="22"/>
      <c r="BD73" s="22"/>
      <c r="BE73" s="21"/>
    </row>
    <row r="74" spans="8:57" hidden="1" x14ac:dyDescent="0.25">
      <c r="H74" s="1" t="s">
        <v>89</v>
      </c>
      <c r="I74" s="1"/>
      <c r="N74" s="23" t="s">
        <v>2</v>
      </c>
      <c r="O74" s="24" t="s">
        <v>132</v>
      </c>
      <c r="AE74" s="1" t="s">
        <v>133</v>
      </c>
      <c r="AK74" s="8">
        <v>0.28999999999999998</v>
      </c>
      <c r="AL74" s="8"/>
      <c r="AU74" s="19"/>
      <c r="AY74" s="21"/>
      <c r="AZ74" s="22"/>
      <c r="BA74" s="22"/>
      <c r="BB74" s="22"/>
      <c r="BC74" s="22"/>
      <c r="BD74" s="22"/>
      <c r="BE74" s="21"/>
    </row>
    <row r="75" spans="8:57" hidden="1" x14ac:dyDescent="0.25">
      <c r="H75" s="1" t="s">
        <v>94</v>
      </c>
      <c r="I75" s="1"/>
      <c r="N75" s="23" t="s">
        <v>3</v>
      </c>
      <c r="O75" s="24" t="s">
        <v>132</v>
      </c>
      <c r="AE75" s="1" t="s">
        <v>134</v>
      </c>
      <c r="AK75" s="8">
        <v>0.31</v>
      </c>
      <c r="AL75" s="8"/>
      <c r="AU75" s="19"/>
      <c r="AY75" s="21"/>
      <c r="AZ75" s="22"/>
      <c r="BA75" s="22"/>
      <c r="BB75" s="22"/>
      <c r="BC75" s="22"/>
      <c r="BD75" s="22"/>
      <c r="BE75" s="21"/>
    </row>
    <row r="76" spans="8:57" hidden="1" x14ac:dyDescent="0.25">
      <c r="H76" s="1" t="s">
        <v>99</v>
      </c>
      <c r="I76" s="1"/>
      <c r="N76" s="23" t="s">
        <v>27</v>
      </c>
      <c r="O76" s="25" t="s">
        <v>135</v>
      </c>
      <c r="AE76" s="1" t="s">
        <v>136</v>
      </c>
      <c r="AK76" s="8">
        <v>0.33</v>
      </c>
      <c r="AL76" s="8"/>
      <c r="AU76" s="19"/>
      <c r="AY76" s="21"/>
      <c r="AZ76" s="22"/>
      <c r="BA76" s="22"/>
      <c r="BB76" s="22"/>
      <c r="BC76" s="22"/>
      <c r="BD76" s="22"/>
      <c r="BE76" s="21"/>
    </row>
    <row r="77" spans="8:57" hidden="1" x14ac:dyDescent="0.25">
      <c r="H77" s="1" t="s">
        <v>137</v>
      </c>
      <c r="I77" s="1"/>
      <c r="N77" s="23" t="s">
        <v>34</v>
      </c>
      <c r="O77" s="25" t="s">
        <v>135</v>
      </c>
      <c r="AE77" s="1" t="s">
        <v>138</v>
      </c>
      <c r="AK77" s="8">
        <v>0.35</v>
      </c>
      <c r="AL77" s="8"/>
      <c r="AY77" s="21"/>
      <c r="AZ77" s="22"/>
      <c r="BA77" s="22"/>
      <c r="BB77" s="22"/>
      <c r="BC77" s="22"/>
      <c r="BD77" s="22"/>
      <c r="BE77" s="21"/>
    </row>
    <row r="78" spans="8:57" ht="51" hidden="1" x14ac:dyDescent="0.25">
      <c r="H78" s="18" t="s">
        <v>103</v>
      </c>
      <c r="I78" s="1"/>
      <c r="N78" s="23" t="s">
        <v>7</v>
      </c>
      <c r="O78" s="24" t="s">
        <v>132</v>
      </c>
      <c r="Z78" s="1" t="s">
        <v>90</v>
      </c>
      <c r="AE78" s="1" t="s">
        <v>139</v>
      </c>
      <c r="AK78" s="8">
        <v>0.37</v>
      </c>
      <c r="AL78" s="8"/>
      <c r="AY78" s="21"/>
      <c r="AZ78" s="22"/>
      <c r="BA78" s="22"/>
      <c r="BB78" s="22"/>
      <c r="BC78" s="22"/>
      <c r="BD78" s="22"/>
      <c r="BE78" s="21"/>
    </row>
    <row r="79" spans="8:57" ht="51" hidden="1" x14ac:dyDescent="0.25">
      <c r="H79" s="1" t="s">
        <v>108</v>
      </c>
      <c r="I79" s="1"/>
      <c r="N79" s="23" t="s">
        <v>45</v>
      </c>
      <c r="O79" s="26" t="s">
        <v>140</v>
      </c>
      <c r="Z79" s="1" t="s">
        <v>95</v>
      </c>
      <c r="AE79" s="1" t="s">
        <v>141</v>
      </c>
      <c r="AK79" s="8">
        <v>0.39</v>
      </c>
      <c r="AL79" s="8"/>
      <c r="AY79" s="21"/>
      <c r="AZ79" s="22"/>
      <c r="BA79" s="22"/>
      <c r="BB79" s="22"/>
      <c r="BC79" s="22"/>
      <c r="BD79" s="22"/>
      <c r="BE79" s="21"/>
    </row>
    <row r="80" spans="8:57" ht="51" hidden="1" x14ac:dyDescent="0.25">
      <c r="H80" s="1" t="s">
        <v>112</v>
      </c>
      <c r="I80" s="1"/>
      <c r="N80" s="23" t="s">
        <v>50</v>
      </c>
      <c r="O80" s="26" t="s">
        <v>135</v>
      </c>
      <c r="Z80" s="1" t="s">
        <v>100</v>
      </c>
      <c r="AE80" s="1" t="s">
        <v>142</v>
      </c>
      <c r="AK80" s="8">
        <v>0.41</v>
      </c>
      <c r="AL80" s="8"/>
      <c r="AY80" s="21"/>
      <c r="AZ80" s="22"/>
      <c r="BA80" s="22"/>
      <c r="BB80" s="22"/>
      <c r="BC80" s="22"/>
      <c r="BD80" s="22"/>
      <c r="BE80" s="21"/>
    </row>
    <row r="81" spans="8:57" ht="102" hidden="1" x14ac:dyDescent="0.25">
      <c r="H81" s="1" t="s">
        <v>116</v>
      </c>
      <c r="I81" s="1"/>
      <c r="N81" s="23" t="s">
        <v>55</v>
      </c>
      <c r="O81" s="26" t="s">
        <v>140</v>
      </c>
      <c r="T81" s="27" t="str">
        <f>VLOOKUP(T85,N74:O95,2)</f>
        <v>Serviços</v>
      </c>
      <c r="Z81" s="1" t="s">
        <v>104</v>
      </c>
      <c r="AE81" s="1" t="s">
        <v>143</v>
      </c>
      <c r="AK81" s="8">
        <v>0.43</v>
      </c>
      <c r="AL81" s="8"/>
      <c r="AY81" s="21"/>
      <c r="AZ81" s="22"/>
      <c r="BA81" s="22"/>
      <c r="BB81" s="22"/>
      <c r="BC81" s="22"/>
      <c r="BD81" s="22"/>
      <c r="BE81" s="21"/>
    </row>
    <row r="82" spans="8:57" hidden="1" x14ac:dyDescent="0.25">
      <c r="H82" s="18" t="s">
        <v>120</v>
      </c>
      <c r="I82" s="1"/>
      <c r="N82" s="23" t="s">
        <v>70</v>
      </c>
      <c r="O82" s="26" t="s">
        <v>140</v>
      </c>
      <c r="Z82" s="1" t="s">
        <v>51</v>
      </c>
      <c r="AE82" s="1" t="s">
        <v>144</v>
      </c>
      <c r="AK82" s="8">
        <v>0.45</v>
      </c>
      <c r="AL82" s="8"/>
      <c r="AY82" s="21"/>
      <c r="AZ82" s="22"/>
      <c r="BA82" s="22"/>
      <c r="BB82" s="22"/>
      <c r="BC82" s="22"/>
      <c r="BD82" s="22"/>
      <c r="BE82" s="21"/>
    </row>
    <row r="83" spans="8:57" hidden="1" x14ac:dyDescent="0.25">
      <c r="H83" s="1" t="s">
        <v>145</v>
      </c>
      <c r="I83" s="1"/>
      <c r="N83" s="23" t="s">
        <v>60</v>
      </c>
      <c r="O83" s="26" t="s">
        <v>140</v>
      </c>
      <c r="Z83" s="1" t="s">
        <v>80</v>
      </c>
      <c r="AE83" s="1" t="s">
        <v>146</v>
      </c>
      <c r="AK83" s="8">
        <v>0.47</v>
      </c>
      <c r="AL83" s="8"/>
      <c r="AY83" s="21"/>
      <c r="AZ83" s="22"/>
      <c r="BA83" s="22"/>
      <c r="BB83" s="22"/>
      <c r="BC83" s="22"/>
      <c r="BD83" s="22"/>
      <c r="BE83" s="21"/>
    </row>
    <row r="84" spans="8:57" ht="25.5" hidden="1" x14ac:dyDescent="0.25">
      <c r="H84" s="1" t="s">
        <v>147</v>
      </c>
      <c r="I84" s="1"/>
      <c r="N84" s="23" t="s">
        <v>65</v>
      </c>
      <c r="O84" s="26" t="s">
        <v>140</v>
      </c>
      <c r="Z84" s="1" t="s">
        <v>56</v>
      </c>
      <c r="AE84" s="1" t="s">
        <v>148</v>
      </c>
      <c r="AK84" s="8">
        <v>0.49</v>
      </c>
      <c r="AL84" s="8"/>
      <c r="AY84" s="21"/>
      <c r="AZ84" s="22"/>
      <c r="BA84" s="22"/>
      <c r="BB84" s="22"/>
      <c r="BC84" s="22"/>
      <c r="BD84" s="22"/>
      <c r="BE84" s="21"/>
    </row>
    <row r="85" spans="8:57" hidden="1" x14ac:dyDescent="0.2">
      <c r="I85" s="28" t="s">
        <v>132</v>
      </c>
      <c r="L85" s="29"/>
      <c r="N85" s="23" t="s">
        <v>120</v>
      </c>
      <c r="O85" s="24" t="s">
        <v>132</v>
      </c>
      <c r="T85" s="27" t="s">
        <v>149</v>
      </c>
      <c r="Z85" s="1" t="s">
        <v>85</v>
      </c>
      <c r="AE85" s="1" t="s">
        <v>150</v>
      </c>
      <c r="AK85" s="8">
        <v>0.51</v>
      </c>
      <c r="AL85" s="8"/>
      <c r="AY85" s="21"/>
      <c r="AZ85" s="22"/>
      <c r="BA85" s="22"/>
      <c r="BB85" s="22"/>
      <c r="BC85" s="22"/>
      <c r="BD85" s="22"/>
      <c r="BE85" s="21"/>
    </row>
    <row r="86" spans="8:57" ht="13.5" hidden="1" x14ac:dyDescent="0.25">
      <c r="I86" s="30" t="s">
        <v>135</v>
      </c>
      <c r="L86" s="31"/>
      <c r="N86" s="23" t="s">
        <v>74</v>
      </c>
      <c r="O86" s="24" t="s">
        <v>132</v>
      </c>
      <c r="Z86" s="1" t="s">
        <v>29</v>
      </c>
      <c r="AE86" s="1" t="s">
        <v>151</v>
      </c>
      <c r="AK86" s="8">
        <v>0.53</v>
      </c>
      <c r="AL86" s="8"/>
      <c r="AY86" s="21"/>
      <c r="AZ86" s="22"/>
      <c r="BA86" s="22"/>
      <c r="BB86" s="22"/>
      <c r="BC86" s="22"/>
      <c r="BD86" s="22"/>
      <c r="BE86" s="21"/>
    </row>
    <row r="87" spans="8:57" ht="13.5" hidden="1" x14ac:dyDescent="0.25">
      <c r="I87" s="32" t="s">
        <v>140</v>
      </c>
      <c r="L87" s="33"/>
      <c r="N87" s="23" t="s">
        <v>79</v>
      </c>
      <c r="O87" s="24" t="s">
        <v>132</v>
      </c>
      <c r="Z87" s="1" t="s">
        <v>75</v>
      </c>
      <c r="AE87" s="1" t="s">
        <v>152</v>
      </c>
      <c r="AK87" s="8">
        <v>0.55000000000000004</v>
      </c>
      <c r="AL87" s="8"/>
      <c r="AY87" s="21"/>
      <c r="AZ87" s="22"/>
      <c r="BA87" s="22"/>
      <c r="BB87" s="22"/>
      <c r="BC87" s="22"/>
      <c r="BD87" s="22"/>
      <c r="BE87" s="21"/>
    </row>
    <row r="88" spans="8:57" hidden="1" x14ac:dyDescent="0.25">
      <c r="I88" s="1"/>
      <c r="N88" s="23" t="s">
        <v>84</v>
      </c>
      <c r="O88" s="24" t="s">
        <v>132</v>
      </c>
      <c r="Z88" s="1" t="s">
        <v>46</v>
      </c>
      <c r="AE88" s="1" t="s">
        <v>153</v>
      </c>
      <c r="AK88" s="8">
        <v>0.56999999999999995</v>
      </c>
      <c r="AL88" s="8"/>
      <c r="AY88" s="21"/>
      <c r="AZ88" s="22"/>
      <c r="BA88" s="22"/>
      <c r="BB88" s="22"/>
      <c r="BC88" s="22"/>
      <c r="BD88" s="22"/>
      <c r="BE88" s="21"/>
    </row>
    <row r="89" spans="8:57" hidden="1" x14ac:dyDescent="0.25">
      <c r="I89" s="1"/>
      <c r="N89" s="23" t="s">
        <v>89</v>
      </c>
      <c r="O89" s="24" t="s">
        <v>132</v>
      </c>
      <c r="Z89" s="1" t="s">
        <v>40</v>
      </c>
      <c r="AE89" s="1" t="s">
        <v>154</v>
      </c>
      <c r="AK89" s="8">
        <v>0.59</v>
      </c>
      <c r="AL89" s="8"/>
      <c r="AY89" s="21"/>
      <c r="AZ89" s="22"/>
      <c r="BA89" s="22"/>
      <c r="BB89" s="22"/>
      <c r="BC89" s="22"/>
      <c r="BD89" s="22"/>
      <c r="BE89" s="21"/>
    </row>
    <row r="90" spans="8:57" hidden="1" x14ac:dyDescent="0.25">
      <c r="I90" s="1"/>
      <c r="N90" s="23" t="s">
        <v>94</v>
      </c>
      <c r="O90" s="24" t="s">
        <v>132</v>
      </c>
      <c r="Z90" s="1" t="s">
        <v>35</v>
      </c>
      <c r="AE90" s="1" t="s">
        <v>155</v>
      </c>
      <c r="AK90" s="8">
        <v>0.61</v>
      </c>
      <c r="AL90" s="8"/>
      <c r="AY90" s="21"/>
      <c r="AZ90" s="22"/>
      <c r="BA90" s="22"/>
      <c r="BB90" s="22"/>
      <c r="BC90" s="22"/>
      <c r="BD90" s="22"/>
      <c r="BE90" s="21"/>
    </row>
    <row r="91" spans="8:57" hidden="1" x14ac:dyDescent="0.25">
      <c r="I91" s="1"/>
      <c r="N91" s="23" t="s">
        <v>99</v>
      </c>
      <c r="O91" s="24" t="s">
        <v>132</v>
      </c>
      <c r="Z91" s="1" t="s">
        <v>66</v>
      </c>
      <c r="AE91" s="1" t="s">
        <v>156</v>
      </c>
      <c r="AY91" s="21"/>
      <c r="AZ91" s="22"/>
      <c r="BA91" s="22"/>
      <c r="BB91" s="22"/>
      <c r="BC91" s="22"/>
      <c r="BD91" s="22"/>
      <c r="BE91" s="21"/>
    </row>
    <row r="92" spans="8:57" hidden="1" x14ac:dyDescent="0.25">
      <c r="I92" s="1"/>
      <c r="N92" s="23" t="s">
        <v>103</v>
      </c>
      <c r="O92" s="26" t="s">
        <v>140</v>
      </c>
      <c r="Z92" s="1" t="s">
        <v>61</v>
      </c>
      <c r="AE92" s="1" t="s">
        <v>157</v>
      </c>
      <c r="AY92" s="21"/>
      <c r="AZ92" s="22"/>
      <c r="BA92" s="22"/>
      <c r="BB92" s="22"/>
      <c r="BC92" s="22"/>
      <c r="BD92" s="22"/>
      <c r="BE92" s="21"/>
    </row>
    <row r="93" spans="8:57" ht="51" hidden="1" x14ac:dyDescent="0.25">
      <c r="I93" s="1"/>
      <c r="J93" s="1" t="s">
        <v>15</v>
      </c>
      <c r="M93" s="34" t="s">
        <v>158</v>
      </c>
      <c r="N93" s="23" t="s">
        <v>108</v>
      </c>
      <c r="O93" s="24" t="s">
        <v>132</v>
      </c>
      <c r="Z93" s="1" t="s">
        <v>22</v>
      </c>
      <c r="AE93" s="1" t="s">
        <v>2</v>
      </c>
      <c r="AW93" s="35" t="s">
        <v>159</v>
      </c>
      <c r="AX93" s="35"/>
      <c r="AY93" s="35"/>
      <c r="AZ93" s="22"/>
      <c r="BA93" s="22"/>
      <c r="BB93" s="22"/>
      <c r="BC93" s="22"/>
      <c r="BD93" s="22"/>
      <c r="BE93" s="21"/>
    </row>
    <row r="94" spans="8:57" ht="27.6" hidden="1" customHeight="1" x14ac:dyDescent="0.25">
      <c r="I94" s="1"/>
      <c r="J94" s="1" t="s">
        <v>12</v>
      </c>
      <c r="M94" s="36" t="s">
        <v>160</v>
      </c>
      <c r="N94" s="23" t="s">
        <v>112</v>
      </c>
      <c r="O94" s="25" t="s">
        <v>135</v>
      </c>
      <c r="AE94" s="1" t="s">
        <v>161</v>
      </c>
      <c r="AW94" s="37"/>
      <c r="AX94" s="38">
        <f>IF('[1]Cockpit Retorno'!$C$66=Sim,0,1)</f>
        <v>0</v>
      </c>
      <c r="AY94" s="39"/>
      <c r="AZ94" s="22"/>
      <c r="BA94" s="22"/>
      <c r="BB94" s="22"/>
      <c r="BC94" s="22"/>
      <c r="BD94" s="22"/>
      <c r="BE94" s="40" t="s">
        <v>140</v>
      </c>
    </row>
    <row r="95" spans="8:57" ht="33" hidden="1" customHeight="1" x14ac:dyDescent="0.25">
      <c r="I95" s="25"/>
      <c r="J95" s="41"/>
      <c r="N95" s="23" t="s">
        <v>116</v>
      </c>
      <c r="O95" s="25" t="s">
        <v>135</v>
      </c>
      <c r="AX95" s="1" t="s">
        <v>162</v>
      </c>
      <c r="AY95" s="21"/>
      <c r="AZ95" s="22"/>
      <c r="BA95" s="22"/>
      <c r="BB95" s="22"/>
      <c r="BC95" s="22" t="e">
        <f>#REF!</f>
        <v>#REF!</v>
      </c>
      <c r="BD95" s="22"/>
      <c r="BE95" s="42" t="s">
        <v>135</v>
      </c>
    </row>
    <row r="96" spans="8:57" ht="36" hidden="1" customHeight="1" x14ac:dyDescent="0.25">
      <c r="I96" s="1"/>
      <c r="J96" s="41"/>
      <c r="AX96" s="1">
        <f>Lucro</f>
        <v>1</v>
      </c>
      <c r="AY96" s="21"/>
      <c r="AZ96" s="43" t="s">
        <v>163</v>
      </c>
      <c r="BA96" s="44"/>
      <c r="BB96" s="22"/>
      <c r="BC96" s="22"/>
      <c r="BD96" s="22"/>
      <c r="BE96" s="45" t="s">
        <v>132</v>
      </c>
    </row>
    <row r="97" spans="1:157" ht="41.45" hidden="1" customHeight="1" x14ac:dyDescent="0.25">
      <c r="I97" s="1"/>
      <c r="J97" s="41"/>
      <c r="M97" s="1" t="s">
        <v>164</v>
      </c>
      <c r="X97" s="3">
        <f>IF(M103=M98,0,IF(M103=$M$97,0,1))</f>
        <v>1</v>
      </c>
      <c r="AY97" s="21"/>
      <c r="AZ97" s="46">
        <f>1-BA97</f>
        <v>1</v>
      </c>
      <c r="BA97" s="46">
        <f>IF('[1]Cockpit Retorno'!C67=Sim,1,0)</f>
        <v>0</v>
      </c>
      <c r="BB97" s="22"/>
      <c r="BC97" s="22"/>
      <c r="BD97" s="22"/>
      <c r="BE97" s="47">
        <f>IF('[1]Cockpit Retorno'!C66=Sim,1,0)</f>
        <v>1</v>
      </c>
      <c r="BF97" s="1">
        <f>1-BE97</f>
        <v>0</v>
      </c>
      <c r="CD97" s="48" t="s">
        <v>132</v>
      </c>
    </row>
    <row r="98" spans="1:157" ht="41.45" hidden="1" customHeight="1" x14ac:dyDescent="0.25">
      <c r="I98" s="1"/>
      <c r="J98" s="50"/>
      <c r="M98" s="1" t="s">
        <v>15</v>
      </c>
      <c r="AY98" s="21"/>
      <c r="AZ98" s="51"/>
      <c r="BA98" s="51"/>
      <c r="BB98" s="22"/>
      <c r="BC98" s="22"/>
      <c r="BD98" s="22"/>
      <c r="BE98" s="1">
        <f>IF(K100=$K$48,0,IF(K100=$K$49,0,IF(K100=$K$52,0,IF(K100=$K$59,0,IF(K100=$K$60,0,IF(K100=$K$61,0,IF(K100=$K$62,0,IF(K100=$K$63,0,IF(K100=$K$64,0,IF(K100=$K$66,0,IF(K100=$K$68,0,IF(K100=$K$68,0,IF(K100=$K$69,0,IF(K100=$K$70,0,1))))))))))))))*(($BE$102*AQ100)+((IF(I100=$BE$96,1,0))))</f>
        <v>0</v>
      </c>
      <c r="CD98" s="48"/>
    </row>
    <row r="99" spans="1:157" ht="41.45" hidden="1" customHeight="1" x14ac:dyDescent="0.25">
      <c r="E99" s="1" t="s">
        <v>165</v>
      </c>
      <c r="I99" s="1"/>
      <c r="J99" s="50"/>
      <c r="AY99" s="21"/>
      <c r="AZ99" s="51"/>
      <c r="BA99" s="51" t="s">
        <v>166</v>
      </c>
      <c r="BB99" s="52" t="s">
        <v>167</v>
      </c>
      <c r="BC99" s="52" t="s">
        <v>168</v>
      </c>
      <c r="BD99" s="52" t="s">
        <v>169</v>
      </c>
      <c r="BE99" s="53" t="s">
        <v>170</v>
      </c>
      <c r="BF99" s="37" t="s">
        <v>171</v>
      </c>
      <c r="CD99" s="48"/>
    </row>
    <row r="100" spans="1:157" ht="43.9" hidden="1" customHeight="1" x14ac:dyDescent="0.25">
      <c r="I100" s="1"/>
      <c r="Z100" s="1" t="s">
        <v>16</v>
      </c>
      <c r="AY100" s="21"/>
      <c r="AZ100" s="22"/>
      <c r="BA100" s="22" t="s">
        <v>172</v>
      </c>
      <c r="BB100" s="52">
        <f>SUM(BB103:BB454)</f>
        <v>0</v>
      </c>
      <c r="BC100" s="52">
        <f>SUM(BC103:BC454)</f>
        <v>55665.035382630209</v>
      </c>
      <c r="BD100" s="52">
        <f>SUM(BD103:BD454)</f>
        <v>256915.54791983176</v>
      </c>
      <c r="BE100" s="52">
        <f>SUM(BE103:BE454)</f>
        <v>0</v>
      </c>
      <c r="BF100" s="52">
        <f>SUM(BF103:BF454)</f>
        <v>312932.26105835894</v>
      </c>
      <c r="CD100" s="48" t="s">
        <v>135</v>
      </c>
    </row>
    <row r="101" spans="1:157" ht="34.5" hidden="1" customHeight="1" x14ac:dyDescent="0.25">
      <c r="D101" s="34"/>
      <c r="E101" s="34"/>
      <c r="F101" s="54"/>
      <c r="G101" s="55"/>
      <c r="H101" s="56" t="s">
        <v>173</v>
      </c>
      <c r="I101" s="56"/>
      <c r="J101" s="56"/>
      <c r="K101" s="57" t="s">
        <v>174</v>
      </c>
      <c r="L101" s="58" t="s">
        <v>15</v>
      </c>
      <c r="M101" s="59"/>
      <c r="N101" s="60"/>
      <c r="O101" s="59"/>
      <c r="P101" s="61"/>
      <c r="Q101" s="61"/>
      <c r="R101" s="61"/>
      <c r="S101" s="59"/>
      <c r="T101" s="59"/>
      <c r="U101" s="59"/>
      <c r="V101" s="59"/>
      <c r="W101" s="59"/>
      <c r="X101" s="62"/>
      <c r="Y101" s="59"/>
      <c r="Z101" s="59"/>
      <c r="AA101" s="59"/>
      <c r="AB101" s="59"/>
      <c r="AC101" s="59"/>
      <c r="AD101" s="59"/>
      <c r="AE101" s="59"/>
      <c r="AF101" s="60"/>
      <c r="AG101" s="59"/>
      <c r="AH101" s="63" t="s">
        <v>175</v>
      </c>
      <c r="AI101" s="64"/>
      <c r="AJ101" s="64"/>
      <c r="AK101" s="64"/>
      <c r="AL101" s="64"/>
      <c r="AM101" s="64"/>
      <c r="AN101" s="65"/>
      <c r="AO101" s="64"/>
      <c r="AP101" s="66"/>
      <c r="AQ101" s="67"/>
      <c r="AR101" s="64"/>
      <c r="AS101" s="68">
        <f>IF('[1]Cockpit Retorno'!C65=Sim,0,1)</f>
        <v>1</v>
      </c>
      <c r="AT101" s="59"/>
      <c r="AU101" s="59"/>
      <c r="AV101" s="59"/>
      <c r="AW101" s="69">
        <f t="shared" ref="AW101:BF101" si="0">SUBTOTAL(9,AW103:AW454)</f>
        <v>31.62</v>
      </c>
      <c r="AX101" s="69">
        <f t="shared" si="0"/>
        <v>0</v>
      </c>
      <c r="AY101" s="69">
        <f t="shared" si="0"/>
        <v>9808.5747872077463</v>
      </c>
      <c r="AZ101" s="69">
        <f t="shared" si="0"/>
        <v>45178.889928956931</v>
      </c>
      <c r="BA101" s="69">
        <f t="shared" si="0"/>
        <v>54987.464716164657</v>
      </c>
      <c r="BB101" s="69">
        <f t="shared" si="0"/>
        <v>0</v>
      </c>
      <c r="BC101" s="69">
        <f t="shared" si="0"/>
        <v>55665.035382630209</v>
      </c>
      <c r="BD101" s="69">
        <f t="shared" si="0"/>
        <v>256915.54791983176</v>
      </c>
      <c r="BE101" s="69">
        <f t="shared" si="0"/>
        <v>0</v>
      </c>
      <c r="BF101" s="69">
        <f t="shared" si="0"/>
        <v>312932.26105835894</v>
      </c>
      <c r="BG101" s="70"/>
      <c r="BH101" s="70"/>
      <c r="BI101" s="70"/>
      <c r="BJ101" s="70"/>
      <c r="BK101" s="70"/>
      <c r="BL101" s="70"/>
      <c r="BM101" s="70"/>
      <c r="BN101" s="70"/>
      <c r="BO101" s="70"/>
      <c r="BP101" s="70"/>
      <c r="BQ101" s="70"/>
      <c r="BR101" s="70"/>
      <c r="BS101" s="70"/>
      <c r="BT101" s="70"/>
      <c r="BU101" s="70"/>
      <c r="BV101" s="70"/>
      <c r="BW101" s="70"/>
      <c r="BX101" s="70"/>
      <c r="BY101" s="70"/>
      <c r="BZ101" s="70"/>
      <c r="CA101" s="70"/>
      <c r="CB101" s="71"/>
      <c r="CC101" s="71"/>
      <c r="CD101" s="72" t="s">
        <v>140</v>
      </c>
    </row>
    <row r="102" spans="1:157" ht="102.75" thickBot="1" x14ac:dyDescent="0.3">
      <c r="A102" s="73" t="s">
        <v>176</v>
      </c>
      <c r="B102" s="73" t="s">
        <v>177</v>
      </c>
      <c r="C102" s="73" t="s">
        <v>178</v>
      </c>
      <c r="D102" s="74" t="s">
        <v>179</v>
      </c>
      <c r="E102" s="75" t="s">
        <v>180</v>
      </c>
      <c r="F102" s="76" t="s">
        <v>181</v>
      </c>
      <c r="G102" s="77" t="s">
        <v>182</v>
      </c>
      <c r="H102" s="78" t="s">
        <v>183</v>
      </c>
      <c r="I102" s="79" t="s">
        <v>184</v>
      </c>
      <c r="J102" s="78" t="s">
        <v>185</v>
      </c>
      <c r="K102" s="80" t="s">
        <v>186</v>
      </c>
      <c r="L102" s="81" t="s">
        <v>187</v>
      </c>
      <c r="M102" s="82" t="s">
        <v>188</v>
      </c>
      <c r="N102" s="83" t="s">
        <v>189</v>
      </c>
      <c r="O102" s="83" t="s">
        <v>190</v>
      </c>
      <c r="P102" s="80" t="s">
        <v>191</v>
      </c>
      <c r="Q102" s="84" t="s">
        <v>192</v>
      </c>
      <c r="R102" s="80" t="s">
        <v>193</v>
      </c>
      <c r="S102" s="83" t="s">
        <v>194</v>
      </c>
      <c r="T102" s="80" t="s">
        <v>195</v>
      </c>
      <c r="U102" s="83" t="s">
        <v>196</v>
      </c>
      <c r="V102" s="80" t="s">
        <v>197</v>
      </c>
      <c r="W102" s="83" t="s">
        <v>198</v>
      </c>
      <c r="X102" s="85" t="s">
        <v>199</v>
      </c>
      <c r="Y102" s="84" t="s">
        <v>200</v>
      </c>
      <c r="Z102" s="80" t="s">
        <v>201</v>
      </c>
      <c r="AA102" s="83" t="s">
        <v>202</v>
      </c>
      <c r="AB102" s="80" t="s">
        <v>203</v>
      </c>
      <c r="AC102" s="83" t="s">
        <v>204</v>
      </c>
      <c r="AD102" s="80" t="s">
        <v>205</v>
      </c>
      <c r="AE102" s="83" t="s">
        <v>206</v>
      </c>
      <c r="AF102" s="80" t="s">
        <v>207</v>
      </c>
      <c r="AG102" s="86" t="s">
        <v>208</v>
      </c>
      <c r="AH102" s="87" t="s">
        <v>209</v>
      </c>
      <c r="AI102" s="88" t="s">
        <v>210</v>
      </c>
      <c r="AJ102" s="88" t="s">
        <v>211</v>
      </c>
      <c r="AK102" s="89" t="s">
        <v>212</v>
      </c>
      <c r="AL102" s="90" t="s">
        <v>213</v>
      </c>
      <c r="AM102" s="91" t="s">
        <v>214</v>
      </c>
      <c r="AN102" s="92" t="s">
        <v>215</v>
      </c>
      <c r="AO102" s="93" t="s">
        <v>216</v>
      </c>
      <c r="AP102" s="94" t="s">
        <v>217</v>
      </c>
      <c r="AQ102" s="95" t="s">
        <v>218</v>
      </c>
      <c r="AR102" s="96" t="s">
        <v>219</v>
      </c>
      <c r="AS102" s="97" t="s">
        <v>220</v>
      </c>
      <c r="AT102" s="98" t="s">
        <v>221</v>
      </c>
      <c r="AU102" s="99" t="s">
        <v>222</v>
      </c>
      <c r="AV102" s="100" t="s">
        <v>223</v>
      </c>
      <c r="AW102" s="101" t="s">
        <v>224</v>
      </c>
      <c r="AX102" s="101" t="s">
        <v>225</v>
      </c>
      <c r="AY102" s="102">
        <v>1.6500000000000001E-2</v>
      </c>
      <c r="AZ102" s="103">
        <v>7.5999999999999998E-2</v>
      </c>
      <c r="BA102" s="103" t="s">
        <v>226</v>
      </c>
      <c r="BB102" s="104">
        <f>ICMs_Mercadoria*$AX$94*'[1]Cockpit Retorno'!$D$1</f>
        <v>0</v>
      </c>
      <c r="BC102" s="105">
        <f>IF('[1]Cockpit Retorno'!E67=Sim,Pis__ATK,Pis__Sistema)*'[1]Cockpit Retorno'!D1</f>
        <v>6.5000000000000006E-3</v>
      </c>
      <c r="BD102" s="106">
        <f>IF('[1]Cockpit Retorno'!E67=Sim,Cofins__ATK,Cofins__Sistema)*'[1]Cockpit Retorno'!D1</f>
        <v>0.03</v>
      </c>
      <c r="BE102" s="107">
        <f>ISSQN*'[1]Cockpit Retorno'!$D$2</f>
        <v>0</v>
      </c>
      <c r="BF102" s="106" t="s">
        <v>227</v>
      </c>
      <c r="BG102" s="108" t="s">
        <v>228</v>
      </c>
      <c r="BH102" s="108" t="s">
        <v>229</v>
      </c>
      <c r="BI102" s="108" t="s">
        <v>230</v>
      </c>
      <c r="BJ102" s="108" t="s">
        <v>231</v>
      </c>
      <c r="BK102" s="108" t="s">
        <v>232</v>
      </c>
      <c r="BL102" s="108" t="s">
        <v>233</v>
      </c>
      <c r="BM102" s="108" t="s">
        <v>234</v>
      </c>
      <c r="BN102" s="108" t="s">
        <v>235</v>
      </c>
      <c r="BO102" s="108" t="s">
        <v>236</v>
      </c>
      <c r="BP102" s="108" t="s">
        <v>237</v>
      </c>
      <c r="BQ102" s="108" t="s">
        <v>238</v>
      </c>
      <c r="BR102" s="109" t="s">
        <v>239</v>
      </c>
      <c r="BS102" s="109" t="s">
        <v>240</v>
      </c>
      <c r="BT102" s="109" t="s">
        <v>241</v>
      </c>
      <c r="BU102" s="109" t="s">
        <v>242</v>
      </c>
      <c r="BV102" s="109" t="s">
        <v>243</v>
      </c>
      <c r="BW102" s="109" t="s">
        <v>244</v>
      </c>
      <c r="BX102" s="109" t="s">
        <v>245</v>
      </c>
      <c r="BY102" s="109" t="s">
        <v>246</v>
      </c>
      <c r="BZ102" s="109" t="s">
        <v>247</v>
      </c>
      <c r="CA102" s="109" t="s">
        <v>248</v>
      </c>
      <c r="CB102" s="109" t="s">
        <v>249</v>
      </c>
      <c r="CC102" s="110" t="s">
        <v>250</v>
      </c>
      <c r="CD102" s="111"/>
      <c r="CE102" s="37" t="s">
        <v>251</v>
      </c>
      <c r="CF102" s="37" t="s">
        <v>252</v>
      </c>
      <c r="CG102" s="37" t="s">
        <v>253</v>
      </c>
      <c r="CH102" s="37" t="s">
        <v>254</v>
      </c>
      <c r="CI102" s="37" t="s">
        <v>255</v>
      </c>
      <c r="CJ102" s="112">
        <v>0.98</v>
      </c>
      <c r="CK102" s="112">
        <v>0.93</v>
      </c>
      <c r="CL102" s="112">
        <v>0.98</v>
      </c>
      <c r="CM102" s="112">
        <v>0.97</v>
      </c>
      <c r="CN102" s="112">
        <v>0.96</v>
      </c>
      <c r="CO102" s="8">
        <v>0.96</v>
      </c>
      <c r="CP102" s="2" t="s">
        <v>256</v>
      </c>
      <c r="CQ102" s="1" t="s">
        <v>257</v>
      </c>
      <c r="CR102" s="1" t="s">
        <v>258</v>
      </c>
    </row>
    <row r="103" spans="1:157" s="113" customFormat="1" ht="13.5" thickTop="1" x14ac:dyDescent="0.25">
      <c r="A103" s="113">
        <f>IF(AND('[1]Cockpit Retorno'!$E$67=Sim,Mestre!M103=Mestre!$M$98),0,1)</f>
        <v>1</v>
      </c>
      <c r="B103" s="113">
        <f>IF(AND('[1]Cockpit Retorno'!$E$67=Sim,Mestre!L103=Mestre!$L$48),0,1)</f>
        <v>0</v>
      </c>
      <c r="C103" s="113">
        <f>IF(AND('[1]Cockpit Retorno'!$E$67=Sim,Mestre!M103=Mestre!$M$97),0,1)</f>
        <v>1</v>
      </c>
      <c r="D103" s="114" t="s">
        <v>259</v>
      </c>
      <c r="E103" s="115"/>
      <c r="F103" s="116" t="s">
        <v>107</v>
      </c>
      <c r="G103" s="117"/>
      <c r="H103" s="118" t="s">
        <v>4</v>
      </c>
      <c r="I103" s="119" t="str">
        <f t="shared" ref="I103:I166" si="1">VLOOKUP(K103,$N$74:$O$95,2)</f>
        <v>Despesas</v>
      </c>
      <c r="J103" s="120" t="s">
        <v>15</v>
      </c>
      <c r="K103" s="121" t="s">
        <v>27</v>
      </c>
      <c r="L103" s="118" t="s">
        <v>15</v>
      </c>
      <c r="M103" s="122"/>
      <c r="N103" s="123" t="s">
        <v>43</v>
      </c>
      <c r="O103" s="123" t="s">
        <v>43</v>
      </c>
      <c r="P103" s="123" t="s">
        <v>43</v>
      </c>
      <c r="Q103" s="123" t="s">
        <v>43</v>
      </c>
      <c r="R103" s="123" t="s">
        <v>43</v>
      </c>
      <c r="S103" s="124" t="s">
        <v>43</v>
      </c>
      <c r="T103" s="124" t="s">
        <v>43</v>
      </c>
      <c r="U103" s="120" t="s">
        <v>43</v>
      </c>
      <c r="V103" s="120" t="s">
        <v>43</v>
      </c>
      <c r="W103" s="120" t="s">
        <v>43</v>
      </c>
      <c r="X103" s="120"/>
      <c r="Y103" s="120" t="s">
        <v>43</v>
      </c>
      <c r="Z103" s="120" t="s">
        <v>43</v>
      </c>
      <c r="AA103" s="125">
        <v>0</v>
      </c>
      <c r="AB103" s="123" t="s">
        <v>43</v>
      </c>
      <c r="AC103" s="120" t="s">
        <v>43</v>
      </c>
      <c r="AD103" s="123" t="s">
        <v>43</v>
      </c>
      <c r="AE103" s="123"/>
      <c r="AF103" s="120" t="s">
        <v>43</v>
      </c>
      <c r="AG103" s="126"/>
      <c r="AH103" s="126">
        <v>0</v>
      </c>
      <c r="AI103" s="127">
        <v>0</v>
      </c>
      <c r="AJ103" s="127">
        <v>0</v>
      </c>
      <c r="AK103" s="128"/>
      <c r="AL103" s="129"/>
      <c r="AM103" s="130">
        <f>(((IF(L103=$L$101,1,IF(L103=$L$47,1,0))*(AH103*(1-AK103)))*AG103)*(1-AL103))</f>
        <v>0</v>
      </c>
      <c r="AN103" s="131">
        <f>IF(K103=$K$50,AM103,IF(K103=$K$53,AM103,IF(K103=$K$54,AM103,IF(K103=$K$55,AM103,IF(K103=$K$56,AM103,IF(K103=$K$57,AM103,IF(K103=$K$58,AM103,IF(K103=$K$65,AM103,IF(K103=$K$66,AM103,IF(K103=$K$67,AM103,IF(K103=$K$68,AM103,IF(K103=$K$69,AM103,IF(K103=$K$51,AM103,(AM103*(1+AI103)))))))))))))))</f>
        <v>0</v>
      </c>
      <c r="AO103" s="132">
        <v>1.6</v>
      </c>
      <c r="AP103" s="133">
        <f t="shared" ref="AP103:AP166" si="2">AM103*AO103</f>
        <v>0</v>
      </c>
      <c r="AQ103" s="134">
        <f t="shared" ref="AQ103:AQ125" si="3">AP103*Fator_Venda</f>
        <v>0</v>
      </c>
      <c r="AR103" s="133">
        <f t="shared" ref="AR103:AR166" si="4">AO103*AN103</f>
        <v>0</v>
      </c>
      <c r="AS103" s="135">
        <f t="shared" ref="AS103:AS166" si="5">IFERROR(IF($AX$94=0,(CQ103/AN103),CQ103/AM103),0)</f>
        <v>0</v>
      </c>
      <c r="AT103" s="136" t="str">
        <f>K103</f>
        <v>LOG</v>
      </c>
      <c r="AU103" s="136" t="str">
        <f>I103</f>
        <v>Despesas</v>
      </c>
      <c r="AV103" s="137"/>
      <c r="AW103" s="138">
        <f>IF(K103=$K$50,0,IF(K103=$K$53,0,IF(K103=$K$54,0,IF(K103=$K$55,0,IF(K103=$K$56,0,IF(K103=$K$57,0,IF(K103=$K$58,0,IF(K103=$K$65,0,IF(K103=$K$66,0,IF(K103=$K$67,0,IF(K103=$K$68,0,IF(K103=$K$69,0,IF(K103=$K$51,0,1))))))))))))*AM103*AI103)</f>
        <v>0</v>
      </c>
      <c r="AX103" s="139">
        <f>IF(K103=$K$50,0,IF(K103=$K$53,0,IF(K103=$K$54,0,IF(K103=$K$55,0,IF(K103=$K$56,0,IF(K103=$K$57,0,IF(K103=$K$58,0,IF(K103=$K$65,0,IF(K103=$K$66,0,IF(K103=$K$67,0,IF(K103=$K$68,0,IF(K103=$K$69,0,IF(K103=$K$51,0,1))))))))))))*AM103*AJ103*$AX$94)</f>
        <v>0</v>
      </c>
      <c r="AY103" s="139">
        <f>IF(K103=$K$53,0,IF(K103=$K$54,0,IF(K103=$K$55,0,IF(K103=$K$56,0,IF(K103=$K$58,0,IF(K103=$K$50,0,IF(K103=$K$65,0,IF(K103=$K$57,0,IF(K103=$K$51,0,AM103*$AY$102)))))))))</f>
        <v>0</v>
      </c>
      <c r="AZ103" s="139">
        <f>IF(K103=$K$53,0,IF(K103=$K$54,0,IF(K103=$K$55,0,IF(K103=$K$56,0,IF(K103=$K$58,0,IF(K103=$K$50,0,IF(K103=$K$65,0,IF(K103=$K$57,0,IF(K103=$K$51,0,AM103*$AZ$102)))))))))</f>
        <v>0</v>
      </c>
      <c r="BA103" s="139">
        <f t="shared" ref="BA103:BA166" si="6">AZ103+AY103+AX103</f>
        <v>0</v>
      </c>
      <c r="BB103" s="140">
        <f>IF($BA$97=1,AQ103*$BB$102,IF(K103=$K$50,0,IF(K103=$K$53,0,IF(K103=$K$54,0,IF(K103=$K$55,0,IF(K103=$K$56,0,IF(K103=$K$57,0,IF(K103=$K$58,0,IF(K103=$K$65,0,IF(K103=$K$66,0,IF(K103=$K$67,0,IF(K103=$K$68,0,IF(K103=$K$69,0,IF(K103=$K$51,0,1)))))))))))*AQ103*$BB$102)))</f>
        <v>0</v>
      </c>
      <c r="BC103" s="139">
        <f t="shared" ref="BC103:BC166" si="7">AQ103*$BC$102</f>
        <v>0</v>
      </c>
      <c r="BD103" s="139">
        <f t="shared" ref="BD103:BD166" si="8">$BD$102*AQ103</f>
        <v>0</v>
      </c>
      <c r="BE103" s="139">
        <f>IF($BE$95=I103,$BE$97,IF(I103=$BE$96,$BE$97,1))*($BE$102*AQ103)*$AZ$97</f>
        <v>0</v>
      </c>
      <c r="BF103" s="139">
        <f>IF('[1]Cockpit Retorno'!$C$65=Sim,Mestre!BA103,SUM(BB103:BE103)+(IF(K103=$K$56,AQ103*MOE_IRRF_LR,0)))</f>
        <v>0</v>
      </c>
      <c r="BG103" s="141">
        <f>IF(AA103&gt;0,0,IF(Z103=$Z$82,AG103*1,(IF(Z103=$Z$81,AG103*1,0))))</f>
        <v>0</v>
      </c>
      <c r="BH103" s="141">
        <f>IF(AA103&gt;0,0,IF(Z103=$Z$83,AG103*1,IF(Z103=$Z$81,AG103*1,0)))</f>
        <v>0</v>
      </c>
      <c r="BI103" s="141">
        <f>IF(AA103&gt;0,0,IF(Z103=$Z$84,AG103*1,IF(Z103=$Z$93,AG103*2,IF(Z103=$Z$100,AG103,IF(Z103=$Z$81,AG103*2,IF(Z103=$Z$80,AG103*1,IF(Z103=$Z$79,AG103*3,IF(Z103=$Z$78,AG103*2,0))))))))</f>
        <v>0</v>
      </c>
      <c r="BJ103" s="141">
        <f>IF(AA103&gt;0,0,IF(Z103=$Z$85,AG103,IF(Z103=$Z$93,AG103,IF(Z103=$Z$100,AG103,IF(Z103=$Z$81,AG103*1,IF(Z103=$Z$80,AG103*2,IF(Z103=$Z$79,AG103*2,IF(Z103=$Z$78,AG103*2,0))))))))</f>
        <v>0</v>
      </c>
      <c r="BK103" s="141">
        <f>IF(AA103&gt;0,0,IF(Z103=$Z$92,AG103,0))</f>
        <v>0</v>
      </c>
      <c r="BL103" s="141">
        <f>IF(AA103&gt;0,0,IF(Z103=$Z$91,AG103,0))</f>
        <v>0</v>
      </c>
      <c r="BM103" s="141">
        <f>IF(AA103&gt;0,0,IF(Z103=$Z$86,AG103,0))</f>
        <v>0</v>
      </c>
      <c r="BN103" s="141">
        <f>IF(AA103&gt;0,0,IF(Z103=$Z$87,AG103,0))</f>
        <v>0</v>
      </c>
      <c r="BO103" s="141">
        <f>IF(AA103&gt;0,0,IF(Z103=$Z$88,AG103,0))</f>
        <v>0</v>
      </c>
      <c r="BP103" s="141">
        <f>IF(AA103&gt;0,0,IF(Z103=$Z$89,AG103,0))</f>
        <v>0</v>
      </c>
      <c r="BQ103" s="141">
        <f>IF(AA103&gt;0,0,IF(Z103=$Z$90,AG103,0))</f>
        <v>0</v>
      </c>
      <c r="BR103" s="141">
        <f>IF(Z103=$Z$82,AA103*AG103,0)</f>
        <v>0</v>
      </c>
      <c r="BS103" s="141">
        <f>IF(Z103=$Z$83,AA103*AG103,0)</f>
        <v>0</v>
      </c>
      <c r="BT103" s="141">
        <f>IF(AA103&lt;1,0,IF(Z103=$Z$84,AA103*AG103,IF(Z103=$Z$93,"ERRO",IF(Z103=$Z$100,"ERRO",0))))</f>
        <v>0</v>
      </c>
      <c r="BU103" s="141">
        <f>IF(AA103&lt;1,0,IF(Z103=$Z$85,AA103*AG103,IF(Z103=$Z$93,"ERRO",IF(Z103=$Z$100,"ERRO",0))))</f>
        <v>0</v>
      </c>
      <c r="BV103" s="141">
        <f>IF(Z103=$Z$92,AA103*AG103,0)</f>
        <v>0</v>
      </c>
      <c r="BW103" s="141">
        <f>IF(Z103=$Z$91,AA103*AG103,0)</f>
        <v>0</v>
      </c>
      <c r="BX103" s="141">
        <f>IF(Z103=$Z$86,AA103*AG103,0)</f>
        <v>0</v>
      </c>
      <c r="BY103" s="141">
        <f>IF(Z103=$Z$87,AA103*AG103,0)</f>
        <v>0</v>
      </c>
      <c r="BZ103" s="141">
        <f>IF(Z103=$Z$88,AA103*AG103,0)</f>
        <v>0</v>
      </c>
      <c r="CA103" s="141">
        <f>IF(Z103=$Z$89,AA103*AG103,0)</f>
        <v>0</v>
      </c>
      <c r="CB103" s="141">
        <f>IF(Z103=$Z$90,AA103*AG103,0)</f>
        <v>0</v>
      </c>
      <c r="CC103" s="142">
        <f>IFERROR(IF(L103=$L$49,AG103*AH103*(1+AI103)*(1-AK103)*(1-AL103),0),0)</f>
        <v>0</v>
      </c>
      <c r="CD103" s="143">
        <f>IF(I103=$CD$97,1,IF(I103=$CD$100,2,IF(K103=$K$66,1,IF(K103=$K$69,1,3))))</f>
        <v>2</v>
      </c>
      <c r="CE103" s="143">
        <f>IF($CD103=1,1.07,IF($CD103=2,1.07,1.3))</f>
        <v>1.07</v>
      </c>
      <c r="CF103" s="144">
        <f t="shared" ref="CF103:CF166" si="9">CG103*0.87</f>
        <v>1.2788999999999999</v>
      </c>
      <c r="CG103" s="143">
        <f>IF($CD103=1,1.42,IF($CD103=2,1.47,2))</f>
        <v>1.47</v>
      </c>
      <c r="CH103" s="144">
        <f t="shared" ref="CH103:CH166" si="10">CG103*1.09</f>
        <v>1.6023000000000001</v>
      </c>
      <c r="CI103" s="143">
        <f>IF($CD103=1,1.7,IF($CD103=2,1.7,2.4))</f>
        <v>1.7</v>
      </c>
      <c r="CJ103" s="144">
        <f>CE103*$CJ$102</f>
        <v>1.0486</v>
      </c>
      <c r="CK103" s="144">
        <f>CF103*$CK$102</f>
        <v>1.1893769999999999</v>
      </c>
      <c r="CL103" s="144">
        <f>CG103*$CL$102</f>
        <v>1.4405999999999999</v>
      </c>
      <c r="CM103" s="144">
        <f>CH103*$CM$102</f>
        <v>1.5542309999999999</v>
      </c>
      <c r="CN103" s="143">
        <f>CI103*$CN$102</f>
        <v>1.6319999999999999</v>
      </c>
      <c r="CO103" s="145">
        <v>1.3</v>
      </c>
      <c r="CP103" s="146">
        <f t="shared" ref="CP103:CP166" si="11">BF103-BA103</f>
        <v>0</v>
      </c>
      <c r="CQ103" s="147">
        <f t="shared" ref="CQ103:CQ166" si="12">AQ103-CP103</f>
        <v>0</v>
      </c>
      <c r="CR103" s="147">
        <f t="shared" ref="CR103:CR166" si="13">BC103+BD103</f>
        <v>0</v>
      </c>
      <c r="CS103" s="49"/>
      <c r="CT103" s="49"/>
      <c r="CU103" s="49"/>
      <c r="CV103" s="49"/>
      <c r="CW103" s="49"/>
      <c r="CX103" s="49"/>
      <c r="CY103" s="49"/>
      <c r="CZ103" s="49"/>
      <c r="DA103" s="49"/>
      <c r="DB103" s="49"/>
      <c r="DC103" s="49"/>
      <c r="DD103" s="49"/>
      <c r="DE103" s="49"/>
      <c r="DF103" s="49"/>
      <c r="DG103" s="49"/>
      <c r="DH103" s="49"/>
      <c r="DI103" s="49"/>
      <c r="DJ103" s="49"/>
      <c r="DK103" s="49"/>
      <c r="DL103" s="49"/>
      <c r="DM103" s="49"/>
      <c r="DN103" s="49"/>
      <c r="DO103" s="49"/>
      <c r="DP103" s="49"/>
      <c r="DQ103" s="49"/>
      <c r="DR103" s="49"/>
      <c r="DS103" s="49"/>
      <c r="DT103" s="49"/>
      <c r="DU103" s="49"/>
      <c r="DV103" s="49"/>
      <c r="DW103" s="49"/>
      <c r="DX103" s="49"/>
      <c r="DY103" s="49"/>
      <c r="DZ103" s="49"/>
      <c r="EA103" s="49"/>
      <c r="EB103" s="49"/>
      <c r="EC103" s="49"/>
      <c r="ED103" s="49"/>
      <c r="EE103" s="49"/>
      <c r="EF103" s="49"/>
      <c r="EG103" s="49"/>
      <c r="EH103" s="49"/>
      <c r="EI103" s="49"/>
      <c r="EJ103" s="49"/>
      <c r="EK103" s="49"/>
      <c r="EL103" s="49"/>
      <c r="EM103" s="49"/>
      <c r="EN103" s="49"/>
      <c r="EO103" s="49"/>
      <c r="EP103" s="49"/>
      <c r="EQ103" s="49"/>
      <c r="ER103" s="49"/>
      <c r="ES103" s="49"/>
      <c r="ET103" s="49"/>
      <c r="EU103" s="49"/>
      <c r="EV103" s="49"/>
      <c r="EW103" s="49"/>
      <c r="EX103" s="49"/>
      <c r="EY103" s="49"/>
      <c r="EZ103" s="49"/>
      <c r="FA103" s="49"/>
    </row>
    <row r="104" spans="1:157" s="182" customFormat="1" x14ac:dyDescent="0.25">
      <c r="A104" s="113">
        <f>IF(AND('[1]Cockpit Retorno'!$E$67=Sim,Mestre!M104=Mestre!$M$98),0,1)</f>
        <v>1</v>
      </c>
      <c r="B104" s="113">
        <f>IF(AND('[1]Cockpit Retorno'!$E$67=Sim,Mestre!L104=Mestre!$L$48),0,1)</f>
        <v>1</v>
      </c>
      <c r="C104" s="113">
        <f>IF(AND('[1]Cockpit Retorno'!$E$67=Sim,Mestre!M104=Mestre!$M$97),0,1)</f>
        <v>1</v>
      </c>
      <c r="D104" s="148" t="s">
        <v>260</v>
      </c>
      <c r="E104" s="115"/>
      <c r="F104" s="116" t="s">
        <v>107</v>
      </c>
      <c r="G104" s="149"/>
      <c r="H104" s="150" t="s">
        <v>65</v>
      </c>
      <c r="I104" s="151" t="str">
        <f t="shared" si="1"/>
        <v>Serviços</v>
      </c>
      <c r="J104" s="150" t="s">
        <v>12</v>
      </c>
      <c r="K104" s="152" t="s">
        <v>45</v>
      </c>
      <c r="L104" s="153" t="s">
        <v>12</v>
      </c>
      <c r="M104" s="154" t="s">
        <v>12</v>
      </c>
      <c r="N104" s="155" t="s">
        <v>43</v>
      </c>
      <c r="O104" s="155" t="s">
        <v>261</v>
      </c>
      <c r="P104" s="155" t="s">
        <v>43</v>
      </c>
      <c r="Q104" s="155" t="s">
        <v>43</v>
      </c>
      <c r="R104" s="155" t="s">
        <v>43</v>
      </c>
      <c r="S104" s="156" t="s">
        <v>43</v>
      </c>
      <c r="T104" s="156" t="s">
        <v>43</v>
      </c>
      <c r="U104" s="150" t="s">
        <v>43</v>
      </c>
      <c r="V104" s="150" t="s">
        <v>43</v>
      </c>
      <c r="W104" s="150" t="s">
        <v>43</v>
      </c>
      <c r="X104" s="157" t="s">
        <v>262</v>
      </c>
      <c r="Y104" s="150" t="s">
        <v>43</v>
      </c>
      <c r="Z104" s="150" t="s">
        <v>43</v>
      </c>
      <c r="AA104" s="158">
        <v>0</v>
      </c>
      <c r="AB104" s="155" t="s">
        <v>43</v>
      </c>
      <c r="AC104" s="150" t="s">
        <v>43</v>
      </c>
      <c r="AD104" s="155" t="s">
        <v>43</v>
      </c>
      <c r="AE104" s="155"/>
      <c r="AF104" s="150" t="s">
        <v>43</v>
      </c>
      <c r="AG104" s="159">
        <v>1</v>
      </c>
      <c r="AH104" s="160">
        <v>179538.83618862965</v>
      </c>
      <c r="AI104" s="161">
        <v>0</v>
      </c>
      <c r="AJ104" s="161">
        <v>0</v>
      </c>
      <c r="AK104" s="162"/>
      <c r="AL104" s="163"/>
      <c r="AM104" s="164">
        <f>(((IF(L104=$L$101,1,IF(L104=$L$47,1,0))*(AH104*(1-AK104)))*AG104)*(1-AL104))</f>
        <v>179538.83618862965</v>
      </c>
      <c r="AN104" s="165">
        <f>IF(K104=$K$50,AM104,IF(K104=$K$53,AM104,IF(K104=$K$54,AM104,IF(K104=$K$55,AM104,IF(K104=$K$56,AM104,IF(K104=$K$57,AM104,IF(K104=$K$58,AM104,IF(K104=$K$65,AM104,IF(K104=$K$66,AM104,IF(K104=$K$67,AM104,IF(K104=$K$68,AM104,IF(K104=$K$69,AM104,IF(K104=$K$51,AM104,(AM104*(1+AI104)))))))))))))))</f>
        <v>179538.83618862965</v>
      </c>
      <c r="AO104" s="166">
        <v>1.9</v>
      </c>
      <c r="AP104" s="160">
        <f t="shared" si="2"/>
        <v>341123.78875839629</v>
      </c>
      <c r="AQ104" s="167">
        <f t="shared" si="3"/>
        <v>295571.93118993478</v>
      </c>
      <c r="AR104" s="160">
        <f t="shared" si="4"/>
        <v>341123.78875839629</v>
      </c>
      <c r="AS104" s="168">
        <f t="shared" si="5"/>
        <v>1.5861947294918342</v>
      </c>
      <c r="AT104" s="169" t="str">
        <f>K104</f>
        <v>MOA</v>
      </c>
      <c r="AU104" s="169" t="str">
        <f>I104</f>
        <v>Serviços</v>
      </c>
      <c r="AV104" s="170"/>
      <c r="AW104" s="171">
        <f>IF(K104=$K$50,0,IF(K104=$K$53,0,IF(K104=$K$54,0,IF(K104=$K$55,0,IF(K104=$K$56,0,IF(K104=$K$57,0,IF(K104=$K$58,0,IF(K104=$K$65,0,IF(K104=$K$66,0,IF(K104=$K$67,0,IF(K104=$K$68,0,IF(K104=$K$69,0,IF(K104=$K$51,0,1))))))))))))*AM104*AI104)</f>
        <v>0</v>
      </c>
      <c r="AX104" s="172">
        <f>IF(K104=$K$50,0,IF(K104=$K$53,0,IF(K104=$K$54,0,IF(K104=$K$55,0,IF(K104=$K$56,0,IF(K104=$K$57,0,IF(K104=$K$58,0,IF(K104=$K$65,0,IF(K104=$K$66,0,IF(K104=$K$67,0,IF(K104=$K$68,0,IF(K104=$K$69,0,IF(K104=$K$51,0,1))))))))))))*AM104*AJ104*$AX$94)</f>
        <v>0</v>
      </c>
      <c r="AY104" s="172">
        <f>IF(K104=$K$53,0,IF(K104=$K$54,0,IF(K104=$K$55,0,IF(K104=$K$56,0,IF(K104=$K$58,0,IF(K104=$K$50,0,IF(K104=$K$65,0,IF(K104=$K$57,0,IF(K104=$K$51,0,AM104*$AY$102)))))))))</f>
        <v>0</v>
      </c>
      <c r="AZ104" s="172">
        <f>IF(K104=$K$53,0,IF(K104=$K$54,0,IF(K104=$K$55,0,IF(K104=$K$56,0,IF(K104=$K$58,0,IF(K104=$K$50,0,IF(K104=$K$65,0,IF(K104=$K$57,0,IF(K104=$K$51,0,AM104*$AZ$102)))))))))</f>
        <v>0</v>
      </c>
      <c r="BA104" s="172">
        <f t="shared" si="6"/>
        <v>0</v>
      </c>
      <c r="BB104" s="173">
        <f>IF($BA$97=1,AQ104*$BB$102,IF(K104=$K$50,0,IF(K104=$K$53,0,IF(K104=$K$54,0,IF(K104=$K$55,0,IF(K104=$K$56,0,IF(K104=$K$57,0,IF(K104=$K$58,0,IF(K104=$K$65,0,IF(K104=$K$66,0,IF(K104=$K$67,0,IF(K104=$K$68,0,IF(K104=$K$69,0,IF(K104=$K$51,0,1)))))))))))*AQ104*$BB$102)))</f>
        <v>0</v>
      </c>
      <c r="BC104" s="172">
        <f t="shared" si="7"/>
        <v>1921.2175527345762</v>
      </c>
      <c r="BD104" s="172">
        <f t="shared" si="8"/>
        <v>8867.1579356980437</v>
      </c>
      <c r="BE104" s="172">
        <f>IF($BE$95=I104,$BE$97,IF(I104=$BE$96,$BE$97,1))*($BE$102*AQ104)*$AZ$97</f>
        <v>0</v>
      </c>
      <c r="BF104" s="172">
        <f>IF('[1]Cockpit Retorno'!$C$65=Sim,Mestre!BA104,SUM(BB104:BE104)+(IF(K104=$K$56,AQ104*MOE_IRRF_LR,0)))</f>
        <v>10788.375488432619</v>
      </c>
      <c r="BG104" s="174">
        <f>IF(AA104&gt;0,0,IF(Z104=$Z$82,AG104*1,(IF(Z104=$Z$81,AG104*1,0))))</f>
        <v>0</v>
      </c>
      <c r="BH104" s="174">
        <f>IF(AA104&gt;0,0,IF(Z104=$Z$83,AG104*1,IF(Z104=$Z$81,AG104*1,0)))</f>
        <v>0</v>
      </c>
      <c r="BI104" s="174">
        <f>IF(AA104&gt;0,0,IF(Z104=$Z$84,AG104*1,IF(Z104=$Z$93,AG104*2,IF(Z104=$Z$100,AG104,IF(Z104=$Z$81,AG104*2,IF(Z104=$Z$80,AG104*1,IF(Z104=$Z$79,AG104*3,IF(Z104=$Z$78,AG104*2,0))))))))</f>
        <v>0</v>
      </c>
      <c r="BJ104" s="174">
        <f>IF(AA104&gt;0,0,IF(Z104=$Z$85,AG104,IF(Z104=$Z$93,AG104,IF(Z104=$Z$100,AG104,IF(Z104=$Z$81,AG104*1,IF(Z104=$Z$80,AG104*2,IF(Z104=$Z$79,AG104*2,IF(Z104=$Z$78,AG104*2,0))))))))</f>
        <v>0</v>
      </c>
      <c r="BK104" s="174">
        <f>IF(AA104&gt;0,0,IF(Z104=$Z$92,AG104,0))</f>
        <v>0</v>
      </c>
      <c r="BL104" s="174">
        <f>IF(AA104&gt;0,0,IF(Z104=$Z$91,AG104,0))</f>
        <v>0</v>
      </c>
      <c r="BM104" s="174">
        <f>IF(AA104&gt;0,0,IF(Z104=$Z$86,AG104,0))</f>
        <v>0</v>
      </c>
      <c r="BN104" s="174">
        <f>IF(AA104&gt;0,0,IF(Z104=$Z$87,AG104,0))</f>
        <v>0</v>
      </c>
      <c r="BO104" s="174">
        <f>IF(AA104&gt;0,0,IF(Z104=$Z$88,AG104,0))</f>
        <v>0</v>
      </c>
      <c r="BP104" s="174">
        <f>IF(AA104&gt;0,0,IF(Z104=$Z$89,AG104,0))</f>
        <v>0</v>
      </c>
      <c r="BQ104" s="174">
        <f>IF(AA104&gt;0,0,IF(Z104=$Z$90,AG104,0))</f>
        <v>0</v>
      </c>
      <c r="BR104" s="174">
        <f>IF(Z104=$Z$82,AA104*AG104,0)</f>
        <v>0</v>
      </c>
      <c r="BS104" s="174">
        <f>IF(Z104=$Z$83,AA104*AG104,0)</f>
        <v>0</v>
      </c>
      <c r="BT104" s="174">
        <f>IF(AA104&lt;1,0,IF(Z104=$Z$84,AA104*AG104,IF(Z104=$Z$93,"ERRO",IF(Z104=$Z$100,"ERRO",0))))</f>
        <v>0</v>
      </c>
      <c r="BU104" s="174">
        <f>IF(AA104&lt;1,0,IF(Z104=$Z$85,AA104*AG104,IF(Z104=$Z$93,"ERRO",IF(Z104=$Z$100,"ERRO",0))))</f>
        <v>0</v>
      </c>
      <c r="BV104" s="174">
        <f>IF(Z104=$Z$92,AA104*AG104,0)</f>
        <v>0</v>
      </c>
      <c r="BW104" s="174">
        <f>IF(Z104=$Z$91,AA104*AG104,0)</f>
        <v>0</v>
      </c>
      <c r="BX104" s="174">
        <f>IF(Z104=$Z$86,AA104*AG104,0)</f>
        <v>0</v>
      </c>
      <c r="BY104" s="174">
        <f>IF(Z104=$Z$87,AA104*AG104,0)</f>
        <v>0</v>
      </c>
      <c r="BZ104" s="174">
        <f>IF(Z104=$Z$88,AA104*AG104,0)</f>
        <v>0</v>
      </c>
      <c r="CA104" s="174">
        <f>IF(Z104=$Z$89,AA104*AG104,0)</f>
        <v>0</v>
      </c>
      <c r="CB104" s="174">
        <f>IF(Z104=$Z$90,AA104*AG104,0)</f>
        <v>0</v>
      </c>
      <c r="CC104" s="175">
        <f>IFERROR(IF(L104=$L$49,AG104*AH104*(1+AI104)*(1-AK104)*(1-AL104),0),0)</f>
        <v>0</v>
      </c>
      <c r="CD104" s="176">
        <f>IF(I104=$CD$97,1,IF(I104=$CD$100,2,IF(K104=$K$66,1,IF(K104=$K$69,1,3))))</f>
        <v>3</v>
      </c>
      <c r="CE104" s="176">
        <f t="shared" ref="CE104:CE423" si="14">IF($CD104=1,1.07,IF($CD104=2,1.07,1.3))</f>
        <v>1.3</v>
      </c>
      <c r="CF104" s="177">
        <f t="shared" si="9"/>
        <v>1.74</v>
      </c>
      <c r="CG104" s="176">
        <f t="shared" ref="CG104:CG423" si="15">IF($CD104=1,1.42,IF($CD104=2,1.47,2))</f>
        <v>2</v>
      </c>
      <c r="CH104" s="177">
        <f t="shared" si="10"/>
        <v>2.1800000000000002</v>
      </c>
      <c r="CI104" s="176">
        <f t="shared" ref="CI104:CI423" si="16">IF($CD104=1,1.7,IF($CD104=2,1.7,2.4))</f>
        <v>2.4</v>
      </c>
      <c r="CJ104" s="178">
        <f>CE104*$CJ$102</f>
        <v>1.274</v>
      </c>
      <c r="CK104" s="178">
        <f>CF104*$CK$102</f>
        <v>1.6182000000000001</v>
      </c>
      <c r="CL104" s="178">
        <f>CG104*$CL$102</f>
        <v>1.96</v>
      </c>
      <c r="CM104" s="178">
        <f>CH104*$CM$102</f>
        <v>2.1146000000000003</v>
      </c>
      <c r="CN104" s="179">
        <f>CI104*$CN$102</f>
        <v>2.3039999999999998</v>
      </c>
      <c r="CO104" s="177">
        <f>CJ104*$CO$102</f>
        <v>1.2230399999999999</v>
      </c>
      <c r="CP104" s="180">
        <f t="shared" si="11"/>
        <v>10788.375488432619</v>
      </c>
      <c r="CQ104" s="181">
        <f t="shared" si="12"/>
        <v>284783.55570150213</v>
      </c>
      <c r="CR104" s="176">
        <f t="shared" si="13"/>
        <v>10788.375488432619</v>
      </c>
      <c r="CS104" s="49"/>
      <c r="CT104" s="49"/>
      <c r="CU104" s="49"/>
      <c r="CV104" s="49"/>
      <c r="CW104" s="49"/>
      <c r="CX104" s="49"/>
      <c r="CY104" s="49"/>
      <c r="CZ104" s="49"/>
      <c r="DA104" s="49"/>
      <c r="DB104" s="49"/>
      <c r="DC104" s="49"/>
      <c r="DD104" s="49"/>
      <c r="DE104" s="49"/>
      <c r="DF104" s="49"/>
      <c r="DG104" s="49"/>
      <c r="DH104" s="49"/>
      <c r="DI104" s="49"/>
      <c r="DJ104" s="49"/>
      <c r="DK104" s="49"/>
      <c r="DL104" s="49"/>
      <c r="DM104" s="49"/>
      <c r="DN104" s="49"/>
      <c r="DO104" s="49"/>
      <c r="DP104" s="49"/>
      <c r="DQ104" s="49"/>
      <c r="DR104" s="49"/>
      <c r="DS104" s="49"/>
      <c r="DT104" s="49"/>
      <c r="DU104" s="49"/>
      <c r="DV104" s="49"/>
      <c r="DW104" s="49"/>
      <c r="DX104" s="49"/>
      <c r="DY104" s="49"/>
      <c r="DZ104" s="49"/>
      <c r="EA104" s="49"/>
      <c r="EB104" s="49"/>
      <c r="EC104" s="49"/>
      <c r="ED104" s="49"/>
      <c r="EE104" s="49"/>
      <c r="EF104" s="49"/>
      <c r="EG104" s="49"/>
      <c r="EH104" s="49"/>
      <c r="EI104" s="49"/>
      <c r="EJ104" s="49"/>
      <c r="EK104" s="49"/>
      <c r="EL104" s="49"/>
      <c r="EM104" s="49"/>
      <c r="EN104" s="49"/>
      <c r="EO104" s="49"/>
      <c r="EP104" s="49"/>
      <c r="EQ104" s="49"/>
      <c r="ER104" s="49"/>
      <c r="ES104" s="49"/>
      <c r="ET104" s="49"/>
      <c r="EU104" s="49"/>
      <c r="EV104" s="49"/>
      <c r="EW104" s="49"/>
      <c r="EX104" s="49"/>
      <c r="EY104" s="49"/>
      <c r="EZ104" s="49"/>
      <c r="FA104" s="49"/>
    </row>
    <row r="105" spans="1:157" s="182" customFormat="1" x14ac:dyDescent="0.25">
      <c r="A105" s="113">
        <f>IF(AND('[1]Cockpit Retorno'!$E$67=Sim,Mestre!M105=Mestre!$M$98),0,1)</f>
        <v>1</v>
      </c>
      <c r="B105" s="113">
        <f>IF(AND('[1]Cockpit Retorno'!$E$67=Sim,Mestre!L105=Mestre!$L$48),0,1)</f>
        <v>0</v>
      </c>
      <c r="C105" s="113">
        <f>IF(AND('[1]Cockpit Retorno'!$E$67=Sim,Mestre!M105=Mestre!$M$97),0,1)</f>
        <v>1</v>
      </c>
      <c r="D105" s="148" t="s">
        <v>260</v>
      </c>
      <c r="E105" s="115"/>
      <c r="F105" s="116" t="s">
        <v>107</v>
      </c>
      <c r="G105" s="149"/>
      <c r="H105" s="150" t="s">
        <v>65</v>
      </c>
      <c r="I105" s="151" t="str">
        <f t="shared" si="1"/>
        <v>Serviços</v>
      </c>
      <c r="J105" s="150" t="s">
        <v>12</v>
      </c>
      <c r="K105" s="152" t="s">
        <v>65</v>
      </c>
      <c r="L105" s="153" t="s">
        <v>15</v>
      </c>
      <c r="M105" s="154" t="s">
        <v>12</v>
      </c>
      <c r="N105" s="155" t="s">
        <v>43</v>
      </c>
      <c r="O105" s="155" t="s">
        <v>261</v>
      </c>
      <c r="P105" s="155" t="s">
        <v>43</v>
      </c>
      <c r="Q105" s="155" t="s">
        <v>43</v>
      </c>
      <c r="R105" s="155" t="s">
        <v>43</v>
      </c>
      <c r="S105" s="156" t="s">
        <v>43</v>
      </c>
      <c r="T105" s="156" t="s">
        <v>43</v>
      </c>
      <c r="U105" s="150" t="s">
        <v>43</v>
      </c>
      <c r="V105" s="150" t="s">
        <v>43</v>
      </c>
      <c r="W105" s="150" t="s">
        <v>43</v>
      </c>
      <c r="X105" s="157" t="s">
        <v>262</v>
      </c>
      <c r="Y105" s="150" t="s">
        <v>43</v>
      </c>
      <c r="Z105" s="150" t="s">
        <v>43</v>
      </c>
      <c r="AA105" s="158">
        <v>0</v>
      </c>
      <c r="AB105" s="155" t="s">
        <v>43</v>
      </c>
      <c r="AC105" s="150" t="s">
        <v>43</v>
      </c>
      <c r="AD105" s="155" t="s">
        <v>43</v>
      </c>
      <c r="AE105" s="155"/>
      <c r="AF105" s="150" t="s">
        <v>43</v>
      </c>
      <c r="AG105" s="159">
        <v>1</v>
      </c>
      <c r="AH105" s="160">
        <v>463129.33385241876</v>
      </c>
      <c r="AI105" s="161">
        <v>0</v>
      </c>
      <c r="AJ105" s="161">
        <v>0</v>
      </c>
      <c r="AK105" s="162"/>
      <c r="AL105" s="163"/>
      <c r="AM105" s="164">
        <f>(((IF(L105=$L$101,1,IF(L105=$L$47,1,0))*(AH105*(1-AK105)))*AG105)*(1-AL105))</f>
        <v>463129.33385241876</v>
      </c>
      <c r="AN105" s="165">
        <f>IF(K105=$K$50,AM105,IF(K105=$K$53,AM105,IF(K105=$K$54,AM105,IF(K105=$K$55,AM105,IF(K105=$K$56,AM105,IF(K105=$K$57,AM105,IF(K105=$K$58,AM105,IF(K105=$K$65,AM105,IF(K105=$K$66,AM105,IF(K105=$K$67,AM105,IF(K105=$K$68,AM105,IF(K105=$K$69,AM105,IF(K105=$K$51,AM105,(AM105*(1+AI105)))))))))))))))</f>
        <v>463129.33385241876</v>
      </c>
      <c r="AO105" s="166">
        <v>1.9</v>
      </c>
      <c r="AP105" s="160">
        <f t="shared" si="2"/>
        <v>879945.73431959562</v>
      </c>
      <c r="AQ105" s="167">
        <f t="shared" si="3"/>
        <v>762442.45815233106</v>
      </c>
      <c r="AR105" s="160">
        <f t="shared" si="4"/>
        <v>879945.73431959562</v>
      </c>
      <c r="AS105" s="183">
        <f t="shared" si="5"/>
        <v>1.5861947294918348</v>
      </c>
      <c r="AT105" s="169" t="str">
        <f>K105</f>
        <v>MOI</v>
      </c>
      <c r="AU105" s="169" t="str">
        <f>I105</f>
        <v>Serviços</v>
      </c>
      <c r="AV105" s="170"/>
      <c r="AW105" s="171">
        <f>IF(K105=$K$50,0,IF(K105=$K$53,0,IF(K105=$K$54,0,IF(K105=$K$55,0,IF(K105=$K$56,0,IF(K105=$K$57,0,IF(K105=$K$58,0,IF(K105=$K$65,0,IF(K105=$K$66,0,IF(K105=$K$67,0,IF(K105=$K$68,0,IF(K105=$K$69,0,IF(K105=$K$51,0,1))))))))))))*AM105*AI105)</f>
        <v>0</v>
      </c>
      <c r="AX105" s="172">
        <f>IF(K105=$K$50,0,IF(K105=$K$53,0,IF(K105=$K$54,0,IF(K105=$K$55,0,IF(K105=$K$56,0,IF(K105=$K$57,0,IF(K105=$K$58,0,IF(K105=$K$65,0,IF(K105=$K$66,0,IF(K105=$K$67,0,IF(K105=$K$68,0,IF(K105=$K$69,0,IF(K105=$K$51,0,1))))))))))))*AM105*AJ105*$AX$94)</f>
        <v>0</v>
      </c>
      <c r="AY105" s="172">
        <f>IF(K105=$K$53,0,IF(K105=$K$54,0,IF(K105=$K$55,0,IF(K105=$K$56,0,IF(K105=$K$58,0,IF(K105=$K$50,0,IF(K105=$K$65,0,IF(K105=$K$57,0,IF(K105=$K$51,0,AM105*$AY$102)))))))))</f>
        <v>0</v>
      </c>
      <c r="AZ105" s="172">
        <f>IF(K105=$K$53,0,IF(K105=$K$54,0,IF(K105=$K$55,0,IF(K105=$K$56,0,IF(K105=$K$58,0,IF(K105=$K$50,0,IF(K105=$K$65,0,IF(K105=$K$57,0,IF(K105=$K$51,0,AM105*$AZ$102)))))))))</f>
        <v>0</v>
      </c>
      <c r="BA105" s="172">
        <f t="shared" si="6"/>
        <v>0</v>
      </c>
      <c r="BB105" s="173">
        <f>IF($BA$97=1,AQ105*$BB$102,IF(K105=$K$50,0,IF(K105=$K$53,0,IF(K105=$K$54,0,IF(K105=$K$55,0,IF(K105=$K$56,0,IF(K105=$K$57,0,IF(K105=$K$58,0,IF(K105=$K$65,0,IF(K105=$K$66,0,IF(K105=$K$67,0,IF(K105=$K$68,0,IF(K105=$K$69,0,IF(K105=$K$51,0,1)))))))))))*AQ105*$BB$102)))</f>
        <v>0</v>
      </c>
      <c r="BC105" s="172">
        <f t="shared" si="7"/>
        <v>4955.875977990152</v>
      </c>
      <c r="BD105" s="172">
        <f t="shared" si="8"/>
        <v>22873.273744569931</v>
      </c>
      <c r="BE105" s="172">
        <f>IF($BE$95=I105,$BE$97,IF(I105=$BE$96,$BE$97,1))*($BE$102*AQ105)*$AZ$97</f>
        <v>0</v>
      </c>
      <c r="BF105" s="172">
        <f>IF('[1]Cockpit Retorno'!$C$65=Sim,Mestre!BA105,SUM(BB105:BE105)+(IF(K105=$K$56,AQ105*MOE_IRRF_LR,0)))</f>
        <v>27829.149722560083</v>
      </c>
      <c r="BG105" s="174">
        <f>IF(AA105&gt;0,0,IF(Z105=$Z$82,AG105*1,(IF(Z105=$Z$81,AG105*1,0))))</f>
        <v>0</v>
      </c>
      <c r="BH105" s="174">
        <f>IF(AA105&gt;0,0,IF(Z105=$Z$83,AG105*1,IF(Z105=$Z$81,AG105*1,0)))</f>
        <v>0</v>
      </c>
      <c r="BI105" s="174">
        <f>IF(AA105&gt;0,0,IF(Z105=$Z$84,AG105*1,IF(Z105=$Z$93,AG105*2,IF(Z105=$Z$100,AG105,IF(Z105=$Z$81,AG105*2,IF(Z105=$Z$80,AG105*1,IF(Z105=$Z$79,AG105*3,IF(Z105=$Z$78,AG105*2,0))))))))</f>
        <v>0</v>
      </c>
      <c r="BJ105" s="174">
        <f>IF(AA105&gt;0,0,IF(Z105=$Z$85,AG105,IF(Z105=$Z$93,AG105,IF(Z105=$Z$100,AG105,IF(Z105=$Z$81,AG105*1,IF(Z105=$Z$80,AG105*2,IF(Z105=$Z$79,AG105*2,IF(Z105=$Z$78,AG105*2,0))))))))</f>
        <v>0</v>
      </c>
      <c r="BK105" s="174">
        <f>IF(AA105&gt;0,0,IF(Z105=$Z$92,AG105,0))</f>
        <v>0</v>
      </c>
      <c r="BL105" s="174">
        <f>IF(AA105&gt;0,0,IF(Z105=$Z$91,AG105,0))</f>
        <v>0</v>
      </c>
      <c r="BM105" s="174">
        <f>IF(AA105&gt;0,0,IF(Z105=$Z$86,AG105,0))</f>
        <v>0</v>
      </c>
      <c r="BN105" s="174">
        <f>IF(AA105&gt;0,0,IF(Z105=$Z$87,AG105,0))</f>
        <v>0</v>
      </c>
      <c r="BO105" s="174">
        <f>IF(AA105&gt;0,0,IF(Z105=$Z$88,AG105,0))</f>
        <v>0</v>
      </c>
      <c r="BP105" s="174">
        <f>IF(AA105&gt;0,0,IF(Z105=$Z$89,AG105,0))</f>
        <v>0</v>
      </c>
      <c r="BQ105" s="174">
        <f>IF(AA105&gt;0,0,IF(Z105=$Z$90,AG105,0))</f>
        <v>0</v>
      </c>
      <c r="BR105" s="174">
        <f>IF(Z105=$Z$82,AA105*AG105,0)</f>
        <v>0</v>
      </c>
      <c r="BS105" s="174">
        <f>IF(Z105=$Z$83,AA105*AG105,0)</f>
        <v>0</v>
      </c>
      <c r="BT105" s="174">
        <f>IF(AA105&lt;1,0,IF(Z105=$Z$84,AA105*AG105,IF(Z105=$Z$93,"ERRO",IF(Z105=$Z$100,"ERRO",0))))</f>
        <v>0</v>
      </c>
      <c r="BU105" s="174">
        <f>IF(AA105&lt;1,0,IF(Z105=$Z$85,AA105*AG105,IF(Z105=$Z$93,"ERRO",IF(Z105=$Z$100,"ERRO",0))))</f>
        <v>0</v>
      </c>
      <c r="BV105" s="174">
        <f>IF(Z105=$Z$92,AA105*AG105,0)</f>
        <v>0</v>
      </c>
      <c r="BW105" s="174">
        <f>IF(Z105=$Z$91,AA105*AG105,0)</f>
        <v>0</v>
      </c>
      <c r="BX105" s="174">
        <f>IF(Z105=$Z$86,AA105*AG105,0)</f>
        <v>0</v>
      </c>
      <c r="BY105" s="174">
        <f>IF(Z105=$Z$87,AA105*AG105,0)</f>
        <v>0</v>
      </c>
      <c r="BZ105" s="174">
        <f>IF(Z105=$Z$88,AA105*AG105,0)</f>
        <v>0</v>
      </c>
      <c r="CA105" s="174">
        <f>IF(Z105=$Z$89,AA105*AG105,0)</f>
        <v>0</v>
      </c>
      <c r="CB105" s="174">
        <f>IF(Z105=$Z$90,AA105*AG105,0)</f>
        <v>0</v>
      </c>
      <c r="CC105" s="175">
        <f>IFERROR(IF(L105=$L$49,AG105*AH105*(1+AI105)*(1-AK105)*(1-AL105),0),0)</f>
        <v>0</v>
      </c>
      <c r="CD105" s="182">
        <f>IF(I105=$CD$97,1,IF(I105=$CD$100,2,IF(K105=$K$66,1,IF(K105=$K$69,1,3))))</f>
        <v>3</v>
      </c>
      <c r="CE105" s="182">
        <f>IF($CD105=1,1.07,IF($CD105=2,1.07,1.3))</f>
        <v>1.3</v>
      </c>
      <c r="CF105" s="184">
        <f t="shared" si="9"/>
        <v>1.74</v>
      </c>
      <c r="CG105" s="182">
        <f>IF($CD105=1,1.42,IF($CD105=2,1.47,2))</f>
        <v>2</v>
      </c>
      <c r="CH105" s="184">
        <f t="shared" si="10"/>
        <v>2.1800000000000002</v>
      </c>
      <c r="CI105" s="182">
        <f>IF($CD105=1,1.7,IF($CD105=2,1.7,2.4))</f>
        <v>2.4</v>
      </c>
      <c r="CJ105" s="185">
        <f>CE105*$CJ$102</f>
        <v>1.274</v>
      </c>
      <c r="CK105" s="185">
        <f>CF105*$CK$102</f>
        <v>1.6182000000000001</v>
      </c>
      <c r="CL105" s="185">
        <f>CG105*$CL$102</f>
        <v>1.96</v>
      </c>
      <c r="CM105" s="185">
        <f>CH105*$CM$102</f>
        <v>2.1146000000000003</v>
      </c>
      <c r="CN105" s="186">
        <f>CI105*$CN$102</f>
        <v>2.3039999999999998</v>
      </c>
      <c r="CO105" s="184">
        <f>CJ105*$CO$102</f>
        <v>1.2230399999999999</v>
      </c>
      <c r="CP105" s="187">
        <f t="shared" si="11"/>
        <v>27829.149722560083</v>
      </c>
      <c r="CQ105" s="188">
        <f t="shared" si="12"/>
        <v>734613.30842977099</v>
      </c>
      <c r="CR105" s="189">
        <f t="shared" si="13"/>
        <v>27829.149722560083</v>
      </c>
      <c r="CS105" s="49"/>
      <c r="CT105" s="49"/>
      <c r="CU105" s="49"/>
      <c r="CV105" s="49"/>
      <c r="CW105" s="49"/>
      <c r="CX105" s="49"/>
      <c r="CY105" s="49"/>
      <c r="CZ105" s="49"/>
      <c r="DA105" s="49"/>
      <c r="DB105" s="49"/>
      <c r="DC105" s="49"/>
      <c r="DD105" s="49"/>
      <c r="DE105" s="49"/>
      <c r="DF105" s="49"/>
      <c r="DG105" s="49"/>
      <c r="DH105" s="49"/>
      <c r="DI105" s="49"/>
      <c r="DJ105" s="49"/>
      <c r="DK105" s="49"/>
      <c r="DL105" s="49"/>
      <c r="DM105" s="49"/>
      <c r="DN105" s="49"/>
      <c r="DO105" s="49"/>
      <c r="DP105" s="49"/>
      <c r="DQ105" s="49"/>
      <c r="DR105" s="49"/>
      <c r="DS105" s="49"/>
      <c r="DT105" s="49"/>
      <c r="DU105" s="49"/>
      <c r="DV105" s="49"/>
      <c r="DW105" s="49"/>
      <c r="DX105" s="49"/>
      <c r="DY105" s="49"/>
      <c r="DZ105" s="49"/>
      <c r="EA105" s="49"/>
      <c r="EB105" s="49"/>
      <c r="EC105" s="49"/>
      <c r="ED105" s="49"/>
      <c r="EE105" s="49"/>
      <c r="EF105" s="49"/>
      <c r="EG105" s="49"/>
      <c r="EH105" s="49"/>
      <c r="EI105" s="49"/>
      <c r="EJ105" s="49"/>
      <c r="EK105" s="49"/>
      <c r="EL105" s="49"/>
      <c r="EM105" s="49"/>
      <c r="EN105" s="49"/>
      <c r="EO105" s="49"/>
      <c r="EP105" s="49"/>
      <c r="EQ105" s="49"/>
      <c r="ER105" s="49"/>
      <c r="ES105" s="49"/>
      <c r="ET105" s="49"/>
      <c r="EU105" s="49"/>
      <c r="EV105" s="49"/>
      <c r="EW105" s="49"/>
      <c r="EX105" s="49"/>
      <c r="EY105" s="49"/>
      <c r="EZ105" s="49"/>
      <c r="FA105" s="49"/>
    </row>
    <row r="106" spans="1:157" s="182" customFormat="1" x14ac:dyDescent="0.25">
      <c r="A106" s="113">
        <f>IF(AND('[1]Cockpit Retorno'!$E$67=Sim,Mestre!M106=Mestre!$M$98),0,1)</f>
        <v>1</v>
      </c>
      <c r="B106" s="113">
        <f>IF(AND('[1]Cockpit Retorno'!$E$67=Sim,Mestre!L106=Mestre!$L$48),0,1)</f>
        <v>0</v>
      </c>
      <c r="C106" s="113">
        <f>IF(AND('[1]Cockpit Retorno'!$E$67=Sim,Mestre!M106=Mestre!$M$97),0,1)</f>
        <v>1</v>
      </c>
      <c r="D106" s="148" t="s">
        <v>260</v>
      </c>
      <c r="E106" s="115"/>
      <c r="F106" s="116" t="s">
        <v>107</v>
      </c>
      <c r="G106" s="149"/>
      <c r="H106" s="150" t="s">
        <v>70</v>
      </c>
      <c r="I106" s="151" t="str">
        <f t="shared" si="1"/>
        <v>Serviços</v>
      </c>
      <c r="J106" s="150" t="s">
        <v>12</v>
      </c>
      <c r="K106" s="152" t="s">
        <v>70</v>
      </c>
      <c r="L106" s="153" t="s">
        <v>15</v>
      </c>
      <c r="M106" s="154" t="s">
        <v>12</v>
      </c>
      <c r="N106" s="155" t="s">
        <v>43</v>
      </c>
      <c r="O106" s="155" t="s">
        <v>261</v>
      </c>
      <c r="P106" s="155" t="s">
        <v>43</v>
      </c>
      <c r="Q106" s="155" t="s">
        <v>43</v>
      </c>
      <c r="R106" s="155" t="s">
        <v>43</v>
      </c>
      <c r="S106" s="156" t="s">
        <v>43</v>
      </c>
      <c r="T106" s="156" t="s">
        <v>43</v>
      </c>
      <c r="U106" s="150" t="s">
        <v>43</v>
      </c>
      <c r="V106" s="150" t="s">
        <v>43</v>
      </c>
      <c r="W106" s="150" t="s">
        <v>43</v>
      </c>
      <c r="X106" s="157" t="s">
        <v>262</v>
      </c>
      <c r="Y106" s="150" t="s">
        <v>43</v>
      </c>
      <c r="Z106" s="150" t="s">
        <v>43</v>
      </c>
      <c r="AA106" s="158">
        <v>0</v>
      </c>
      <c r="AB106" s="155" t="s">
        <v>43</v>
      </c>
      <c r="AC106" s="150" t="s">
        <v>43</v>
      </c>
      <c r="AD106" s="155" t="s">
        <v>43</v>
      </c>
      <c r="AE106" s="155"/>
      <c r="AF106" s="150" t="s">
        <v>43</v>
      </c>
      <c r="AG106" s="159">
        <v>1</v>
      </c>
      <c r="AH106" s="160">
        <v>1675387.979292619</v>
      </c>
      <c r="AI106" s="161">
        <v>0</v>
      </c>
      <c r="AJ106" s="161">
        <v>0</v>
      </c>
      <c r="AK106" s="162"/>
      <c r="AL106" s="163"/>
      <c r="AM106" s="164">
        <f>(((IF(L106=$L$101,1,IF(L106=$L$47,1,0))*(AH106*(1-AK106)))*AG106)*(1-AL106))</f>
        <v>1675387.979292619</v>
      </c>
      <c r="AN106" s="165">
        <f>IF(K106=$K$50,AM106,IF(K106=$K$53,AM106,IF(K106=$K$54,AM106,IF(K106=$K$55,AM106,IF(K106=$K$56,AM106,IF(K106=$K$57,AM106,IF(K106=$K$58,AM106,IF(K106=$K$65,AM106,IF(K106=$K$66,AM106,IF(K106=$K$67,AM106,IF(K106=$K$68,AM106,IF(K106=$K$69,AM106,IF(K106=$K$51,AM106,(AM106*(1+AI106)))))))))))))))</f>
        <v>1675387.979292619</v>
      </c>
      <c r="AO106" s="166">
        <v>1.9</v>
      </c>
      <c r="AP106" s="160">
        <f t="shared" si="2"/>
        <v>3183237.1606559758</v>
      </c>
      <c r="AQ106" s="167">
        <f t="shared" si="3"/>
        <v>2758164.5901483414</v>
      </c>
      <c r="AR106" s="160">
        <f t="shared" si="4"/>
        <v>3183237.1606559758</v>
      </c>
      <c r="AS106" s="183">
        <f t="shared" si="5"/>
        <v>1.5861947294918344</v>
      </c>
      <c r="AT106" s="169" t="str">
        <f>K106</f>
        <v>MOD</v>
      </c>
      <c r="AU106" s="169" t="str">
        <f>I106</f>
        <v>Serviços</v>
      </c>
      <c r="AV106" s="170"/>
      <c r="AW106" s="171">
        <f>IF(K106=$K$50,0,IF(K106=$K$53,0,IF(K106=$K$54,0,IF(K106=$K$55,0,IF(K106=$K$56,0,IF(K106=$K$57,0,IF(K106=$K$58,0,IF(K106=$K$65,0,IF(K106=$K$66,0,IF(K106=$K$67,0,IF(K106=$K$68,0,IF(K106=$K$69,0,IF(K106=$K$51,0,1))))))))))))*AM106*AI106)</f>
        <v>0</v>
      </c>
      <c r="AX106" s="172">
        <f>IF(K106=$K$50,0,IF(K106=$K$53,0,IF(K106=$K$54,0,IF(K106=$K$55,0,IF(K106=$K$56,0,IF(K106=$K$57,0,IF(K106=$K$58,0,IF(K106=$K$65,0,IF(K106=$K$66,0,IF(K106=$K$67,0,IF(K106=$K$68,0,IF(K106=$K$69,0,IF(K106=$K$51,0,1))))))))))))*AM106*AJ106*$AX$94)</f>
        <v>0</v>
      </c>
      <c r="AY106" s="172">
        <f>IF(K106=$K$53,0,IF(K106=$K$54,0,IF(K106=$K$55,0,IF(K106=$K$56,0,IF(K106=$K$58,0,IF(K106=$K$50,0,IF(K106=$K$65,0,IF(K106=$K$57,0,IF(K106=$K$51,0,AM106*$AY$102)))))))))</f>
        <v>0</v>
      </c>
      <c r="AZ106" s="172">
        <f>IF(K106=$K$53,0,IF(K106=$K$54,0,IF(K106=$K$55,0,IF(K106=$K$56,0,IF(K106=$K$58,0,IF(K106=$K$50,0,IF(K106=$K$65,0,IF(K106=$K$57,0,IF(K106=$K$51,0,AM106*$AZ$102)))))))))</f>
        <v>0</v>
      </c>
      <c r="BA106" s="172">
        <f t="shared" si="6"/>
        <v>0</v>
      </c>
      <c r="BB106" s="173">
        <f>IF($BA$97=1,AQ106*$BB$102,IF(K106=$K$50,0,IF(K106=$K$53,0,IF(K106=$K$54,0,IF(K106=$K$55,0,IF(K106=$K$56,0,IF(K106=$K$57,0,IF(K106=$K$58,0,IF(K106=$K$65,0,IF(K106=$K$66,0,IF(K106=$K$67,0,IF(K106=$K$68,0,IF(K106=$K$69,0,IF(K106=$K$51,0,1)))))))))))*AQ106*$BB$102)))</f>
        <v>0</v>
      </c>
      <c r="BC106" s="172">
        <f t="shared" si="7"/>
        <v>17928.069835964219</v>
      </c>
      <c r="BD106" s="172">
        <f t="shared" si="8"/>
        <v>82744.937704450233</v>
      </c>
      <c r="BE106" s="172">
        <f>IF($BE$95=I106,$BE$97,IF(I106=$BE$96,$BE$97,1))*($BE$102*AQ106)*$AZ$97</f>
        <v>0</v>
      </c>
      <c r="BF106" s="172">
        <f>IF('[1]Cockpit Retorno'!$C$65=Sim,Mestre!BA106,SUM(BB106:BE106)+(IF(K106=$K$56,AQ106*MOE_IRRF_LR,0)))</f>
        <v>100673.00754041446</v>
      </c>
      <c r="BG106" s="174">
        <f>IF(AA106&gt;0,0,IF(Z106=$Z$82,AG106*1,(IF(Z106=$Z$81,AG106*1,0))))</f>
        <v>0</v>
      </c>
      <c r="BH106" s="174">
        <f>IF(AA106&gt;0,0,IF(Z106=$Z$83,AG106*1,IF(Z106=$Z$81,AG106*1,0)))</f>
        <v>0</v>
      </c>
      <c r="BI106" s="174">
        <f>IF(AA106&gt;0,0,IF(Z106=$Z$84,AG106*1,IF(Z106=$Z$93,AG106*2,IF(Z106=$Z$100,AG106,IF(Z106=$Z$81,AG106*2,IF(Z106=$Z$80,AG106*1,IF(Z106=$Z$79,AG106*3,IF(Z106=$Z$78,AG106*2,0))))))))</f>
        <v>0</v>
      </c>
      <c r="BJ106" s="174">
        <f>IF(AA106&gt;0,0,IF(Z106=$Z$85,AG106,IF(Z106=$Z$93,AG106,IF(Z106=$Z$100,AG106,IF(Z106=$Z$81,AG106*1,IF(Z106=$Z$80,AG106*2,IF(Z106=$Z$79,AG106*2,IF(Z106=$Z$78,AG106*2,0))))))))</f>
        <v>0</v>
      </c>
      <c r="BK106" s="174">
        <f>IF(AA106&gt;0,0,IF(Z106=$Z$92,AG106,0))</f>
        <v>0</v>
      </c>
      <c r="BL106" s="174">
        <f>IF(AA106&gt;0,0,IF(Z106=$Z$91,AG106,0))</f>
        <v>0</v>
      </c>
      <c r="BM106" s="174">
        <f>IF(AA106&gt;0,0,IF(Z106=$Z$86,AG106,0))</f>
        <v>0</v>
      </c>
      <c r="BN106" s="174">
        <f>IF(AA106&gt;0,0,IF(Z106=$Z$87,AG106,0))</f>
        <v>0</v>
      </c>
      <c r="BO106" s="174">
        <f>IF(AA106&gt;0,0,IF(Z106=$Z$88,AG106,0))</f>
        <v>0</v>
      </c>
      <c r="BP106" s="174">
        <f>IF(AA106&gt;0,0,IF(Z106=$Z$89,AG106,0))</f>
        <v>0</v>
      </c>
      <c r="BQ106" s="174">
        <f>IF(AA106&gt;0,0,IF(Z106=$Z$90,AG106,0))</f>
        <v>0</v>
      </c>
      <c r="BR106" s="174">
        <f>IF(Z106=$Z$82,AA106*AG106,0)</f>
        <v>0</v>
      </c>
      <c r="BS106" s="174">
        <f>IF(Z106=$Z$83,AA106*AG106,0)</f>
        <v>0</v>
      </c>
      <c r="BT106" s="174">
        <f>IF(AA106&lt;1,0,IF(Z106=$Z$84,AA106*AG106,IF(Z106=$Z$93,"ERRO",IF(Z106=$Z$100,"ERRO",0))))</f>
        <v>0</v>
      </c>
      <c r="BU106" s="174">
        <f>IF(AA106&lt;1,0,IF(Z106=$Z$85,AA106*AG106,IF(Z106=$Z$93,"ERRO",IF(Z106=$Z$100,"ERRO",0))))</f>
        <v>0</v>
      </c>
      <c r="BV106" s="174">
        <f>IF(Z106=$Z$92,AA106*AG106,0)</f>
        <v>0</v>
      </c>
      <c r="BW106" s="174">
        <f>IF(Z106=$Z$91,AA106*AG106,0)</f>
        <v>0</v>
      </c>
      <c r="BX106" s="174">
        <f>IF(Z106=$Z$86,AA106*AG106,0)</f>
        <v>0</v>
      </c>
      <c r="BY106" s="174">
        <f>IF(Z106=$Z$87,AA106*AG106,0)</f>
        <v>0</v>
      </c>
      <c r="BZ106" s="174">
        <f>IF(Z106=$Z$88,AA106*AG106,0)</f>
        <v>0</v>
      </c>
      <c r="CA106" s="174">
        <f>IF(Z106=$Z$89,AA106*AG106,0)</f>
        <v>0</v>
      </c>
      <c r="CB106" s="174">
        <f>IF(Z106=$Z$90,AA106*AG106,0)</f>
        <v>0</v>
      </c>
      <c r="CC106" s="175">
        <f>IFERROR(IF(L106=$L$49,AG106*AH106*(1+AI106)*(1-AK106)*(1-AL106),0),0)</f>
        <v>0</v>
      </c>
      <c r="CD106" s="182">
        <f>IF(I106=$CD$97,1,IF(I106=$CD$100,2,IF(K106=$K$66,1,IF(K106=$K$69,1,3))))</f>
        <v>3</v>
      </c>
      <c r="CE106" s="182">
        <f>IF($CD106=1,1.07,IF($CD106=2,1.07,1.3))</f>
        <v>1.3</v>
      </c>
      <c r="CF106" s="184">
        <f t="shared" si="9"/>
        <v>1.74</v>
      </c>
      <c r="CG106" s="182">
        <f>IF($CD106=1,1.42,IF($CD106=2,1.47,2))</f>
        <v>2</v>
      </c>
      <c r="CH106" s="184">
        <f t="shared" si="10"/>
        <v>2.1800000000000002</v>
      </c>
      <c r="CI106" s="182">
        <f>IF($CD106=1,1.7,IF($CD106=2,1.7,2.4))</f>
        <v>2.4</v>
      </c>
      <c r="CJ106" s="185">
        <f>CE106*$CJ$102-0.05</f>
        <v>1.224</v>
      </c>
      <c r="CK106" s="185">
        <f>CF106*$CK$102-0.05</f>
        <v>1.5682</v>
      </c>
      <c r="CL106" s="185">
        <f>CG106*$CL$102-0.05</f>
        <v>1.91</v>
      </c>
      <c r="CM106" s="185">
        <f>CH106*$CM$102-0.05</f>
        <v>2.0646000000000004</v>
      </c>
      <c r="CN106" s="186">
        <f>CI106*$CN$102-0.05</f>
        <v>2.254</v>
      </c>
      <c r="CO106" s="184">
        <v>1.3</v>
      </c>
      <c r="CP106" s="187">
        <f t="shared" si="11"/>
        <v>100673.00754041446</v>
      </c>
      <c r="CQ106" s="188">
        <f t="shared" si="12"/>
        <v>2657491.5826079268</v>
      </c>
      <c r="CR106" s="189">
        <f t="shared" si="13"/>
        <v>100673.00754041446</v>
      </c>
      <c r="CS106" s="49"/>
      <c r="CT106" s="49"/>
      <c r="CU106" s="49"/>
      <c r="CV106" s="49"/>
      <c r="CW106" s="49"/>
      <c r="CX106" s="49"/>
      <c r="CY106" s="49"/>
      <c r="CZ106" s="49"/>
      <c r="DA106" s="49"/>
      <c r="DB106" s="49"/>
      <c r="DC106" s="49"/>
      <c r="DD106" s="49"/>
      <c r="DE106" s="49"/>
      <c r="DF106" s="49"/>
      <c r="DG106" s="49"/>
      <c r="DH106" s="49"/>
      <c r="DI106" s="49"/>
      <c r="DJ106" s="49"/>
      <c r="DK106" s="49"/>
      <c r="DL106" s="49"/>
      <c r="DM106" s="49"/>
      <c r="DN106" s="49"/>
      <c r="DO106" s="49"/>
      <c r="DP106" s="49"/>
      <c r="DQ106" s="49"/>
      <c r="DR106" s="49"/>
      <c r="DS106" s="49"/>
      <c r="DT106" s="49"/>
      <c r="DU106" s="49"/>
      <c r="DV106" s="49"/>
      <c r="DW106" s="49"/>
      <c r="DX106" s="49"/>
      <c r="DY106" s="49"/>
      <c r="DZ106" s="49"/>
      <c r="EA106" s="49"/>
      <c r="EB106" s="49"/>
      <c r="EC106" s="49"/>
      <c r="ED106" s="49"/>
      <c r="EE106" s="49"/>
      <c r="EF106" s="49"/>
      <c r="EG106" s="49"/>
      <c r="EH106" s="49"/>
      <c r="EI106" s="49"/>
      <c r="EJ106" s="49"/>
      <c r="EK106" s="49"/>
      <c r="EL106" s="49"/>
      <c r="EM106" s="49"/>
      <c r="EN106" s="49"/>
      <c r="EO106" s="49"/>
      <c r="EP106" s="49"/>
      <c r="EQ106" s="49"/>
      <c r="ER106" s="49"/>
      <c r="ES106" s="49"/>
      <c r="ET106" s="49"/>
      <c r="EU106" s="49"/>
      <c r="EV106" s="49"/>
      <c r="EW106" s="49"/>
      <c r="EX106" s="49"/>
      <c r="EY106" s="49"/>
      <c r="EZ106" s="49"/>
      <c r="FA106" s="49"/>
    </row>
    <row r="107" spans="1:157" s="182" customFormat="1" x14ac:dyDescent="0.25">
      <c r="A107" s="113">
        <f>IF(AND('[1]Cockpit Retorno'!$E$67=Sim,Mestre!M107=Mestre!$M$98),0,1)</f>
        <v>1</v>
      </c>
      <c r="B107" s="113">
        <f>IF(AND('[1]Cockpit Retorno'!$E$67=Sim,Mestre!L107=Mestre!$L$48),0,1)</f>
        <v>0</v>
      </c>
      <c r="C107" s="113">
        <f>IF(AND('[1]Cockpit Retorno'!$E$67=Sim,Mestre!M107=Mestre!$M$97),0,1)</f>
        <v>1</v>
      </c>
      <c r="D107" s="148" t="s">
        <v>260</v>
      </c>
      <c r="E107" s="115"/>
      <c r="F107" s="116" t="s">
        <v>107</v>
      </c>
      <c r="G107" s="149"/>
      <c r="H107" s="150" t="s">
        <v>45</v>
      </c>
      <c r="I107" s="151" t="str">
        <f t="shared" si="1"/>
        <v>Serviços</v>
      </c>
      <c r="J107" s="150" t="s">
        <v>12</v>
      </c>
      <c r="K107" s="152" t="s">
        <v>45</v>
      </c>
      <c r="L107" s="153" t="s">
        <v>15</v>
      </c>
      <c r="M107" s="154" t="s">
        <v>12</v>
      </c>
      <c r="N107" s="155" t="s">
        <v>43</v>
      </c>
      <c r="O107" s="155" t="s">
        <v>261</v>
      </c>
      <c r="P107" s="155" t="s">
        <v>43</v>
      </c>
      <c r="Q107" s="155" t="s">
        <v>43</v>
      </c>
      <c r="R107" s="155" t="s">
        <v>43</v>
      </c>
      <c r="S107" s="156" t="s">
        <v>43</v>
      </c>
      <c r="T107" s="156" t="s">
        <v>43</v>
      </c>
      <c r="U107" s="150" t="s">
        <v>43</v>
      </c>
      <c r="V107" s="150" t="s">
        <v>43</v>
      </c>
      <c r="W107" s="150" t="s">
        <v>43</v>
      </c>
      <c r="X107" s="157" t="s">
        <v>263</v>
      </c>
      <c r="Y107" s="150" t="s">
        <v>43</v>
      </c>
      <c r="Z107" s="150" t="s">
        <v>43</v>
      </c>
      <c r="AA107" s="158">
        <v>0</v>
      </c>
      <c r="AB107" s="155" t="s">
        <v>43</v>
      </c>
      <c r="AC107" s="150" t="s">
        <v>43</v>
      </c>
      <c r="AD107" s="155" t="s">
        <v>43</v>
      </c>
      <c r="AE107" s="155"/>
      <c r="AF107" s="150" t="s">
        <v>43</v>
      </c>
      <c r="AG107" s="159">
        <v>1</v>
      </c>
      <c r="AH107" s="160">
        <v>0</v>
      </c>
      <c r="AI107" s="161">
        <v>0</v>
      </c>
      <c r="AJ107" s="161">
        <v>0</v>
      </c>
      <c r="AK107" s="162"/>
      <c r="AL107" s="163"/>
      <c r="AM107" s="164">
        <f>(((IF(L107=$L$101,1,IF(L107=$L$47,1,0))*(AH107*(1-AK107)))*AG107)*(1-AL107))</f>
        <v>0</v>
      </c>
      <c r="AN107" s="165">
        <f>IF(K107=$K$50,AM107,IF(K107=$K$53,AM107,IF(K107=$K$54,AM107,IF(K107=$K$55,AM107,IF(K107=$K$56,AM107,IF(K107=$K$57,AM107,IF(K107=$K$58,AM107,IF(K107=$K$65,AM107,IF(K107=$K$66,AM107,IF(K107=$K$67,AM107,IF(K107=$K$68,AM107,IF(K107=$K$69,AM107,IF(K107=$K$51,AM107,(AM107*(1+AI107)))))))))))))))</f>
        <v>0</v>
      </c>
      <c r="AO107" s="166">
        <v>1.9</v>
      </c>
      <c r="AP107" s="160">
        <f t="shared" si="2"/>
        <v>0</v>
      </c>
      <c r="AQ107" s="167">
        <f t="shared" si="3"/>
        <v>0</v>
      </c>
      <c r="AR107" s="160">
        <f t="shared" si="4"/>
        <v>0</v>
      </c>
      <c r="AS107" s="168">
        <f t="shared" si="5"/>
        <v>0</v>
      </c>
      <c r="AT107" s="169" t="str">
        <f>K107</f>
        <v>MOA</v>
      </c>
      <c r="AU107" s="169" t="str">
        <f>I107</f>
        <v>Serviços</v>
      </c>
      <c r="AV107" s="170"/>
      <c r="AW107" s="171">
        <f>IF(K107=$K$50,0,IF(K107=$K$53,0,IF(K107=$K$54,0,IF(K107=$K$55,0,IF(K107=$K$56,0,IF(K107=$K$57,0,IF(K107=$K$58,0,IF(K107=$K$65,0,IF(K107=$K$66,0,IF(K107=$K$67,0,IF(K107=$K$68,0,IF(K107=$K$69,0,IF(K107=$K$51,0,1))))))))))))*AM107*AI107)</f>
        <v>0</v>
      </c>
      <c r="AX107" s="172">
        <f>IF(K107=$K$50,0,IF(K107=$K$53,0,IF(K107=$K$54,0,IF(K107=$K$55,0,IF(K107=$K$56,0,IF(K107=$K$57,0,IF(K107=$K$58,0,IF(K107=$K$65,0,IF(K107=$K$66,0,IF(K107=$K$67,0,IF(K107=$K$68,0,IF(K107=$K$69,0,IF(K107=$K$51,0,1))))))))))))*AM107*AJ107*$AX$94)</f>
        <v>0</v>
      </c>
      <c r="AY107" s="172">
        <f>IF(K107=$K$53,0,IF(K107=$K$54,0,IF(K107=$K$55,0,IF(K107=$K$56,0,IF(K107=$K$58,0,IF(K107=$K$50,0,IF(K107=$K$65,0,IF(K107=$K$57,0,IF(K107=$K$51,0,AM107*$AY$102)))))))))</f>
        <v>0</v>
      </c>
      <c r="AZ107" s="172">
        <f>IF(K107=$K$53,0,IF(K107=$K$54,0,IF(K107=$K$55,0,IF(K107=$K$56,0,IF(K107=$K$58,0,IF(K107=$K$50,0,IF(K107=$K$65,0,IF(K107=$K$57,0,IF(K107=$K$51,0,AM107*$AZ$102)))))))))</f>
        <v>0</v>
      </c>
      <c r="BA107" s="172">
        <f t="shared" si="6"/>
        <v>0</v>
      </c>
      <c r="BB107" s="173">
        <f>IF($BA$97=1,AQ107*$BB$102,IF(K107=$K$50,0,IF(K107=$K$53,0,IF(K107=$K$54,0,IF(K107=$K$55,0,IF(K107=$K$56,0,IF(K107=$K$57,0,IF(K107=$K$58,0,IF(K107=$K$65,0,IF(K107=$K$66,0,IF(K107=$K$67,0,IF(K107=$K$68,0,IF(K107=$K$69,0,IF(K107=$K$51,0,1)))))))))))*AQ107*$BB$102)))</f>
        <v>0</v>
      </c>
      <c r="BC107" s="172">
        <f t="shared" si="7"/>
        <v>0</v>
      </c>
      <c r="BD107" s="172">
        <f t="shared" si="8"/>
        <v>0</v>
      </c>
      <c r="BE107" s="172">
        <f>IF($BE$95=I107,$BE$97,IF(I107=$BE$96,$BE$97,1))*($BE$102*AQ107)*$AZ$97</f>
        <v>0</v>
      </c>
      <c r="BF107" s="172">
        <f>IF('[1]Cockpit Retorno'!$C$65=Sim,Mestre!BA107,SUM(BB107:BE107)+(IF(K107=$K$56,AQ107*MOE_IRRF_LR,0)))</f>
        <v>0</v>
      </c>
      <c r="BG107" s="174">
        <f>IF(AA107&gt;0,0,IF(Z107=$Z$82,AG107*1,(IF(Z107=$Z$81,AG107*1,0))))</f>
        <v>0</v>
      </c>
      <c r="BH107" s="174">
        <f>IF(AA107&gt;0,0,IF(Z107=$Z$83,AG107*1,IF(Z107=$Z$81,AG107*1,0)))</f>
        <v>0</v>
      </c>
      <c r="BI107" s="174">
        <f>IF(AA107&gt;0,0,IF(Z107=$Z$84,AG107*1,IF(Z107=$Z$93,AG107*2,IF(Z107=$Z$100,AG107,IF(Z107=$Z$81,AG107*2,IF(Z107=$Z$80,AG107*1,IF(Z107=$Z$79,AG107*3,IF(Z107=$Z$78,AG107*2,0))))))))</f>
        <v>0</v>
      </c>
      <c r="BJ107" s="174">
        <f>IF(AA107&gt;0,0,IF(Z107=$Z$85,AG107,IF(Z107=$Z$93,AG107,IF(Z107=$Z$100,AG107,IF(Z107=$Z$81,AG107*1,IF(Z107=$Z$80,AG107*2,IF(Z107=$Z$79,AG107*2,IF(Z107=$Z$78,AG107*2,0))))))))</f>
        <v>0</v>
      </c>
      <c r="BK107" s="174">
        <f>IF(AA107&gt;0,0,IF(Z107=$Z$92,AG107,0))</f>
        <v>0</v>
      </c>
      <c r="BL107" s="174">
        <f>IF(AA107&gt;0,0,IF(Z107=$Z$91,AG107,0))</f>
        <v>0</v>
      </c>
      <c r="BM107" s="174">
        <f>IF(AA107&gt;0,0,IF(Z107=$Z$86,AG107,0))</f>
        <v>0</v>
      </c>
      <c r="BN107" s="174">
        <f>IF(AA107&gt;0,0,IF(Z107=$Z$87,AG107,0))</f>
        <v>0</v>
      </c>
      <c r="BO107" s="174">
        <f>IF(AA107&gt;0,0,IF(Z107=$Z$88,AG107,0))</f>
        <v>0</v>
      </c>
      <c r="BP107" s="174">
        <f>IF(AA107&gt;0,0,IF(Z107=$Z$89,AG107,0))</f>
        <v>0</v>
      </c>
      <c r="BQ107" s="174">
        <f>IF(AA107&gt;0,0,IF(Z107=$Z$90,AG107,0))</f>
        <v>0</v>
      </c>
      <c r="BR107" s="174">
        <f>IF(Z107=$Z$82,AA107*AG107,0)</f>
        <v>0</v>
      </c>
      <c r="BS107" s="174">
        <f>IF(Z107=$Z$83,AA107*AG107,0)</f>
        <v>0</v>
      </c>
      <c r="BT107" s="174">
        <f>IF(AA107&lt;1,0,IF(Z107=$Z$84,AA107*AG107,IF(Z107=$Z$93,"ERRO",IF(Z107=$Z$100,"ERRO",0))))</f>
        <v>0</v>
      </c>
      <c r="BU107" s="174">
        <f>IF(AA107&lt;1,0,IF(Z107=$Z$85,AA107*AG107,IF(Z107=$Z$93,"ERRO",IF(Z107=$Z$100,"ERRO",0))))</f>
        <v>0</v>
      </c>
      <c r="BV107" s="174">
        <f>IF(Z107=$Z$92,AA107*AG107,0)</f>
        <v>0</v>
      </c>
      <c r="BW107" s="174">
        <f>IF(Z107=$Z$91,AA107*AG107,0)</f>
        <v>0</v>
      </c>
      <c r="BX107" s="174">
        <f>IF(Z107=$Z$86,AA107*AG107,0)</f>
        <v>0</v>
      </c>
      <c r="BY107" s="174">
        <f>IF(Z107=$Z$87,AA107*AG107,0)</f>
        <v>0</v>
      </c>
      <c r="BZ107" s="174">
        <f>IF(Z107=$Z$88,AA107*AG107,0)</f>
        <v>0</v>
      </c>
      <c r="CA107" s="174">
        <f>IF(Z107=$Z$89,AA107*AG107,0)</f>
        <v>0</v>
      </c>
      <c r="CB107" s="174">
        <f>IF(Z107=$Z$90,AA107*AG107,0)</f>
        <v>0</v>
      </c>
      <c r="CC107" s="175">
        <f>IFERROR(IF(L107=$L$49,AG107*AH107*(1+AI107)*(1-AK107)*(1-AL107),0),0)</f>
        <v>0</v>
      </c>
      <c r="CD107" s="176">
        <f>IF(I107=$CD$97,1,IF(I107=$CD$100,2,IF(K107=$K$66,1,IF(K107=$K$69,1,3))))</f>
        <v>3</v>
      </c>
      <c r="CE107" s="176">
        <f t="shared" si="14"/>
        <v>1.3</v>
      </c>
      <c r="CF107" s="177">
        <f t="shared" si="9"/>
        <v>1.74</v>
      </c>
      <c r="CG107" s="176">
        <f t="shared" si="15"/>
        <v>2</v>
      </c>
      <c r="CH107" s="177">
        <f t="shared" si="10"/>
        <v>2.1800000000000002</v>
      </c>
      <c r="CI107" s="176">
        <f t="shared" si="16"/>
        <v>2.4</v>
      </c>
      <c r="CJ107" s="178">
        <f>CE107*$CJ$102</f>
        <v>1.274</v>
      </c>
      <c r="CK107" s="178">
        <f>CF107*$CK$102</f>
        <v>1.6182000000000001</v>
      </c>
      <c r="CL107" s="178">
        <f>CG107*$CL$102</f>
        <v>1.96</v>
      </c>
      <c r="CM107" s="178">
        <f>CH107*$CM$102</f>
        <v>2.1146000000000003</v>
      </c>
      <c r="CN107" s="179">
        <f>CI107*$CN$102</f>
        <v>2.3039999999999998</v>
      </c>
      <c r="CO107" s="177">
        <f>CJ107*$CO$102</f>
        <v>1.2230399999999999</v>
      </c>
      <c r="CP107" s="180">
        <f t="shared" si="11"/>
        <v>0</v>
      </c>
      <c r="CQ107" s="181">
        <f t="shared" si="12"/>
        <v>0</v>
      </c>
      <c r="CR107" s="176">
        <f t="shared" si="13"/>
        <v>0</v>
      </c>
      <c r="CS107" s="49"/>
      <c r="CT107" s="49"/>
      <c r="CU107" s="49"/>
      <c r="CV107" s="49"/>
      <c r="CW107" s="49"/>
      <c r="CX107" s="49"/>
      <c r="CY107" s="49"/>
      <c r="CZ107" s="49"/>
      <c r="DA107" s="49"/>
      <c r="DB107" s="49"/>
      <c r="DC107" s="49"/>
      <c r="DD107" s="49"/>
      <c r="DE107" s="49"/>
      <c r="DF107" s="49"/>
      <c r="DG107" s="49"/>
      <c r="DH107" s="49"/>
      <c r="DI107" s="49"/>
      <c r="DJ107" s="49"/>
      <c r="DK107" s="49"/>
      <c r="DL107" s="49"/>
      <c r="DM107" s="49"/>
      <c r="DN107" s="49"/>
      <c r="DO107" s="49"/>
      <c r="DP107" s="49"/>
      <c r="DQ107" s="49"/>
      <c r="DR107" s="49"/>
      <c r="DS107" s="49"/>
      <c r="DT107" s="49"/>
      <c r="DU107" s="49"/>
      <c r="DV107" s="49"/>
      <c r="DW107" s="49"/>
      <c r="DX107" s="49"/>
      <c r="DY107" s="49"/>
      <c r="DZ107" s="49"/>
      <c r="EA107" s="49"/>
      <c r="EB107" s="49"/>
      <c r="EC107" s="49"/>
      <c r="ED107" s="49"/>
      <c r="EE107" s="49"/>
      <c r="EF107" s="49"/>
      <c r="EG107" s="49"/>
      <c r="EH107" s="49"/>
      <c r="EI107" s="49"/>
      <c r="EJ107" s="49"/>
      <c r="EK107" s="49"/>
      <c r="EL107" s="49"/>
      <c r="EM107" s="49"/>
      <c r="EN107" s="49"/>
      <c r="EO107" s="49"/>
      <c r="EP107" s="49"/>
      <c r="EQ107" s="49"/>
      <c r="ER107" s="49"/>
      <c r="ES107" s="49"/>
      <c r="ET107" s="49"/>
      <c r="EU107" s="49"/>
      <c r="EV107" s="49"/>
      <c r="EW107" s="49"/>
      <c r="EX107" s="49"/>
      <c r="EY107" s="49"/>
      <c r="EZ107" s="49"/>
      <c r="FA107" s="49"/>
    </row>
    <row r="108" spans="1:157" s="182" customFormat="1" x14ac:dyDescent="0.25">
      <c r="A108" s="113">
        <f>IF(AND('[1]Cockpit Retorno'!$E$67=Sim,Mestre!M108=Mestre!$M$98),0,1)</f>
        <v>1</v>
      </c>
      <c r="B108" s="113">
        <f>IF(AND('[1]Cockpit Retorno'!$E$67=Sim,Mestre!L108=Mestre!$L$48),0,1)</f>
        <v>0</v>
      </c>
      <c r="C108" s="113">
        <f>IF(AND('[1]Cockpit Retorno'!$E$67=Sim,Mestre!M108=Mestre!$M$97),0,1)</f>
        <v>1</v>
      </c>
      <c r="D108" s="148" t="s">
        <v>260</v>
      </c>
      <c r="E108" s="115"/>
      <c r="F108" s="116" t="s">
        <v>107</v>
      </c>
      <c r="G108" s="149"/>
      <c r="H108" s="150" t="s">
        <v>65</v>
      </c>
      <c r="I108" s="151" t="str">
        <f t="shared" si="1"/>
        <v>Serviços</v>
      </c>
      <c r="J108" s="150" t="s">
        <v>12</v>
      </c>
      <c r="K108" s="152" t="s">
        <v>65</v>
      </c>
      <c r="L108" s="153" t="s">
        <v>15</v>
      </c>
      <c r="M108" s="154" t="s">
        <v>12</v>
      </c>
      <c r="N108" s="155" t="s">
        <v>43</v>
      </c>
      <c r="O108" s="155" t="s">
        <v>261</v>
      </c>
      <c r="P108" s="155" t="s">
        <v>43</v>
      </c>
      <c r="Q108" s="155" t="s">
        <v>43</v>
      </c>
      <c r="R108" s="155" t="s">
        <v>43</v>
      </c>
      <c r="S108" s="156" t="s">
        <v>43</v>
      </c>
      <c r="T108" s="156" t="s">
        <v>43</v>
      </c>
      <c r="U108" s="150" t="s">
        <v>43</v>
      </c>
      <c r="V108" s="150" t="s">
        <v>43</v>
      </c>
      <c r="W108" s="150" t="s">
        <v>43</v>
      </c>
      <c r="X108" s="157" t="s">
        <v>263</v>
      </c>
      <c r="Y108" s="150" t="s">
        <v>43</v>
      </c>
      <c r="Z108" s="150" t="s">
        <v>43</v>
      </c>
      <c r="AA108" s="158">
        <v>0</v>
      </c>
      <c r="AB108" s="155" t="s">
        <v>43</v>
      </c>
      <c r="AC108" s="150" t="s">
        <v>43</v>
      </c>
      <c r="AD108" s="155" t="s">
        <v>43</v>
      </c>
      <c r="AE108" s="155"/>
      <c r="AF108" s="150" t="s">
        <v>43</v>
      </c>
      <c r="AG108" s="159">
        <v>1</v>
      </c>
      <c r="AH108" s="160">
        <v>7875.3946947925397</v>
      </c>
      <c r="AI108" s="161">
        <v>0</v>
      </c>
      <c r="AJ108" s="161">
        <v>0</v>
      </c>
      <c r="AK108" s="162"/>
      <c r="AL108" s="163"/>
      <c r="AM108" s="164">
        <f>(((IF(L108=$L$101,1,IF(L108=$L$47,1,0))*(AH108*(1-AK108)))*AG108)*(1-AL108))</f>
        <v>7875.3946947925397</v>
      </c>
      <c r="AN108" s="165">
        <f>IF(K108=$K$50,AM108,IF(K108=$K$53,AM108,IF(K108=$K$54,AM108,IF(K108=$K$55,AM108,IF(K108=$K$56,AM108,IF(K108=$K$57,AM108,IF(K108=$K$58,AM108,IF(K108=$K$65,AM108,IF(K108=$K$66,AM108,IF(K108=$K$67,AM108,IF(K108=$K$68,AM108,IF(K108=$K$69,AM108,IF(K108=$K$51,AM108,(AM108*(1+AI108)))))))))))))))</f>
        <v>7875.3946947925397</v>
      </c>
      <c r="AO108" s="166">
        <v>1.9</v>
      </c>
      <c r="AP108" s="160">
        <f t="shared" si="2"/>
        <v>14963.249920105825</v>
      </c>
      <c r="AQ108" s="167">
        <f t="shared" si="3"/>
        <v>12965.137060246894</v>
      </c>
      <c r="AR108" s="160">
        <f t="shared" si="4"/>
        <v>14963.249920105825</v>
      </c>
      <c r="AS108" s="183">
        <f t="shared" si="5"/>
        <v>1.5861947294918346</v>
      </c>
      <c r="AT108" s="169" t="str">
        <f>K108</f>
        <v>MOI</v>
      </c>
      <c r="AU108" s="169" t="str">
        <f>I108</f>
        <v>Serviços</v>
      </c>
      <c r="AV108" s="170"/>
      <c r="AW108" s="171">
        <f>IF(K108=$K$50,0,IF(K108=$K$53,0,IF(K108=$K$54,0,IF(K108=$K$55,0,IF(K108=$K$56,0,IF(K108=$K$57,0,IF(K108=$K$58,0,IF(K108=$K$65,0,IF(K108=$K$66,0,IF(K108=$K$67,0,IF(K108=$K$68,0,IF(K108=$K$69,0,IF(K108=$K$51,0,1))))))))))))*AM108*AI108)</f>
        <v>0</v>
      </c>
      <c r="AX108" s="172">
        <f>IF(K108=$K$50,0,IF(K108=$K$53,0,IF(K108=$K$54,0,IF(K108=$K$55,0,IF(K108=$K$56,0,IF(K108=$K$57,0,IF(K108=$K$58,0,IF(K108=$K$65,0,IF(K108=$K$66,0,IF(K108=$K$67,0,IF(K108=$K$68,0,IF(K108=$K$69,0,IF(K108=$K$51,0,1))))))))))))*AM108*AJ108*$AX$94)</f>
        <v>0</v>
      </c>
      <c r="AY108" s="172">
        <f>IF(K108=$K$53,0,IF(K108=$K$54,0,IF(K108=$K$55,0,IF(K108=$K$56,0,IF(K108=$K$58,0,IF(K108=$K$50,0,IF(K108=$K$65,0,IF(K108=$K$57,0,IF(K108=$K$51,0,AM108*$AY$102)))))))))</f>
        <v>0</v>
      </c>
      <c r="AZ108" s="172">
        <f>IF(K108=$K$53,0,IF(K108=$K$54,0,IF(K108=$K$55,0,IF(K108=$K$56,0,IF(K108=$K$58,0,IF(K108=$K$50,0,IF(K108=$K$65,0,IF(K108=$K$57,0,IF(K108=$K$51,0,AM108*$AZ$102)))))))))</f>
        <v>0</v>
      </c>
      <c r="BA108" s="172">
        <f t="shared" si="6"/>
        <v>0</v>
      </c>
      <c r="BB108" s="173">
        <f>IF($BA$97=1,AQ108*$BB$102,IF(K108=$K$50,0,IF(K108=$K$53,0,IF(K108=$K$54,0,IF(K108=$K$55,0,IF(K108=$K$56,0,IF(K108=$K$57,0,IF(K108=$K$58,0,IF(K108=$K$65,0,IF(K108=$K$66,0,IF(K108=$K$67,0,IF(K108=$K$68,0,IF(K108=$K$69,0,IF(K108=$K$51,0,1)))))))))))*AQ108*$BB$102)))</f>
        <v>0</v>
      </c>
      <c r="BC108" s="172">
        <f t="shared" si="7"/>
        <v>84.273390891604819</v>
      </c>
      <c r="BD108" s="172">
        <f t="shared" si="8"/>
        <v>388.95411180740683</v>
      </c>
      <c r="BE108" s="172">
        <f>IF($BE$95=I108,$BE$97,IF(I108=$BE$96,$BE$97,1))*($BE$102*AQ108)*$AZ$97</f>
        <v>0</v>
      </c>
      <c r="BF108" s="172">
        <f>IF('[1]Cockpit Retorno'!$C$65=Sim,Mestre!BA108,SUM(BB108:BE108)+(IF(K108=$K$56,AQ108*MOE_IRRF_LR,0)))</f>
        <v>473.22750269901167</v>
      </c>
      <c r="BG108" s="174">
        <f>IF(AA108&gt;0,0,IF(Z108=$Z$82,AG108*1,(IF(Z108=$Z$81,AG108*1,0))))</f>
        <v>0</v>
      </c>
      <c r="BH108" s="174">
        <f>IF(AA108&gt;0,0,IF(Z108=$Z$83,AG108*1,IF(Z108=$Z$81,AG108*1,0)))</f>
        <v>0</v>
      </c>
      <c r="BI108" s="174">
        <f>IF(AA108&gt;0,0,IF(Z108=$Z$84,AG108*1,IF(Z108=$Z$93,AG108*2,IF(Z108=$Z$100,AG108,IF(Z108=$Z$81,AG108*2,IF(Z108=$Z$80,AG108*1,IF(Z108=$Z$79,AG108*3,IF(Z108=$Z$78,AG108*2,0))))))))</f>
        <v>0</v>
      </c>
      <c r="BJ108" s="174">
        <f>IF(AA108&gt;0,0,IF(Z108=$Z$85,AG108,IF(Z108=$Z$93,AG108,IF(Z108=$Z$100,AG108,IF(Z108=$Z$81,AG108*1,IF(Z108=$Z$80,AG108*2,IF(Z108=$Z$79,AG108*2,IF(Z108=$Z$78,AG108*2,0))))))))</f>
        <v>0</v>
      </c>
      <c r="BK108" s="174">
        <f>IF(AA108&gt;0,0,IF(Z108=$Z$92,AG108,0))</f>
        <v>0</v>
      </c>
      <c r="BL108" s="174">
        <f>IF(AA108&gt;0,0,IF(Z108=$Z$91,AG108,0))</f>
        <v>0</v>
      </c>
      <c r="BM108" s="174">
        <f>IF(AA108&gt;0,0,IF(Z108=$Z$86,AG108,0))</f>
        <v>0</v>
      </c>
      <c r="BN108" s="174">
        <f>IF(AA108&gt;0,0,IF(Z108=$Z$87,AG108,0))</f>
        <v>0</v>
      </c>
      <c r="BO108" s="174">
        <f>IF(AA108&gt;0,0,IF(Z108=$Z$88,AG108,0))</f>
        <v>0</v>
      </c>
      <c r="BP108" s="174">
        <f>IF(AA108&gt;0,0,IF(Z108=$Z$89,AG108,0))</f>
        <v>0</v>
      </c>
      <c r="BQ108" s="174">
        <f>IF(AA108&gt;0,0,IF(Z108=$Z$90,AG108,0))</f>
        <v>0</v>
      </c>
      <c r="BR108" s="174">
        <f>IF(Z108=$Z$82,AA108*AG108,0)</f>
        <v>0</v>
      </c>
      <c r="BS108" s="174">
        <f>IF(Z108=$Z$83,AA108*AG108,0)</f>
        <v>0</v>
      </c>
      <c r="BT108" s="174">
        <f>IF(AA108&lt;1,0,IF(Z108=$Z$84,AA108*AG108,IF(Z108=$Z$93,"ERRO",IF(Z108=$Z$100,"ERRO",0))))</f>
        <v>0</v>
      </c>
      <c r="BU108" s="174">
        <f>IF(AA108&lt;1,0,IF(Z108=$Z$85,AA108*AG108,IF(Z108=$Z$93,"ERRO",IF(Z108=$Z$100,"ERRO",0))))</f>
        <v>0</v>
      </c>
      <c r="BV108" s="174">
        <f>IF(Z108=$Z$92,AA108*AG108,0)</f>
        <v>0</v>
      </c>
      <c r="BW108" s="174">
        <f>IF(Z108=$Z$91,AA108*AG108,0)</f>
        <v>0</v>
      </c>
      <c r="BX108" s="174">
        <f>IF(Z108=$Z$86,AA108*AG108,0)</f>
        <v>0</v>
      </c>
      <c r="BY108" s="174">
        <f>IF(Z108=$Z$87,AA108*AG108,0)</f>
        <v>0</v>
      </c>
      <c r="BZ108" s="174">
        <f>IF(Z108=$Z$88,AA108*AG108,0)</f>
        <v>0</v>
      </c>
      <c r="CA108" s="174">
        <f>IF(Z108=$Z$89,AA108*AG108,0)</f>
        <v>0</v>
      </c>
      <c r="CB108" s="174">
        <f>IF(Z108=$Z$90,AA108*AG108,0)</f>
        <v>0</v>
      </c>
      <c r="CC108" s="175">
        <f>IFERROR(IF(L108=$L$49,AG108*AH108*(1+AI108)*(1-AK108)*(1-AL108),0),0)</f>
        <v>0</v>
      </c>
      <c r="CD108" s="182">
        <f>IF(I108=$CD$97,1,IF(I108=$CD$100,2,IF(K108=$K$66,1,IF(K108=$K$69,1,3))))</f>
        <v>3</v>
      </c>
      <c r="CE108" s="182">
        <f>IF($CD108=1,1.07,IF($CD108=2,1.07,1.3))</f>
        <v>1.3</v>
      </c>
      <c r="CF108" s="184">
        <f t="shared" si="9"/>
        <v>1.74</v>
      </c>
      <c r="CG108" s="182">
        <f>IF($CD108=1,1.42,IF($CD108=2,1.47,2))</f>
        <v>2</v>
      </c>
      <c r="CH108" s="184">
        <f t="shared" si="10"/>
        <v>2.1800000000000002</v>
      </c>
      <c r="CI108" s="182">
        <f>IF($CD108=1,1.7,IF($CD108=2,1.7,2.4))</f>
        <v>2.4</v>
      </c>
      <c r="CJ108" s="185">
        <f>CE108*$CJ$102</f>
        <v>1.274</v>
      </c>
      <c r="CK108" s="185">
        <f>CF108*$CK$102</f>
        <v>1.6182000000000001</v>
      </c>
      <c r="CL108" s="185">
        <f>CG108*$CL$102</f>
        <v>1.96</v>
      </c>
      <c r="CM108" s="185">
        <f>CH108*$CM$102</f>
        <v>2.1146000000000003</v>
      </c>
      <c r="CN108" s="186">
        <f>CI108*$CN$102</f>
        <v>2.3039999999999998</v>
      </c>
      <c r="CO108" s="184">
        <f>CJ108*$CO$102</f>
        <v>1.2230399999999999</v>
      </c>
      <c r="CP108" s="187">
        <f t="shared" si="11"/>
        <v>473.22750269901167</v>
      </c>
      <c r="CQ108" s="188">
        <f t="shared" si="12"/>
        <v>12491.909557547882</v>
      </c>
      <c r="CR108" s="189">
        <f t="shared" si="13"/>
        <v>473.22750269901167</v>
      </c>
      <c r="CS108" s="49"/>
      <c r="CT108" s="49"/>
      <c r="CU108" s="49"/>
      <c r="CV108" s="49"/>
      <c r="CW108" s="49"/>
      <c r="CX108" s="49"/>
      <c r="CY108" s="49"/>
      <c r="CZ108" s="49"/>
      <c r="DA108" s="49"/>
      <c r="DB108" s="49"/>
      <c r="DC108" s="49"/>
      <c r="DD108" s="49"/>
      <c r="DE108" s="49"/>
      <c r="DF108" s="49"/>
      <c r="DG108" s="49"/>
      <c r="DH108" s="49"/>
      <c r="DI108" s="49"/>
      <c r="DJ108" s="49"/>
      <c r="DK108" s="49"/>
      <c r="DL108" s="49"/>
      <c r="DM108" s="49"/>
      <c r="DN108" s="49"/>
      <c r="DO108" s="49"/>
      <c r="DP108" s="49"/>
      <c r="DQ108" s="49"/>
      <c r="DR108" s="49"/>
      <c r="DS108" s="49"/>
      <c r="DT108" s="49"/>
      <c r="DU108" s="49"/>
      <c r="DV108" s="49"/>
      <c r="DW108" s="49"/>
      <c r="DX108" s="49"/>
      <c r="DY108" s="49"/>
      <c r="DZ108" s="49"/>
      <c r="EA108" s="49"/>
      <c r="EB108" s="49"/>
      <c r="EC108" s="49"/>
      <c r="ED108" s="49"/>
      <c r="EE108" s="49"/>
      <c r="EF108" s="49"/>
      <c r="EG108" s="49"/>
      <c r="EH108" s="49"/>
      <c r="EI108" s="49"/>
      <c r="EJ108" s="49"/>
      <c r="EK108" s="49"/>
      <c r="EL108" s="49"/>
      <c r="EM108" s="49"/>
      <c r="EN108" s="49"/>
      <c r="EO108" s="49"/>
      <c r="EP108" s="49"/>
      <c r="EQ108" s="49"/>
      <c r="ER108" s="49"/>
      <c r="ES108" s="49"/>
      <c r="ET108" s="49"/>
      <c r="EU108" s="49"/>
      <c r="EV108" s="49"/>
      <c r="EW108" s="49"/>
      <c r="EX108" s="49"/>
      <c r="EY108" s="49"/>
      <c r="EZ108" s="49"/>
      <c r="FA108" s="49"/>
    </row>
    <row r="109" spans="1:157" s="182" customFormat="1" x14ac:dyDescent="0.25">
      <c r="A109" s="113">
        <f>IF(AND('[1]Cockpit Retorno'!$E$67=Sim,Mestre!M109=Mestre!$M$98),0,1)</f>
        <v>1</v>
      </c>
      <c r="B109" s="113">
        <f>IF(AND('[1]Cockpit Retorno'!$E$67=Sim,Mestre!L109=Mestre!$L$48),0,1)</f>
        <v>0</v>
      </c>
      <c r="C109" s="113">
        <f>IF(AND('[1]Cockpit Retorno'!$E$67=Sim,Mestre!M109=Mestre!$M$97),0,1)</f>
        <v>1</v>
      </c>
      <c r="D109" s="148" t="s">
        <v>260</v>
      </c>
      <c r="E109" s="115"/>
      <c r="F109" s="116" t="s">
        <v>107</v>
      </c>
      <c r="G109" s="149"/>
      <c r="H109" s="150" t="s">
        <v>70</v>
      </c>
      <c r="I109" s="151" t="str">
        <f t="shared" si="1"/>
        <v>Serviços</v>
      </c>
      <c r="J109" s="150" t="s">
        <v>12</v>
      </c>
      <c r="K109" s="152" t="s">
        <v>70</v>
      </c>
      <c r="L109" s="153" t="s">
        <v>15</v>
      </c>
      <c r="M109" s="154" t="s">
        <v>12</v>
      </c>
      <c r="N109" s="155" t="s">
        <v>43</v>
      </c>
      <c r="O109" s="155" t="s">
        <v>261</v>
      </c>
      <c r="P109" s="155" t="s">
        <v>43</v>
      </c>
      <c r="Q109" s="155" t="s">
        <v>43</v>
      </c>
      <c r="R109" s="155" t="s">
        <v>43</v>
      </c>
      <c r="S109" s="156" t="s">
        <v>43</v>
      </c>
      <c r="T109" s="156" t="s">
        <v>43</v>
      </c>
      <c r="U109" s="150" t="s">
        <v>43</v>
      </c>
      <c r="V109" s="150" t="s">
        <v>43</v>
      </c>
      <c r="W109" s="150" t="s">
        <v>43</v>
      </c>
      <c r="X109" s="157" t="s">
        <v>263</v>
      </c>
      <c r="Y109" s="150" t="s">
        <v>43</v>
      </c>
      <c r="Z109" s="150" t="s">
        <v>43</v>
      </c>
      <c r="AA109" s="158">
        <v>0</v>
      </c>
      <c r="AB109" s="155" t="s">
        <v>43</v>
      </c>
      <c r="AC109" s="150" t="s">
        <v>43</v>
      </c>
      <c r="AD109" s="155" t="s">
        <v>43</v>
      </c>
      <c r="AE109" s="155"/>
      <c r="AF109" s="150" t="s">
        <v>43</v>
      </c>
      <c r="AG109" s="159">
        <v>1</v>
      </c>
      <c r="AH109" s="160">
        <v>92263.576783539917</v>
      </c>
      <c r="AI109" s="161">
        <v>0</v>
      </c>
      <c r="AJ109" s="161">
        <v>0</v>
      </c>
      <c r="AK109" s="162"/>
      <c r="AL109" s="163"/>
      <c r="AM109" s="164">
        <f>(((IF(L109=$L$101,1,IF(L109=$L$47,1,0))*(AH109*(1-AK109)))*AG109)*(1-AL109))</f>
        <v>92263.576783539917</v>
      </c>
      <c r="AN109" s="165">
        <f>IF(K109=$K$50,AM109,IF(K109=$K$53,AM109,IF(K109=$K$54,AM109,IF(K109=$K$55,AM109,IF(K109=$K$56,AM109,IF(K109=$K$57,AM109,IF(K109=$K$58,AM109,IF(K109=$K$65,AM109,IF(K109=$K$66,AM109,IF(K109=$K$67,AM109,IF(K109=$K$68,AM109,IF(K109=$K$69,AM109,IF(K109=$K$51,AM109,(AM109*(1+AI109)))))))))))))))</f>
        <v>92263.576783539917</v>
      </c>
      <c r="AO109" s="166">
        <v>1.9</v>
      </c>
      <c r="AP109" s="160">
        <f t="shared" si="2"/>
        <v>175300.79588872584</v>
      </c>
      <c r="AQ109" s="167">
        <f t="shared" si="3"/>
        <v>151892.05938569404</v>
      </c>
      <c r="AR109" s="160">
        <f t="shared" si="4"/>
        <v>175300.79588872584</v>
      </c>
      <c r="AS109" s="183">
        <f t="shared" si="5"/>
        <v>1.5861947294918344</v>
      </c>
      <c r="AT109" s="169" t="str">
        <f>K109</f>
        <v>MOD</v>
      </c>
      <c r="AU109" s="169" t="str">
        <f>I109</f>
        <v>Serviços</v>
      </c>
      <c r="AV109" s="170"/>
      <c r="AW109" s="171">
        <f>IF(K109=$K$50,0,IF(K109=$K$53,0,IF(K109=$K$54,0,IF(K109=$K$55,0,IF(K109=$K$56,0,IF(K109=$K$57,0,IF(K109=$K$58,0,IF(K109=$K$65,0,IF(K109=$K$66,0,IF(K109=$K$67,0,IF(K109=$K$68,0,IF(K109=$K$69,0,IF(K109=$K$51,0,1))))))))))))*AM109*AI109)</f>
        <v>0</v>
      </c>
      <c r="AX109" s="172">
        <f>IF(K109=$K$50,0,IF(K109=$K$53,0,IF(K109=$K$54,0,IF(K109=$K$55,0,IF(K109=$K$56,0,IF(K109=$K$57,0,IF(K109=$K$58,0,IF(K109=$K$65,0,IF(K109=$K$66,0,IF(K109=$K$67,0,IF(K109=$K$68,0,IF(K109=$K$69,0,IF(K109=$K$51,0,1))))))))))))*AM109*AJ109*$AX$94)</f>
        <v>0</v>
      </c>
      <c r="AY109" s="172">
        <f>IF(K109=$K$53,0,IF(K109=$K$54,0,IF(K109=$K$55,0,IF(K109=$K$56,0,IF(K109=$K$58,0,IF(K109=$K$50,0,IF(K109=$K$65,0,IF(K109=$K$57,0,IF(K109=$K$51,0,AM109*$AY$102)))))))))</f>
        <v>0</v>
      </c>
      <c r="AZ109" s="172">
        <f>IF(K109=$K$53,0,IF(K109=$K$54,0,IF(K109=$K$55,0,IF(K109=$K$56,0,IF(K109=$K$58,0,IF(K109=$K$50,0,IF(K109=$K$65,0,IF(K109=$K$57,0,IF(K109=$K$51,0,AM109*$AZ$102)))))))))</f>
        <v>0</v>
      </c>
      <c r="BA109" s="172">
        <f t="shared" si="6"/>
        <v>0</v>
      </c>
      <c r="BB109" s="173">
        <f>IF($BA$97=1,AQ109*$BB$102,IF(K109=$K$50,0,IF(K109=$K$53,0,IF(K109=$K$54,0,IF(K109=$K$55,0,IF(K109=$K$56,0,IF(K109=$K$57,0,IF(K109=$K$58,0,IF(K109=$K$65,0,IF(K109=$K$66,0,IF(K109=$K$67,0,IF(K109=$K$68,0,IF(K109=$K$69,0,IF(K109=$K$51,0,1)))))))))))*AQ109*$BB$102)))</f>
        <v>0</v>
      </c>
      <c r="BC109" s="172">
        <f t="shared" si="7"/>
        <v>987.29838600701135</v>
      </c>
      <c r="BD109" s="172">
        <f t="shared" si="8"/>
        <v>4556.7617815708209</v>
      </c>
      <c r="BE109" s="172">
        <f>IF($BE$95=I109,$BE$97,IF(I109=$BE$96,$BE$97,1))*($BE$102*AQ109)*$AZ$97</f>
        <v>0</v>
      </c>
      <c r="BF109" s="172">
        <f>IF('[1]Cockpit Retorno'!$C$65=Sim,Mestre!BA109,SUM(BB109:BE109)+(IF(K109=$K$56,AQ109*MOE_IRRF_LR,0)))</f>
        <v>5544.0601675778325</v>
      </c>
      <c r="BG109" s="174">
        <f>IF(AA109&gt;0,0,IF(Z109=$Z$82,AG109*1,(IF(Z109=$Z$81,AG109*1,0))))</f>
        <v>0</v>
      </c>
      <c r="BH109" s="174">
        <f>IF(AA109&gt;0,0,IF(Z109=$Z$83,AG109*1,IF(Z109=$Z$81,AG109*1,0)))</f>
        <v>0</v>
      </c>
      <c r="BI109" s="174">
        <f>IF(AA109&gt;0,0,IF(Z109=$Z$84,AG109*1,IF(Z109=$Z$93,AG109*2,IF(Z109=$Z$100,AG109,IF(Z109=$Z$81,AG109*2,IF(Z109=$Z$80,AG109*1,IF(Z109=$Z$79,AG109*3,IF(Z109=$Z$78,AG109*2,0))))))))</f>
        <v>0</v>
      </c>
      <c r="BJ109" s="174">
        <f>IF(AA109&gt;0,0,IF(Z109=$Z$85,AG109,IF(Z109=$Z$93,AG109,IF(Z109=$Z$100,AG109,IF(Z109=$Z$81,AG109*1,IF(Z109=$Z$80,AG109*2,IF(Z109=$Z$79,AG109*2,IF(Z109=$Z$78,AG109*2,0))))))))</f>
        <v>0</v>
      </c>
      <c r="BK109" s="174">
        <f>IF(AA109&gt;0,0,IF(Z109=$Z$92,AG109,0))</f>
        <v>0</v>
      </c>
      <c r="BL109" s="174">
        <f>IF(AA109&gt;0,0,IF(Z109=$Z$91,AG109,0))</f>
        <v>0</v>
      </c>
      <c r="BM109" s="174">
        <f>IF(AA109&gt;0,0,IF(Z109=$Z$86,AG109,0))</f>
        <v>0</v>
      </c>
      <c r="BN109" s="174">
        <f>IF(AA109&gt;0,0,IF(Z109=$Z$87,AG109,0))</f>
        <v>0</v>
      </c>
      <c r="BO109" s="174">
        <f>IF(AA109&gt;0,0,IF(Z109=$Z$88,AG109,0))</f>
        <v>0</v>
      </c>
      <c r="BP109" s="174">
        <f>IF(AA109&gt;0,0,IF(Z109=$Z$89,AG109,0))</f>
        <v>0</v>
      </c>
      <c r="BQ109" s="174">
        <f>IF(AA109&gt;0,0,IF(Z109=$Z$90,AG109,0))</f>
        <v>0</v>
      </c>
      <c r="BR109" s="174">
        <f>IF(Z109=$Z$82,AA109*AG109,0)</f>
        <v>0</v>
      </c>
      <c r="BS109" s="174">
        <f>IF(Z109=$Z$83,AA109*AG109,0)</f>
        <v>0</v>
      </c>
      <c r="BT109" s="174">
        <f>IF(AA109&lt;1,0,IF(Z109=$Z$84,AA109*AG109,IF(Z109=$Z$93,"ERRO",IF(Z109=$Z$100,"ERRO",0))))</f>
        <v>0</v>
      </c>
      <c r="BU109" s="174">
        <f>IF(AA109&lt;1,0,IF(Z109=$Z$85,AA109*AG109,IF(Z109=$Z$93,"ERRO",IF(Z109=$Z$100,"ERRO",0))))</f>
        <v>0</v>
      </c>
      <c r="BV109" s="174">
        <f>IF(Z109=$Z$92,AA109*AG109,0)</f>
        <v>0</v>
      </c>
      <c r="BW109" s="174">
        <f>IF(Z109=$Z$91,AA109*AG109,0)</f>
        <v>0</v>
      </c>
      <c r="BX109" s="174">
        <f>IF(Z109=$Z$86,AA109*AG109,0)</f>
        <v>0</v>
      </c>
      <c r="BY109" s="174">
        <f>IF(Z109=$Z$87,AA109*AG109,0)</f>
        <v>0</v>
      </c>
      <c r="BZ109" s="174">
        <f>IF(Z109=$Z$88,AA109*AG109,0)</f>
        <v>0</v>
      </c>
      <c r="CA109" s="174">
        <f>IF(Z109=$Z$89,AA109*AG109,0)</f>
        <v>0</v>
      </c>
      <c r="CB109" s="174">
        <f>IF(Z109=$Z$90,AA109*AG109,0)</f>
        <v>0</v>
      </c>
      <c r="CC109" s="175">
        <f>IFERROR(IF(L109=$L$49,AG109*AH109*(1+AI109)*(1-AK109)*(1-AL109),0),0)</f>
        <v>0</v>
      </c>
      <c r="CD109" s="182">
        <f>IF(I109=$CD$97,1,IF(I109=$CD$100,2,IF(K109=$K$66,1,IF(K109=$K$69,1,3))))</f>
        <v>3</v>
      </c>
      <c r="CE109" s="182">
        <f>IF($CD109=1,1.07,IF($CD109=2,1.07,1.3))</f>
        <v>1.3</v>
      </c>
      <c r="CF109" s="184">
        <f t="shared" si="9"/>
        <v>1.74</v>
      </c>
      <c r="CG109" s="182">
        <f>IF($CD109=1,1.42,IF($CD109=2,1.47,2))</f>
        <v>2</v>
      </c>
      <c r="CH109" s="184">
        <f t="shared" si="10"/>
        <v>2.1800000000000002</v>
      </c>
      <c r="CI109" s="182">
        <f>IF($CD109=1,1.7,IF($CD109=2,1.7,2.4))</f>
        <v>2.4</v>
      </c>
      <c r="CJ109" s="185">
        <f>CE109*$CJ$102-0.05</f>
        <v>1.224</v>
      </c>
      <c r="CK109" s="185">
        <f>CF109*$CK$102-0.05</f>
        <v>1.5682</v>
      </c>
      <c r="CL109" s="185">
        <f>CG109*$CL$102-0.05</f>
        <v>1.91</v>
      </c>
      <c r="CM109" s="185">
        <f>CH109*$CM$102-0.05</f>
        <v>2.0646000000000004</v>
      </c>
      <c r="CN109" s="186">
        <f>CI109*$CN$102-0.05</f>
        <v>2.254</v>
      </c>
      <c r="CO109" s="184">
        <v>1.3</v>
      </c>
      <c r="CP109" s="187">
        <f t="shared" si="11"/>
        <v>5544.0601675778325</v>
      </c>
      <c r="CQ109" s="188">
        <f t="shared" si="12"/>
        <v>146347.99921811619</v>
      </c>
      <c r="CR109" s="189">
        <f t="shared" si="13"/>
        <v>5544.0601675778325</v>
      </c>
      <c r="CS109" s="49"/>
      <c r="CT109" s="49"/>
      <c r="CU109" s="49"/>
      <c r="CV109" s="49"/>
      <c r="CW109" s="49"/>
      <c r="CX109" s="49"/>
      <c r="CY109" s="49"/>
      <c r="CZ109" s="49"/>
      <c r="DA109" s="49"/>
      <c r="DB109" s="49"/>
      <c r="DC109" s="49"/>
      <c r="DD109" s="49"/>
      <c r="DE109" s="49"/>
      <c r="DF109" s="49"/>
      <c r="DG109" s="49"/>
      <c r="DH109" s="49"/>
      <c r="DI109" s="49"/>
      <c r="DJ109" s="49"/>
      <c r="DK109" s="49"/>
      <c r="DL109" s="49"/>
      <c r="DM109" s="49"/>
      <c r="DN109" s="49"/>
      <c r="DO109" s="49"/>
      <c r="DP109" s="49"/>
      <c r="DQ109" s="49"/>
      <c r="DR109" s="49"/>
      <c r="DS109" s="49"/>
      <c r="DT109" s="49"/>
      <c r="DU109" s="49"/>
      <c r="DV109" s="49"/>
      <c r="DW109" s="49"/>
      <c r="DX109" s="49"/>
      <c r="DY109" s="49"/>
      <c r="DZ109" s="49"/>
      <c r="EA109" s="49"/>
      <c r="EB109" s="49"/>
      <c r="EC109" s="49"/>
      <c r="ED109" s="49"/>
      <c r="EE109" s="49"/>
      <c r="EF109" s="49"/>
      <c r="EG109" s="49"/>
      <c r="EH109" s="49"/>
      <c r="EI109" s="49"/>
      <c r="EJ109" s="49"/>
      <c r="EK109" s="49"/>
      <c r="EL109" s="49"/>
      <c r="EM109" s="49"/>
      <c r="EN109" s="49"/>
      <c r="EO109" s="49"/>
      <c r="EP109" s="49"/>
      <c r="EQ109" s="49"/>
      <c r="ER109" s="49"/>
      <c r="ES109" s="49"/>
      <c r="ET109" s="49"/>
      <c r="EU109" s="49"/>
      <c r="EV109" s="49"/>
      <c r="EW109" s="49"/>
      <c r="EX109" s="49"/>
      <c r="EY109" s="49"/>
      <c r="EZ109" s="49"/>
      <c r="FA109" s="49"/>
    </row>
    <row r="110" spans="1:157" s="182" customFormat="1" x14ac:dyDescent="0.25">
      <c r="A110" s="113">
        <f>IF(AND('[1]Cockpit Retorno'!$E$67=Sim,Mestre!M110=Mestre!$M$98),0,1)</f>
        <v>1</v>
      </c>
      <c r="B110" s="113">
        <f>IF(AND('[1]Cockpit Retorno'!$E$67=Sim,Mestre!L110=Mestre!$L$48),0,1)</f>
        <v>0</v>
      </c>
      <c r="C110" s="113">
        <f>IF(AND('[1]Cockpit Retorno'!$E$67=Sim,Mestre!M110=Mestre!$M$97),0,1)</f>
        <v>1</v>
      </c>
      <c r="D110" s="148" t="s">
        <v>260</v>
      </c>
      <c r="E110" s="115"/>
      <c r="F110" s="116" t="s">
        <v>107</v>
      </c>
      <c r="G110" s="149"/>
      <c r="H110" s="150" t="s">
        <v>45</v>
      </c>
      <c r="I110" s="151" t="str">
        <f t="shared" si="1"/>
        <v>Serviços</v>
      </c>
      <c r="J110" s="150" t="s">
        <v>12</v>
      </c>
      <c r="K110" s="152" t="s">
        <v>45</v>
      </c>
      <c r="L110" s="153" t="s">
        <v>15</v>
      </c>
      <c r="M110" s="154" t="s">
        <v>12</v>
      </c>
      <c r="N110" s="155" t="s">
        <v>43</v>
      </c>
      <c r="O110" s="155" t="s">
        <v>50</v>
      </c>
      <c r="P110" s="155" t="s">
        <v>43</v>
      </c>
      <c r="Q110" s="155" t="s">
        <v>43</v>
      </c>
      <c r="R110" s="155" t="s">
        <v>43</v>
      </c>
      <c r="S110" s="156" t="s">
        <v>43</v>
      </c>
      <c r="T110" s="156" t="s">
        <v>43</v>
      </c>
      <c r="U110" s="150" t="s">
        <v>43</v>
      </c>
      <c r="V110" s="150" t="s">
        <v>43</v>
      </c>
      <c r="W110" s="150" t="s">
        <v>43</v>
      </c>
      <c r="X110" s="157" t="s">
        <v>264</v>
      </c>
      <c r="Y110" s="150" t="s">
        <v>43</v>
      </c>
      <c r="Z110" s="150" t="s">
        <v>43</v>
      </c>
      <c r="AA110" s="158">
        <v>0</v>
      </c>
      <c r="AB110" s="155" t="s">
        <v>43</v>
      </c>
      <c r="AC110" s="150" t="s">
        <v>43</v>
      </c>
      <c r="AD110" s="155" t="s">
        <v>43</v>
      </c>
      <c r="AE110" s="155"/>
      <c r="AF110" s="150" t="s">
        <v>43</v>
      </c>
      <c r="AG110" s="159">
        <v>1</v>
      </c>
      <c r="AH110" s="160">
        <v>0</v>
      </c>
      <c r="AI110" s="161">
        <v>0</v>
      </c>
      <c r="AJ110" s="161">
        <v>0</v>
      </c>
      <c r="AK110" s="162"/>
      <c r="AL110" s="163"/>
      <c r="AM110" s="164">
        <f>(((IF(L110=$L$101,1,IF(L110=$L$47,1,0))*(AH110*(1-AK110)))*AG110)*(1-AL110))</f>
        <v>0</v>
      </c>
      <c r="AN110" s="165">
        <f>IF(K110=$K$50,AM110,IF(K110=$K$53,AM110,IF(K110=$K$54,AM110,IF(K110=$K$55,AM110,IF(K110=$K$56,AM110,IF(K110=$K$57,AM110,IF(K110=$K$58,AM110,IF(K110=$K$65,AM110,IF(K110=$K$66,AM110,IF(K110=$K$67,AM110,IF(K110=$K$68,AM110,IF(K110=$K$69,AM110,IF(K110=$K$51,AM110,(AM110*(1+AI110)))))))))))))))</f>
        <v>0</v>
      </c>
      <c r="AO110" s="166">
        <v>1.9</v>
      </c>
      <c r="AP110" s="160">
        <f t="shared" si="2"/>
        <v>0</v>
      </c>
      <c r="AQ110" s="167">
        <f t="shared" si="3"/>
        <v>0</v>
      </c>
      <c r="AR110" s="160">
        <f t="shared" si="4"/>
        <v>0</v>
      </c>
      <c r="AS110" s="168">
        <f t="shared" si="5"/>
        <v>0</v>
      </c>
      <c r="AT110" s="169" t="str">
        <f>K110</f>
        <v>MOA</v>
      </c>
      <c r="AU110" s="169" t="str">
        <f>I110</f>
        <v>Serviços</v>
      </c>
      <c r="AV110" s="170"/>
      <c r="AW110" s="171">
        <f>IF(K110=$K$50,0,IF(K110=$K$53,0,IF(K110=$K$54,0,IF(K110=$K$55,0,IF(K110=$K$56,0,IF(K110=$K$57,0,IF(K110=$K$58,0,IF(K110=$K$65,0,IF(K110=$K$66,0,IF(K110=$K$67,0,IF(K110=$K$68,0,IF(K110=$K$69,0,IF(K110=$K$51,0,1))))))))))))*AM110*AI110)</f>
        <v>0</v>
      </c>
      <c r="AX110" s="172">
        <f>IF(K110=$K$50,0,IF(K110=$K$53,0,IF(K110=$K$54,0,IF(K110=$K$55,0,IF(K110=$K$56,0,IF(K110=$K$57,0,IF(K110=$K$58,0,IF(K110=$K$65,0,IF(K110=$K$66,0,IF(K110=$K$67,0,IF(K110=$K$68,0,IF(K110=$K$69,0,IF(K110=$K$51,0,1))))))))))))*AM110*AJ110*$AX$94)</f>
        <v>0</v>
      </c>
      <c r="AY110" s="172">
        <f>IF(K110=$K$53,0,IF(K110=$K$54,0,IF(K110=$K$55,0,IF(K110=$K$56,0,IF(K110=$K$58,0,IF(K110=$K$50,0,IF(K110=$K$65,0,IF(K110=$K$57,0,IF(K110=$K$51,0,AM110*$AY$102)))))))))</f>
        <v>0</v>
      </c>
      <c r="AZ110" s="172">
        <f>IF(K110=$K$53,0,IF(K110=$K$54,0,IF(K110=$K$55,0,IF(K110=$K$56,0,IF(K110=$K$58,0,IF(K110=$K$50,0,IF(K110=$K$65,0,IF(K110=$K$57,0,IF(K110=$K$51,0,AM110*$AZ$102)))))))))</f>
        <v>0</v>
      </c>
      <c r="BA110" s="172">
        <f t="shared" si="6"/>
        <v>0</v>
      </c>
      <c r="BB110" s="173">
        <f>IF($BA$97=1,AQ110*$BB$102,IF(K110=$K$50,0,IF(K110=$K$53,0,IF(K110=$K$54,0,IF(K110=$K$55,0,IF(K110=$K$56,0,IF(K110=$K$57,0,IF(K110=$K$58,0,IF(K110=$K$65,0,IF(K110=$K$66,0,IF(K110=$K$67,0,IF(K110=$K$68,0,IF(K110=$K$69,0,IF(K110=$K$51,0,1)))))))))))*AQ110*$BB$102)))</f>
        <v>0</v>
      </c>
      <c r="BC110" s="172">
        <f t="shared" si="7"/>
        <v>0</v>
      </c>
      <c r="BD110" s="172">
        <f t="shared" si="8"/>
        <v>0</v>
      </c>
      <c r="BE110" s="172">
        <f>IF($BE$95=I110,$BE$97,IF(I110=$BE$96,$BE$97,1))*($BE$102*AQ110)*$AZ$97</f>
        <v>0</v>
      </c>
      <c r="BF110" s="172">
        <f>IF('[1]Cockpit Retorno'!$C$65=Sim,Mestre!BA110,SUM(BB110:BE110)+(IF(K110=$K$56,AQ110*MOE_IRRF_LR,0)))</f>
        <v>0</v>
      </c>
      <c r="BG110" s="174">
        <f>IF(AA110&gt;0,0,IF(Z110=$Z$82,AG110*1,(IF(Z110=$Z$81,AG110*1,0))))</f>
        <v>0</v>
      </c>
      <c r="BH110" s="174">
        <f>IF(AA110&gt;0,0,IF(Z110=$Z$83,AG110*1,IF(Z110=$Z$81,AG110*1,0)))</f>
        <v>0</v>
      </c>
      <c r="BI110" s="174">
        <f>IF(AA110&gt;0,0,IF(Z110=$Z$84,AG110*1,IF(Z110=$Z$93,AG110*2,IF(Z110=$Z$100,AG110,IF(Z110=$Z$81,AG110*2,IF(Z110=$Z$80,AG110*1,IF(Z110=$Z$79,AG110*3,IF(Z110=$Z$78,AG110*2,0))))))))</f>
        <v>0</v>
      </c>
      <c r="BJ110" s="174">
        <f>IF(AA110&gt;0,0,IF(Z110=$Z$85,AG110,IF(Z110=$Z$93,AG110,IF(Z110=$Z$100,AG110,IF(Z110=$Z$81,AG110*1,IF(Z110=$Z$80,AG110*2,IF(Z110=$Z$79,AG110*2,IF(Z110=$Z$78,AG110*2,0))))))))</f>
        <v>0</v>
      </c>
      <c r="BK110" s="174">
        <f>IF(AA110&gt;0,0,IF(Z110=$Z$92,AG110,0))</f>
        <v>0</v>
      </c>
      <c r="BL110" s="174">
        <f>IF(AA110&gt;0,0,IF(Z110=$Z$91,AG110,0))</f>
        <v>0</v>
      </c>
      <c r="BM110" s="174">
        <f>IF(AA110&gt;0,0,IF(Z110=$Z$86,AG110,0))</f>
        <v>0</v>
      </c>
      <c r="BN110" s="174">
        <f>IF(AA110&gt;0,0,IF(Z110=$Z$87,AG110,0))</f>
        <v>0</v>
      </c>
      <c r="BO110" s="174">
        <f>IF(AA110&gt;0,0,IF(Z110=$Z$88,AG110,0))</f>
        <v>0</v>
      </c>
      <c r="BP110" s="174">
        <f>IF(AA110&gt;0,0,IF(Z110=$Z$89,AG110,0))</f>
        <v>0</v>
      </c>
      <c r="BQ110" s="174">
        <f>IF(AA110&gt;0,0,IF(Z110=$Z$90,AG110,0))</f>
        <v>0</v>
      </c>
      <c r="BR110" s="174">
        <f>IF(Z110=$Z$82,AA110*AG110,0)</f>
        <v>0</v>
      </c>
      <c r="BS110" s="174">
        <f>IF(Z110=$Z$83,AA110*AG110,0)</f>
        <v>0</v>
      </c>
      <c r="BT110" s="174">
        <f>IF(AA110&lt;1,0,IF(Z110=$Z$84,AA110*AG110,IF(Z110=$Z$93,"ERRO",IF(Z110=$Z$100,"ERRO",0))))</f>
        <v>0</v>
      </c>
      <c r="BU110" s="174">
        <f>IF(AA110&lt;1,0,IF(Z110=$Z$85,AA110*AG110,IF(Z110=$Z$93,"ERRO",IF(Z110=$Z$100,"ERRO",0))))</f>
        <v>0</v>
      </c>
      <c r="BV110" s="174">
        <f>IF(Z110=$Z$92,AA110*AG110,0)</f>
        <v>0</v>
      </c>
      <c r="BW110" s="174">
        <f>IF(Z110=$Z$91,AA110*AG110,0)</f>
        <v>0</v>
      </c>
      <c r="BX110" s="174">
        <f>IF(Z110=$Z$86,AA110*AG110,0)</f>
        <v>0</v>
      </c>
      <c r="BY110" s="174">
        <f>IF(Z110=$Z$87,AA110*AG110,0)</f>
        <v>0</v>
      </c>
      <c r="BZ110" s="174">
        <f>IF(Z110=$Z$88,AA110*AG110,0)</f>
        <v>0</v>
      </c>
      <c r="CA110" s="174">
        <f>IF(Z110=$Z$89,AA110*AG110,0)</f>
        <v>0</v>
      </c>
      <c r="CB110" s="174">
        <f>IF(Z110=$Z$90,AA110*AG110,0)</f>
        <v>0</v>
      </c>
      <c r="CC110" s="175">
        <f>IFERROR(IF(L110=$L$49,AG110*AH110*(1+AI110)*(1-AK110)*(1-AL110),0),0)</f>
        <v>0</v>
      </c>
      <c r="CD110" s="176">
        <f>IF(I110=$CD$97,1,IF(I110=$CD$100,2,IF(K110=$K$66,1,IF(K110=$K$69,1,3))))</f>
        <v>3</v>
      </c>
      <c r="CE110" s="176">
        <f t="shared" si="14"/>
        <v>1.3</v>
      </c>
      <c r="CF110" s="177">
        <f t="shared" si="9"/>
        <v>1.74</v>
      </c>
      <c r="CG110" s="176">
        <f t="shared" si="15"/>
        <v>2</v>
      </c>
      <c r="CH110" s="177">
        <f t="shared" si="10"/>
        <v>2.1800000000000002</v>
      </c>
      <c r="CI110" s="176">
        <f t="shared" si="16"/>
        <v>2.4</v>
      </c>
      <c r="CJ110" s="178">
        <f>CE110*$CJ$102</f>
        <v>1.274</v>
      </c>
      <c r="CK110" s="178">
        <f>CF110*$CK$102</f>
        <v>1.6182000000000001</v>
      </c>
      <c r="CL110" s="178">
        <f>CG110*$CL$102</f>
        <v>1.96</v>
      </c>
      <c r="CM110" s="178">
        <f>CH110*$CM$102</f>
        <v>2.1146000000000003</v>
      </c>
      <c r="CN110" s="179">
        <f>CI110*$CN$102</f>
        <v>2.3039999999999998</v>
      </c>
      <c r="CO110" s="177">
        <f>CJ110*$CO$102</f>
        <v>1.2230399999999999</v>
      </c>
      <c r="CP110" s="180">
        <f t="shared" si="11"/>
        <v>0</v>
      </c>
      <c r="CQ110" s="181">
        <f t="shared" si="12"/>
        <v>0</v>
      </c>
      <c r="CR110" s="176">
        <f t="shared" si="13"/>
        <v>0</v>
      </c>
      <c r="CS110" s="49"/>
      <c r="CT110" s="49"/>
      <c r="CU110" s="49"/>
      <c r="CV110" s="49"/>
      <c r="CW110" s="49"/>
      <c r="CX110" s="49"/>
      <c r="CY110" s="49"/>
      <c r="CZ110" s="49"/>
      <c r="DA110" s="49"/>
      <c r="DB110" s="49"/>
      <c r="DC110" s="49"/>
      <c r="DD110" s="49"/>
      <c r="DE110" s="49"/>
      <c r="DF110" s="49"/>
      <c r="DG110" s="49"/>
      <c r="DH110" s="49"/>
      <c r="DI110" s="49"/>
      <c r="DJ110" s="49"/>
      <c r="DK110" s="49"/>
      <c r="DL110" s="49"/>
      <c r="DM110" s="49"/>
      <c r="DN110" s="49"/>
      <c r="DO110" s="49"/>
      <c r="DP110" s="49"/>
      <c r="DQ110" s="49"/>
      <c r="DR110" s="49"/>
      <c r="DS110" s="49"/>
      <c r="DT110" s="49"/>
      <c r="DU110" s="49"/>
      <c r="DV110" s="49"/>
      <c r="DW110" s="49"/>
      <c r="DX110" s="49"/>
      <c r="DY110" s="49"/>
      <c r="DZ110" s="49"/>
      <c r="EA110" s="49"/>
      <c r="EB110" s="49"/>
      <c r="EC110" s="49"/>
      <c r="ED110" s="49"/>
      <c r="EE110" s="49"/>
      <c r="EF110" s="49"/>
      <c r="EG110" s="49"/>
      <c r="EH110" s="49"/>
      <c r="EI110" s="49"/>
      <c r="EJ110" s="49"/>
      <c r="EK110" s="49"/>
      <c r="EL110" s="49"/>
      <c r="EM110" s="49"/>
      <c r="EN110" s="49"/>
      <c r="EO110" s="49"/>
      <c r="EP110" s="49"/>
      <c r="EQ110" s="49"/>
      <c r="ER110" s="49"/>
      <c r="ES110" s="49"/>
      <c r="ET110" s="49"/>
      <c r="EU110" s="49"/>
      <c r="EV110" s="49"/>
      <c r="EW110" s="49"/>
      <c r="EX110" s="49"/>
      <c r="EY110" s="49"/>
      <c r="EZ110" s="49"/>
      <c r="FA110" s="49"/>
    </row>
    <row r="111" spans="1:157" s="182" customFormat="1" x14ac:dyDescent="0.25">
      <c r="A111" s="113">
        <f>IF(AND('[1]Cockpit Retorno'!$E$67=Sim,Mestre!M111=Mestre!$M$98),0,1)</f>
        <v>1</v>
      </c>
      <c r="B111" s="113">
        <f>IF(AND('[1]Cockpit Retorno'!$E$67=Sim,Mestre!L111=Mestre!$L$48),0,1)</f>
        <v>0</v>
      </c>
      <c r="C111" s="113">
        <f>IF(AND('[1]Cockpit Retorno'!$E$67=Sim,Mestre!M111=Mestre!$M$97),0,1)</f>
        <v>1</v>
      </c>
      <c r="D111" s="148" t="s">
        <v>260</v>
      </c>
      <c r="E111" s="115"/>
      <c r="F111" s="116" t="s">
        <v>107</v>
      </c>
      <c r="G111" s="149"/>
      <c r="H111" s="150" t="s">
        <v>65</v>
      </c>
      <c r="I111" s="151" t="str">
        <f t="shared" si="1"/>
        <v>Serviços</v>
      </c>
      <c r="J111" s="150" t="s">
        <v>12</v>
      </c>
      <c r="K111" s="152" t="s">
        <v>65</v>
      </c>
      <c r="L111" s="153" t="s">
        <v>15</v>
      </c>
      <c r="M111" s="154" t="s">
        <v>12</v>
      </c>
      <c r="N111" s="155" t="s">
        <v>43</v>
      </c>
      <c r="O111" s="155" t="s">
        <v>50</v>
      </c>
      <c r="P111" s="155" t="s">
        <v>43</v>
      </c>
      <c r="Q111" s="155" t="s">
        <v>43</v>
      </c>
      <c r="R111" s="155" t="s">
        <v>43</v>
      </c>
      <c r="S111" s="156" t="s">
        <v>43</v>
      </c>
      <c r="T111" s="156" t="s">
        <v>43</v>
      </c>
      <c r="U111" s="150" t="s">
        <v>43</v>
      </c>
      <c r="V111" s="150" t="s">
        <v>43</v>
      </c>
      <c r="W111" s="150" t="s">
        <v>43</v>
      </c>
      <c r="X111" s="157" t="s">
        <v>264</v>
      </c>
      <c r="Y111" s="150" t="s">
        <v>43</v>
      </c>
      <c r="Z111" s="150" t="s">
        <v>43</v>
      </c>
      <c r="AA111" s="158">
        <v>0</v>
      </c>
      <c r="AB111" s="155" t="s">
        <v>43</v>
      </c>
      <c r="AC111" s="150" t="s">
        <v>43</v>
      </c>
      <c r="AD111" s="155" t="s">
        <v>43</v>
      </c>
      <c r="AE111" s="155"/>
      <c r="AF111" s="150" t="s">
        <v>43</v>
      </c>
      <c r="AG111" s="159">
        <v>1</v>
      </c>
      <c r="AH111" s="160">
        <v>4185.0404968659823</v>
      </c>
      <c r="AI111" s="161">
        <v>0</v>
      </c>
      <c r="AJ111" s="161">
        <v>0</v>
      </c>
      <c r="AK111" s="162"/>
      <c r="AL111" s="163"/>
      <c r="AM111" s="164">
        <f>(((IF(L111=$L$101,1,IF(L111=$L$47,1,0))*(AH111*(1-AK111)))*AG111)*(1-AL111))</f>
        <v>4185.0404968659823</v>
      </c>
      <c r="AN111" s="165">
        <f>IF(K111=$K$50,AM111,IF(K111=$K$53,AM111,IF(K111=$K$54,AM111,IF(K111=$K$55,AM111,IF(K111=$K$56,AM111,IF(K111=$K$57,AM111,IF(K111=$K$58,AM111,IF(K111=$K$65,AM111,IF(K111=$K$66,AM111,IF(K111=$K$67,AM111,IF(K111=$K$68,AM111,IF(K111=$K$69,AM111,IF(K111=$K$51,AM111,(AM111*(1+AI111)))))))))))))))</f>
        <v>4185.0404968659823</v>
      </c>
      <c r="AO111" s="166">
        <v>1.9</v>
      </c>
      <c r="AP111" s="160">
        <f t="shared" si="2"/>
        <v>7951.576944045366</v>
      </c>
      <c r="AQ111" s="167">
        <f t="shared" si="3"/>
        <v>6889.7656241190552</v>
      </c>
      <c r="AR111" s="160">
        <f t="shared" si="4"/>
        <v>7951.576944045366</v>
      </c>
      <c r="AS111" s="183">
        <f t="shared" si="5"/>
        <v>1.5861947294918346</v>
      </c>
      <c r="AT111" s="169" t="str">
        <f>K111</f>
        <v>MOI</v>
      </c>
      <c r="AU111" s="169" t="str">
        <f>I111</f>
        <v>Serviços</v>
      </c>
      <c r="AV111" s="170"/>
      <c r="AW111" s="171">
        <f>IF(K111=$K$50,0,IF(K111=$K$53,0,IF(K111=$K$54,0,IF(K111=$K$55,0,IF(K111=$K$56,0,IF(K111=$K$57,0,IF(K111=$K$58,0,IF(K111=$K$65,0,IF(K111=$K$66,0,IF(K111=$K$67,0,IF(K111=$K$68,0,IF(K111=$K$69,0,IF(K111=$K$51,0,1))))))))))))*AM111*AI111)</f>
        <v>0</v>
      </c>
      <c r="AX111" s="172">
        <f>IF(K111=$K$50,0,IF(K111=$K$53,0,IF(K111=$K$54,0,IF(K111=$K$55,0,IF(K111=$K$56,0,IF(K111=$K$57,0,IF(K111=$K$58,0,IF(K111=$K$65,0,IF(K111=$K$66,0,IF(K111=$K$67,0,IF(K111=$K$68,0,IF(K111=$K$69,0,IF(K111=$K$51,0,1))))))))))))*AM111*AJ111*$AX$94)</f>
        <v>0</v>
      </c>
      <c r="AY111" s="172">
        <f>IF(K111=$K$53,0,IF(K111=$K$54,0,IF(K111=$K$55,0,IF(K111=$K$56,0,IF(K111=$K$58,0,IF(K111=$K$50,0,IF(K111=$K$65,0,IF(K111=$K$57,0,IF(K111=$K$51,0,AM111*$AY$102)))))))))</f>
        <v>0</v>
      </c>
      <c r="AZ111" s="172">
        <f>IF(K111=$K$53,0,IF(K111=$K$54,0,IF(K111=$K$55,0,IF(K111=$K$56,0,IF(K111=$K$58,0,IF(K111=$K$50,0,IF(K111=$K$65,0,IF(K111=$K$57,0,IF(K111=$K$51,0,AM111*$AZ$102)))))))))</f>
        <v>0</v>
      </c>
      <c r="BA111" s="172">
        <f t="shared" si="6"/>
        <v>0</v>
      </c>
      <c r="BB111" s="173">
        <f>IF($BA$97=1,AQ111*$BB$102,IF(K111=$K$50,0,IF(K111=$K$53,0,IF(K111=$K$54,0,IF(K111=$K$55,0,IF(K111=$K$56,0,IF(K111=$K$57,0,IF(K111=$K$58,0,IF(K111=$K$65,0,IF(K111=$K$66,0,IF(K111=$K$67,0,IF(K111=$K$68,0,IF(K111=$K$69,0,IF(K111=$K$51,0,1)))))))))))*AQ111*$BB$102)))</f>
        <v>0</v>
      </c>
      <c r="BC111" s="172">
        <f t="shared" si="7"/>
        <v>44.783476556773863</v>
      </c>
      <c r="BD111" s="172">
        <f t="shared" si="8"/>
        <v>206.69296872357165</v>
      </c>
      <c r="BE111" s="172">
        <f>IF($BE$95=I111,$BE$97,IF(I111=$BE$96,$BE$97,1))*($BE$102*AQ111)*$AZ$97</f>
        <v>0</v>
      </c>
      <c r="BF111" s="172">
        <f>IF('[1]Cockpit Retorno'!$C$65=Sim,Mestre!BA111,SUM(BB111:BE111)+(IF(K111=$K$56,AQ111*MOE_IRRF_LR,0)))</f>
        <v>251.4764452803455</v>
      </c>
      <c r="BG111" s="174">
        <f>IF(AA111&gt;0,0,IF(Z111=$Z$82,AG111*1,(IF(Z111=$Z$81,AG111*1,0))))</f>
        <v>0</v>
      </c>
      <c r="BH111" s="174">
        <f>IF(AA111&gt;0,0,IF(Z111=$Z$83,AG111*1,IF(Z111=$Z$81,AG111*1,0)))</f>
        <v>0</v>
      </c>
      <c r="BI111" s="174">
        <f>IF(AA111&gt;0,0,IF(Z111=$Z$84,AG111*1,IF(Z111=$Z$93,AG111*2,IF(Z111=$Z$100,AG111,IF(Z111=$Z$81,AG111*2,IF(Z111=$Z$80,AG111*1,IF(Z111=$Z$79,AG111*3,IF(Z111=$Z$78,AG111*2,0))))))))</f>
        <v>0</v>
      </c>
      <c r="BJ111" s="174">
        <f>IF(AA111&gt;0,0,IF(Z111=$Z$85,AG111,IF(Z111=$Z$93,AG111,IF(Z111=$Z$100,AG111,IF(Z111=$Z$81,AG111*1,IF(Z111=$Z$80,AG111*2,IF(Z111=$Z$79,AG111*2,IF(Z111=$Z$78,AG111*2,0))))))))</f>
        <v>0</v>
      </c>
      <c r="BK111" s="174">
        <f>IF(AA111&gt;0,0,IF(Z111=$Z$92,AG111,0))</f>
        <v>0</v>
      </c>
      <c r="BL111" s="174">
        <f>IF(AA111&gt;0,0,IF(Z111=$Z$91,AG111,0))</f>
        <v>0</v>
      </c>
      <c r="BM111" s="174">
        <f>IF(AA111&gt;0,0,IF(Z111=$Z$86,AG111,0))</f>
        <v>0</v>
      </c>
      <c r="BN111" s="174">
        <f>IF(AA111&gt;0,0,IF(Z111=$Z$87,AG111,0))</f>
        <v>0</v>
      </c>
      <c r="BO111" s="174">
        <f>IF(AA111&gt;0,0,IF(Z111=$Z$88,AG111,0))</f>
        <v>0</v>
      </c>
      <c r="BP111" s="174">
        <f>IF(AA111&gt;0,0,IF(Z111=$Z$89,AG111,0))</f>
        <v>0</v>
      </c>
      <c r="BQ111" s="174">
        <f>IF(AA111&gt;0,0,IF(Z111=$Z$90,AG111,0))</f>
        <v>0</v>
      </c>
      <c r="BR111" s="174">
        <f>IF(Z111=$Z$82,AA111*AG111,0)</f>
        <v>0</v>
      </c>
      <c r="BS111" s="174">
        <f>IF(Z111=$Z$83,AA111*AG111,0)</f>
        <v>0</v>
      </c>
      <c r="BT111" s="174">
        <f>IF(AA111&lt;1,0,IF(Z111=$Z$84,AA111*AG111,IF(Z111=$Z$93,"ERRO",IF(Z111=$Z$100,"ERRO",0))))</f>
        <v>0</v>
      </c>
      <c r="BU111" s="174">
        <f>IF(AA111&lt;1,0,IF(Z111=$Z$85,AA111*AG111,IF(Z111=$Z$93,"ERRO",IF(Z111=$Z$100,"ERRO",0))))</f>
        <v>0</v>
      </c>
      <c r="BV111" s="174">
        <f>IF(Z111=$Z$92,AA111*AG111,0)</f>
        <v>0</v>
      </c>
      <c r="BW111" s="174">
        <f>IF(Z111=$Z$91,AA111*AG111,0)</f>
        <v>0</v>
      </c>
      <c r="BX111" s="174">
        <f>IF(Z111=$Z$86,AA111*AG111,0)</f>
        <v>0</v>
      </c>
      <c r="BY111" s="174">
        <f>IF(Z111=$Z$87,AA111*AG111,0)</f>
        <v>0</v>
      </c>
      <c r="BZ111" s="174">
        <f>IF(Z111=$Z$88,AA111*AG111,0)</f>
        <v>0</v>
      </c>
      <c r="CA111" s="174">
        <f>IF(Z111=$Z$89,AA111*AG111,0)</f>
        <v>0</v>
      </c>
      <c r="CB111" s="174">
        <f>IF(Z111=$Z$90,AA111*AG111,0)</f>
        <v>0</v>
      </c>
      <c r="CC111" s="175">
        <f>IFERROR(IF(L111=$L$49,AG111*AH111*(1+AI111)*(1-AK111)*(1-AL111),0),0)</f>
        <v>0</v>
      </c>
      <c r="CD111" s="182">
        <f>IF(I111=$CD$97,1,IF(I111=$CD$100,2,IF(K111=$K$66,1,IF(K111=$K$69,1,3))))</f>
        <v>3</v>
      </c>
      <c r="CE111" s="182">
        <f>IF($CD111=1,1.07,IF($CD111=2,1.07,1.3))</f>
        <v>1.3</v>
      </c>
      <c r="CF111" s="184">
        <f t="shared" si="9"/>
        <v>1.74</v>
      </c>
      <c r="CG111" s="182">
        <f>IF($CD111=1,1.42,IF($CD111=2,1.47,2))</f>
        <v>2</v>
      </c>
      <c r="CH111" s="184">
        <f t="shared" si="10"/>
        <v>2.1800000000000002</v>
      </c>
      <c r="CI111" s="182">
        <f>IF($CD111=1,1.7,IF($CD111=2,1.7,2.4))</f>
        <v>2.4</v>
      </c>
      <c r="CJ111" s="185">
        <f>CE111*$CJ$102</f>
        <v>1.274</v>
      </c>
      <c r="CK111" s="185">
        <f>CF111*$CK$102</f>
        <v>1.6182000000000001</v>
      </c>
      <c r="CL111" s="185">
        <f>CG111*$CL$102</f>
        <v>1.96</v>
      </c>
      <c r="CM111" s="185">
        <f>CH111*$CM$102</f>
        <v>2.1146000000000003</v>
      </c>
      <c r="CN111" s="186">
        <f>CI111*$CN$102</f>
        <v>2.3039999999999998</v>
      </c>
      <c r="CO111" s="184">
        <f>CJ111*$CO$102</f>
        <v>1.2230399999999999</v>
      </c>
      <c r="CP111" s="187">
        <f t="shared" si="11"/>
        <v>251.4764452803455</v>
      </c>
      <c r="CQ111" s="188">
        <f t="shared" si="12"/>
        <v>6638.2891788387096</v>
      </c>
      <c r="CR111" s="189">
        <f t="shared" si="13"/>
        <v>251.4764452803455</v>
      </c>
      <c r="CS111" s="49"/>
      <c r="CT111" s="49"/>
      <c r="CU111" s="49"/>
      <c r="CV111" s="49"/>
      <c r="CW111" s="49"/>
      <c r="CX111" s="49"/>
      <c r="CY111" s="49"/>
      <c r="CZ111" s="49"/>
      <c r="DA111" s="49"/>
      <c r="DB111" s="49"/>
      <c r="DC111" s="49"/>
      <c r="DD111" s="49"/>
      <c r="DE111" s="49"/>
      <c r="DF111" s="49"/>
      <c r="DG111" s="49"/>
      <c r="DH111" s="49"/>
      <c r="DI111" s="49"/>
      <c r="DJ111" s="49"/>
      <c r="DK111" s="49"/>
      <c r="DL111" s="49"/>
      <c r="DM111" s="49"/>
      <c r="DN111" s="49"/>
      <c r="DO111" s="49"/>
      <c r="DP111" s="49"/>
      <c r="DQ111" s="49"/>
      <c r="DR111" s="49"/>
      <c r="DS111" s="49"/>
      <c r="DT111" s="49"/>
      <c r="DU111" s="49"/>
      <c r="DV111" s="49"/>
      <c r="DW111" s="49"/>
      <c r="DX111" s="49"/>
      <c r="DY111" s="49"/>
      <c r="DZ111" s="49"/>
      <c r="EA111" s="49"/>
      <c r="EB111" s="49"/>
      <c r="EC111" s="49"/>
      <c r="ED111" s="49"/>
      <c r="EE111" s="49"/>
      <c r="EF111" s="49"/>
      <c r="EG111" s="49"/>
      <c r="EH111" s="49"/>
      <c r="EI111" s="49"/>
      <c r="EJ111" s="49"/>
      <c r="EK111" s="49"/>
      <c r="EL111" s="49"/>
      <c r="EM111" s="49"/>
      <c r="EN111" s="49"/>
      <c r="EO111" s="49"/>
      <c r="EP111" s="49"/>
      <c r="EQ111" s="49"/>
      <c r="ER111" s="49"/>
      <c r="ES111" s="49"/>
      <c r="ET111" s="49"/>
      <c r="EU111" s="49"/>
      <c r="EV111" s="49"/>
      <c r="EW111" s="49"/>
      <c r="EX111" s="49"/>
      <c r="EY111" s="49"/>
      <c r="EZ111" s="49"/>
      <c r="FA111" s="49"/>
    </row>
    <row r="112" spans="1:157" s="182" customFormat="1" x14ac:dyDescent="0.25">
      <c r="A112" s="113">
        <f>IF(AND('[1]Cockpit Retorno'!$E$67=Sim,Mestre!M112=Mestre!$M$98),0,1)</f>
        <v>1</v>
      </c>
      <c r="B112" s="113">
        <f>IF(AND('[1]Cockpit Retorno'!$E$67=Sim,Mestre!L112=Mestre!$L$48),0,1)</f>
        <v>0</v>
      </c>
      <c r="C112" s="113">
        <f>IF(AND('[1]Cockpit Retorno'!$E$67=Sim,Mestre!M112=Mestre!$M$97),0,1)</f>
        <v>1</v>
      </c>
      <c r="D112" s="148" t="s">
        <v>260</v>
      </c>
      <c r="E112" s="115"/>
      <c r="F112" s="116" t="s">
        <v>107</v>
      </c>
      <c r="G112" s="149"/>
      <c r="H112" s="150" t="s">
        <v>70</v>
      </c>
      <c r="I112" s="151" t="str">
        <f t="shared" si="1"/>
        <v>Serviços</v>
      </c>
      <c r="J112" s="150" t="s">
        <v>12</v>
      </c>
      <c r="K112" s="152" t="s">
        <v>70</v>
      </c>
      <c r="L112" s="153" t="s">
        <v>15</v>
      </c>
      <c r="M112" s="154" t="s">
        <v>12</v>
      </c>
      <c r="N112" s="155" t="s">
        <v>43</v>
      </c>
      <c r="O112" s="155" t="s">
        <v>50</v>
      </c>
      <c r="P112" s="155" t="s">
        <v>43</v>
      </c>
      <c r="Q112" s="155" t="s">
        <v>43</v>
      </c>
      <c r="R112" s="155" t="s">
        <v>43</v>
      </c>
      <c r="S112" s="156" t="s">
        <v>43</v>
      </c>
      <c r="T112" s="156" t="s">
        <v>43</v>
      </c>
      <c r="U112" s="150" t="s">
        <v>43</v>
      </c>
      <c r="V112" s="150" t="s">
        <v>43</v>
      </c>
      <c r="W112" s="150" t="s">
        <v>43</v>
      </c>
      <c r="X112" s="157" t="s">
        <v>264</v>
      </c>
      <c r="Y112" s="150" t="s">
        <v>43</v>
      </c>
      <c r="Z112" s="150" t="s">
        <v>43</v>
      </c>
      <c r="AA112" s="158">
        <v>0</v>
      </c>
      <c r="AB112" s="155" t="s">
        <v>43</v>
      </c>
      <c r="AC112" s="150" t="s">
        <v>43</v>
      </c>
      <c r="AD112" s="155" t="s">
        <v>43</v>
      </c>
      <c r="AE112" s="155"/>
      <c r="AF112" s="150" t="s">
        <v>43</v>
      </c>
      <c r="AG112" s="159">
        <v>1</v>
      </c>
      <c r="AH112" s="160">
        <v>4854.595719093857</v>
      </c>
      <c r="AI112" s="161">
        <v>0</v>
      </c>
      <c r="AJ112" s="161">
        <v>0</v>
      </c>
      <c r="AK112" s="162"/>
      <c r="AL112" s="163"/>
      <c r="AM112" s="164">
        <f>(((IF(L112=$L$101,1,IF(L112=$L$47,1,0))*(AH112*(1-AK112)))*AG112)*(1-AL112))</f>
        <v>4854.595719093857</v>
      </c>
      <c r="AN112" s="165">
        <f>IF(K112=$K$50,AM112,IF(K112=$K$53,AM112,IF(K112=$K$54,AM112,IF(K112=$K$55,AM112,IF(K112=$K$56,AM112,IF(K112=$K$57,AM112,IF(K112=$K$58,AM112,IF(K112=$K$65,AM112,IF(K112=$K$66,AM112,IF(K112=$K$67,AM112,IF(K112=$K$68,AM112,IF(K112=$K$69,AM112,IF(K112=$K$51,AM112,(AM112*(1+AI112)))))))))))))))</f>
        <v>4854.595719093857</v>
      </c>
      <c r="AO112" s="166">
        <v>1.9</v>
      </c>
      <c r="AP112" s="160">
        <f t="shared" si="2"/>
        <v>9223.7318662783273</v>
      </c>
      <c r="AQ112" s="167">
        <f t="shared" si="3"/>
        <v>7992.0437399484154</v>
      </c>
      <c r="AR112" s="160">
        <f t="shared" si="4"/>
        <v>9223.7318662783273</v>
      </c>
      <c r="AS112" s="183">
        <f t="shared" si="5"/>
        <v>1.5861947294918344</v>
      </c>
      <c r="AT112" s="169" t="str">
        <f>K112</f>
        <v>MOD</v>
      </c>
      <c r="AU112" s="169" t="str">
        <f>I112</f>
        <v>Serviços</v>
      </c>
      <c r="AV112" s="170"/>
      <c r="AW112" s="171">
        <f>IF(K112=$K$50,0,IF(K112=$K$53,0,IF(K112=$K$54,0,IF(K112=$K$55,0,IF(K112=$K$56,0,IF(K112=$K$57,0,IF(K112=$K$58,0,IF(K112=$K$65,0,IF(K112=$K$66,0,IF(K112=$K$67,0,IF(K112=$K$68,0,IF(K112=$K$69,0,IF(K112=$K$51,0,1))))))))))))*AM112*AI112)</f>
        <v>0</v>
      </c>
      <c r="AX112" s="172">
        <f>IF(K112=$K$50,0,IF(K112=$K$53,0,IF(K112=$K$54,0,IF(K112=$K$55,0,IF(K112=$K$56,0,IF(K112=$K$57,0,IF(K112=$K$58,0,IF(K112=$K$65,0,IF(K112=$K$66,0,IF(K112=$K$67,0,IF(K112=$K$68,0,IF(K112=$K$69,0,IF(K112=$K$51,0,1))))))))))))*AM112*AJ112*$AX$94)</f>
        <v>0</v>
      </c>
      <c r="AY112" s="172">
        <f>IF(K112=$K$53,0,IF(K112=$K$54,0,IF(K112=$K$55,0,IF(K112=$K$56,0,IF(K112=$K$58,0,IF(K112=$K$50,0,IF(K112=$K$65,0,IF(K112=$K$57,0,IF(K112=$K$51,0,AM112*$AY$102)))))))))</f>
        <v>0</v>
      </c>
      <c r="AZ112" s="172">
        <f>IF(K112=$K$53,0,IF(K112=$K$54,0,IF(K112=$K$55,0,IF(K112=$K$56,0,IF(K112=$K$58,0,IF(K112=$K$50,0,IF(K112=$K$65,0,IF(K112=$K$57,0,IF(K112=$K$51,0,AM112*$AZ$102)))))))))</f>
        <v>0</v>
      </c>
      <c r="BA112" s="172">
        <f t="shared" si="6"/>
        <v>0</v>
      </c>
      <c r="BB112" s="173">
        <f>IF($BA$97=1,AQ112*$BB$102,IF(K112=$K$50,0,IF(K112=$K$53,0,IF(K112=$K$54,0,IF(K112=$K$55,0,IF(K112=$K$56,0,IF(K112=$K$57,0,IF(K112=$K$58,0,IF(K112=$K$65,0,IF(K112=$K$66,0,IF(K112=$K$67,0,IF(K112=$K$68,0,IF(K112=$K$69,0,IF(K112=$K$51,0,1)))))))))))*AQ112*$BB$102)))</f>
        <v>0</v>
      </c>
      <c r="BC112" s="172">
        <f t="shared" si="7"/>
        <v>51.948284309664707</v>
      </c>
      <c r="BD112" s="172">
        <f t="shared" si="8"/>
        <v>239.76131219845246</v>
      </c>
      <c r="BE112" s="172">
        <f>IF($BE$95=I112,$BE$97,IF(I112=$BE$96,$BE$97,1))*($BE$102*AQ112)*$AZ$97</f>
        <v>0</v>
      </c>
      <c r="BF112" s="172">
        <f>IF('[1]Cockpit Retorno'!$C$65=Sim,Mestre!BA112,SUM(BB112:BE112)+(IF(K112=$K$56,AQ112*MOE_IRRF_LR,0)))</f>
        <v>291.70959650811716</v>
      </c>
      <c r="BG112" s="174">
        <f>IF(AA112&gt;0,0,IF(Z112=$Z$82,AG112*1,(IF(Z112=$Z$81,AG112*1,0))))</f>
        <v>0</v>
      </c>
      <c r="BH112" s="174">
        <f>IF(AA112&gt;0,0,IF(Z112=$Z$83,AG112*1,IF(Z112=$Z$81,AG112*1,0)))</f>
        <v>0</v>
      </c>
      <c r="BI112" s="174">
        <f>IF(AA112&gt;0,0,IF(Z112=$Z$84,AG112*1,IF(Z112=$Z$93,AG112*2,IF(Z112=$Z$100,AG112,IF(Z112=$Z$81,AG112*2,IF(Z112=$Z$80,AG112*1,IF(Z112=$Z$79,AG112*3,IF(Z112=$Z$78,AG112*2,0))))))))</f>
        <v>0</v>
      </c>
      <c r="BJ112" s="174">
        <f>IF(AA112&gt;0,0,IF(Z112=$Z$85,AG112,IF(Z112=$Z$93,AG112,IF(Z112=$Z$100,AG112,IF(Z112=$Z$81,AG112*1,IF(Z112=$Z$80,AG112*2,IF(Z112=$Z$79,AG112*2,IF(Z112=$Z$78,AG112*2,0))))))))</f>
        <v>0</v>
      </c>
      <c r="BK112" s="174">
        <f>IF(AA112&gt;0,0,IF(Z112=$Z$92,AG112,0))</f>
        <v>0</v>
      </c>
      <c r="BL112" s="174">
        <f>IF(AA112&gt;0,0,IF(Z112=$Z$91,AG112,0))</f>
        <v>0</v>
      </c>
      <c r="BM112" s="174">
        <f>IF(AA112&gt;0,0,IF(Z112=$Z$86,AG112,0))</f>
        <v>0</v>
      </c>
      <c r="BN112" s="174">
        <f>IF(AA112&gt;0,0,IF(Z112=$Z$87,AG112,0))</f>
        <v>0</v>
      </c>
      <c r="BO112" s="174">
        <f>IF(AA112&gt;0,0,IF(Z112=$Z$88,AG112,0))</f>
        <v>0</v>
      </c>
      <c r="BP112" s="174">
        <f>IF(AA112&gt;0,0,IF(Z112=$Z$89,AG112,0))</f>
        <v>0</v>
      </c>
      <c r="BQ112" s="174">
        <f>IF(AA112&gt;0,0,IF(Z112=$Z$90,AG112,0))</f>
        <v>0</v>
      </c>
      <c r="BR112" s="174">
        <f>IF(Z112=$Z$82,AA112*AG112,0)</f>
        <v>0</v>
      </c>
      <c r="BS112" s="174">
        <f>IF(Z112=$Z$83,AA112*AG112,0)</f>
        <v>0</v>
      </c>
      <c r="BT112" s="174">
        <f>IF(AA112&lt;1,0,IF(Z112=$Z$84,AA112*AG112,IF(Z112=$Z$93,"ERRO",IF(Z112=$Z$100,"ERRO",0))))</f>
        <v>0</v>
      </c>
      <c r="BU112" s="174">
        <f>IF(AA112&lt;1,0,IF(Z112=$Z$85,AA112*AG112,IF(Z112=$Z$93,"ERRO",IF(Z112=$Z$100,"ERRO",0))))</f>
        <v>0</v>
      </c>
      <c r="BV112" s="174">
        <f>IF(Z112=$Z$92,AA112*AG112,0)</f>
        <v>0</v>
      </c>
      <c r="BW112" s="174">
        <f>IF(Z112=$Z$91,AA112*AG112,0)</f>
        <v>0</v>
      </c>
      <c r="BX112" s="174">
        <f>IF(Z112=$Z$86,AA112*AG112,0)</f>
        <v>0</v>
      </c>
      <c r="BY112" s="174">
        <f>IF(Z112=$Z$87,AA112*AG112,0)</f>
        <v>0</v>
      </c>
      <c r="BZ112" s="174">
        <f>IF(Z112=$Z$88,AA112*AG112,0)</f>
        <v>0</v>
      </c>
      <c r="CA112" s="174">
        <f>IF(Z112=$Z$89,AA112*AG112,0)</f>
        <v>0</v>
      </c>
      <c r="CB112" s="174">
        <f>IF(Z112=$Z$90,AA112*AG112,0)</f>
        <v>0</v>
      </c>
      <c r="CC112" s="175">
        <f>IFERROR(IF(L112=$L$49,AG112*AH112*(1+AI112)*(1-AK112)*(1-AL112),0),0)</f>
        <v>0</v>
      </c>
      <c r="CD112" s="182">
        <f>IF(I112=$CD$97,1,IF(I112=$CD$100,2,IF(K112=$K$66,1,IF(K112=$K$69,1,3))))</f>
        <v>3</v>
      </c>
      <c r="CE112" s="182">
        <f>IF($CD112=1,1.07,IF($CD112=2,1.07,1.3))</f>
        <v>1.3</v>
      </c>
      <c r="CF112" s="184">
        <f t="shared" si="9"/>
        <v>1.74</v>
      </c>
      <c r="CG112" s="182">
        <f>IF($CD112=1,1.42,IF($CD112=2,1.47,2))</f>
        <v>2</v>
      </c>
      <c r="CH112" s="184">
        <f t="shared" si="10"/>
        <v>2.1800000000000002</v>
      </c>
      <c r="CI112" s="182">
        <f>IF($CD112=1,1.7,IF($CD112=2,1.7,2.4))</f>
        <v>2.4</v>
      </c>
      <c r="CJ112" s="185">
        <f>CE112*$CJ$102-0.05</f>
        <v>1.224</v>
      </c>
      <c r="CK112" s="185">
        <f>CF112*$CK$102-0.05</f>
        <v>1.5682</v>
      </c>
      <c r="CL112" s="185">
        <f>CG112*$CL$102-0.05</f>
        <v>1.91</v>
      </c>
      <c r="CM112" s="185">
        <f>CH112*$CM$102-0.05</f>
        <v>2.0646000000000004</v>
      </c>
      <c r="CN112" s="186">
        <f>CI112*$CN$102-0.05</f>
        <v>2.254</v>
      </c>
      <c r="CO112" s="184">
        <v>1.3</v>
      </c>
      <c r="CP112" s="187">
        <f t="shared" si="11"/>
        <v>291.70959650811716</v>
      </c>
      <c r="CQ112" s="188">
        <f t="shared" si="12"/>
        <v>7700.3341434402982</v>
      </c>
      <c r="CR112" s="189">
        <f t="shared" si="13"/>
        <v>291.70959650811716</v>
      </c>
      <c r="CS112" s="49"/>
      <c r="CT112" s="49"/>
      <c r="CU112" s="49"/>
      <c r="CV112" s="49"/>
      <c r="CW112" s="49"/>
      <c r="CX112" s="49"/>
      <c r="CY112" s="49"/>
      <c r="CZ112" s="49"/>
      <c r="DA112" s="49"/>
      <c r="DB112" s="49"/>
      <c r="DC112" s="49"/>
      <c r="DD112" s="49"/>
      <c r="DE112" s="49"/>
      <c r="DF112" s="49"/>
      <c r="DG112" s="49"/>
      <c r="DH112" s="49"/>
      <c r="DI112" s="49"/>
      <c r="DJ112" s="49"/>
      <c r="DK112" s="49"/>
      <c r="DL112" s="49"/>
      <c r="DM112" s="49"/>
      <c r="DN112" s="49"/>
      <c r="DO112" s="49"/>
      <c r="DP112" s="49"/>
      <c r="DQ112" s="49"/>
      <c r="DR112" s="49"/>
      <c r="DS112" s="49"/>
      <c r="DT112" s="49"/>
      <c r="DU112" s="49"/>
      <c r="DV112" s="49"/>
      <c r="DW112" s="49"/>
      <c r="DX112" s="49"/>
      <c r="DY112" s="49"/>
      <c r="DZ112" s="49"/>
      <c r="EA112" s="49"/>
      <c r="EB112" s="49"/>
      <c r="EC112" s="49"/>
      <c r="ED112" s="49"/>
      <c r="EE112" s="49"/>
      <c r="EF112" s="49"/>
      <c r="EG112" s="49"/>
      <c r="EH112" s="49"/>
      <c r="EI112" s="49"/>
      <c r="EJ112" s="49"/>
      <c r="EK112" s="49"/>
      <c r="EL112" s="49"/>
      <c r="EM112" s="49"/>
      <c r="EN112" s="49"/>
      <c r="EO112" s="49"/>
      <c r="EP112" s="49"/>
      <c r="EQ112" s="49"/>
      <c r="ER112" s="49"/>
      <c r="ES112" s="49"/>
      <c r="ET112" s="49"/>
      <c r="EU112" s="49"/>
      <c r="EV112" s="49"/>
      <c r="EW112" s="49"/>
      <c r="EX112" s="49"/>
      <c r="EY112" s="49"/>
      <c r="EZ112" s="49"/>
      <c r="FA112" s="49"/>
    </row>
    <row r="113" spans="1:157" s="182" customFormat="1" x14ac:dyDescent="0.25">
      <c r="A113" s="113">
        <f>IF(AND('[1]Cockpit Retorno'!$E$67=Sim,Mestre!M113=Mestre!$M$98),0,1)</f>
        <v>1</v>
      </c>
      <c r="B113" s="113">
        <f>IF(AND('[1]Cockpit Retorno'!$E$67=Sim,Mestre!L113=Mestre!$L$48),0,1)</f>
        <v>0</v>
      </c>
      <c r="C113" s="113">
        <f>IF(AND('[1]Cockpit Retorno'!$E$67=Sim,Mestre!M113=Mestre!$M$97),0,1)</f>
        <v>1</v>
      </c>
      <c r="D113" s="148" t="s">
        <v>260</v>
      </c>
      <c r="E113" s="115"/>
      <c r="F113" s="116" t="s">
        <v>107</v>
      </c>
      <c r="G113" s="149"/>
      <c r="H113" s="150" t="s">
        <v>70</v>
      </c>
      <c r="I113" s="151" t="str">
        <f t="shared" si="1"/>
        <v>Serviços</v>
      </c>
      <c r="J113" s="150" t="s">
        <v>12</v>
      </c>
      <c r="K113" s="152" t="s">
        <v>70</v>
      </c>
      <c r="L113" s="153" t="s">
        <v>15</v>
      </c>
      <c r="M113" s="154" t="s">
        <v>12</v>
      </c>
      <c r="N113" s="155" t="s">
        <v>43</v>
      </c>
      <c r="O113" s="155" t="s">
        <v>261</v>
      </c>
      <c r="P113" s="155" t="s">
        <v>43</v>
      </c>
      <c r="Q113" s="155" t="s">
        <v>43</v>
      </c>
      <c r="R113" s="155" t="s">
        <v>43</v>
      </c>
      <c r="S113" s="156" t="s">
        <v>43</v>
      </c>
      <c r="T113" s="156" t="s">
        <v>43</v>
      </c>
      <c r="U113" s="150" t="s">
        <v>43</v>
      </c>
      <c r="V113" s="150" t="s">
        <v>43</v>
      </c>
      <c r="W113" s="150" t="s">
        <v>43</v>
      </c>
      <c r="X113" s="157" t="s">
        <v>265</v>
      </c>
      <c r="Y113" s="150" t="s">
        <v>43</v>
      </c>
      <c r="Z113" s="150" t="s">
        <v>43</v>
      </c>
      <c r="AA113" s="158">
        <v>0</v>
      </c>
      <c r="AB113" s="155" t="s">
        <v>43</v>
      </c>
      <c r="AC113" s="150" t="s">
        <v>43</v>
      </c>
      <c r="AD113" s="155" t="s">
        <v>43</v>
      </c>
      <c r="AE113" s="155"/>
      <c r="AF113" s="150" t="s">
        <v>43</v>
      </c>
      <c r="AG113" s="159">
        <v>1</v>
      </c>
      <c r="AH113" s="160">
        <v>30311.45540947183</v>
      </c>
      <c r="AI113" s="161">
        <v>0</v>
      </c>
      <c r="AJ113" s="161">
        <v>0</v>
      </c>
      <c r="AK113" s="162"/>
      <c r="AL113" s="163"/>
      <c r="AM113" s="164">
        <f>(((IF(L113=$L$101,1,IF(L113=$L$47,1,0))*(AH113*(1-AK113)))*AG113)*(1-AL113))</f>
        <v>30311.45540947183</v>
      </c>
      <c r="AN113" s="165">
        <f>IF(K113=$K$50,AM113,IF(K113=$K$53,AM113,IF(K113=$K$54,AM113,IF(K113=$K$55,AM113,IF(K113=$K$56,AM113,IF(K113=$K$57,AM113,IF(K113=$K$58,AM113,IF(K113=$K$65,AM113,IF(K113=$K$66,AM113,IF(K113=$K$67,AM113,IF(K113=$K$68,AM113,IF(K113=$K$69,AM113,IF(K113=$K$51,AM113,(AM113*(1+AI113)))))))))))))))</f>
        <v>30311.45540947183</v>
      </c>
      <c r="AO113" s="166">
        <v>1.9</v>
      </c>
      <c r="AP113" s="160">
        <f t="shared" si="2"/>
        <v>57591.76527799647</v>
      </c>
      <c r="AQ113" s="167">
        <f t="shared" si="3"/>
        <v>49901.267061474799</v>
      </c>
      <c r="AR113" s="160">
        <f t="shared" si="4"/>
        <v>57591.76527799647</v>
      </c>
      <c r="AS113" s="183">
        <f t="shared" si="5"/>
        <v>1.5861947294918344</v>
      </c>
      <c r="AT113" s="169" t="str">
        <f>K113</f>
        <v>MOD</v>
      </c>
      <c r="AU113" s="169" t="str">
        <f>I113</f>
        <v>Serviços</v>
      </c>
      <c r="AV113" s="170"/>
      <c r="AW113" s="171">
        <f>IF(K113=$K$50,0,IF(K113=$K$53,0,IF(K113=$K$54,0,IF(K113=$K$55,0,IF(K113=$K$56,0,IF(K113=$K$57,0,IF(K113=$K$58,0,IF(K113=$K$65,0,IF(K113=$K$66,0,IF(K113=$K$67,0,IF(K113=$K$68,0,IF(K113=$K$69,0,IF(K113=$K$51,0,1))))))))))))*AM113*AI113)</f>
        <v>0</v>
      </c>
      <c r="AX113" s="172">
        <f>IF(K113=$K$50,0,IF(K113=$K$53,0,IF(K113=$K$54,0,IF(K113=$K$55,0,IF(K113=$K$56,0,IF(K113=$K$57,0,IF(K113=$K$58,0,IF(K113=$K$65,0,IF(K113=$K$66,0,IF(K113=$K$67,0,IF(K113=$K$68,0,IF(K113=$K$69,0,IF(K113=$K$51,0,1))))))))))))*AM113*AJ113*$AX$94)</f>
        <v>0</v>
      </c>
      <c r="AY113" s="172">
        <f>IF(K113=$K$53,0,IF(K113=$K$54,0,IF(K113=$K$55,0,IF(K113=$K$56,0,IF(K113=$K$58,0,IF(K113=$K$50,0,IF(K113=$K$65,0,IF(K113=$K$57,0,IF(K113=$K$51,0,AM113*$AY$102)))))))))</f>
        <v>0</v>
      </c>
      <c r="AZ113" s="172">
        <f>IF(K113=$K$53,0,IF(K113=$K$54,0,IF(K113=$K$55,0,IF(K113=$K$56,0,IF(K113=$K$58,0,IF(K113=$K$50,0,IF(K113=$K$65,0,IF(K113=$K$57,0,IF(K113=$K$51,0,AM113*$AZ$102)))))))))</f>
        <v>0</v>
      </c>
      <c r="BA113" s="172">
        <f t="shared" si="6"/>
        <v>0</v>
      </c>
      <c r="BB113" s="173">
        <f>IF($BA$97=1,AQ113*$BB$102,IF(K113=$K$50,0,IF(K113=$K$53,0,IF(K113=$K$54,0,IF(K113=$K$55,0,IF(K113=$K$56,0,IF(K113=$K$57,0,IF(K113=$K$58,0,IF(K113=$K$65,0,IF(K113=$K$66,0,IF(K113=$K$67,0,IF(K113=$K$68,0,IF(K113=$K$69,0,IF(K113=$K$51,0,1)))))))))))*AQ113*$BB$102)))</f>
        <v>0</v>
      </c>
      <c r="BC113" s="172">
        <f t="shared" si="7"/>
        <v>324.35823589958619</v>
      </c>
      <c r="BD113" s="172">
        <f t="shared" si="8"/>
        <v>1497.038011844244</v>
      </c>
      <c r="BE113" s="172">
        <f>IF($BE$95=I113,$BE$97,IF(I113=$BE$96,$BE$97,1))*($BE$102*AQ113)*$AZ$97</f>
        <v>0</v>
      </c>
      <c r="BF113" s="172">
        <f>IF('[1]Cockpit Retorno'!$C$65=Sim,Mestre!BA113,SUM(BB113:BE113)+(IF(K113=$K$56,AQ113*MOE_IRRF_LR,0)))</f>
        <v>1821.3962477438301</v>
      </c>
      <c r="BG113" s="174">
        <f>IF(AA113&gt;0,0,IF(Z113=$Z$82,AG113*1,(IF(Z113=$Z$81,AG113*1,0))))</f>
        <v>0</v>
      </c>
      <c r="BH113" s="174">
        <f>IF(AA113&gt;0,0,IF(Z113=$Z$83,AG113*1,IF(Z113=$Z$81,AG113*1,0)))</f>
        <v>0</v>
      </c>
      <c r="BI113" s="174">
        <f>IF(AA113&gt;0,0,IF(Z113=$Z$84,AG113*1,IF(Z113=$Z$93,AG113*2,IF(Z113=$Z$100,AG113,IF(Z113=$Z$81,AG113*2,IF(Z113=$Z$80,AG113*1,IF(Z113=$Z$79,AG113*3,IF(Z113=$Z$78,AG113*2,0))))))))</f>
        <v>0</v>
      </c>
      <c r="BJ113" s="174">
        <f>IF(AA113&gt;0,0,IF(Z113=$Z$85,AG113,IF(Z113=$Z$93,AG113,IF(Z113=$Z$100,AG113,IF(Z113=$Z$81,AG113*1,IF(Z113=$Z$80,AG113*2,IF(Z113=$Z$79,AG113*2,IF(Z113=$Z$78,AG113*2,0))))))))</f>
        <v>0</v>
      </c>
      <c r="BK113" s="174">
        <f>IF(AA113&gt;0,0,IF(Z113=$Z$92,AG113,0))</f>
        <v>0</v>
      </c>
      <c r="BL113" s="174">
        <f>IF(AA113&gt;0,0,IF(Z113=$Z$91,AG113,0))</f>
        <v>0</v>
      </c>
      <c r="BM113" s="174">
        <f>IF(AA113&gt;0,0,IF(Z113=$Z$86,AG113,0))</f>
        <v>0</v>
      </c>
      <c r="BN113" s="174">
        <f>IF(AA113&gt;0,0,IF(Z113=$Z$87,AG113,0))</f>
        <v>0</v>
      </c>
      <c r="BO113" s="174">
        <f>IF(AA113&gt;0,0,IF(Z113=$Z$88,AG113,0))</f>
        <v>0</v>
      </c>
      <c r="BP113" s="174">
        <f>IF(AA113&gt;0,0,IF(Z113=$Z$89,AG113,0))</f>
        <v>0</v>
      </c>
      <c r="BQ113" s="174">
        <f>IF(AA113&gt;0,0,IF(Z113=$Z$90,AG113,0))</f>
        <v>0</v>
      </c>
      <c r="BR113" s="174">
        <f>IF(Z113=$Z$82,AA113*AG113,0)</f>
        <v>0</v>
      </c>
      <c r="BS113" s="174">
        <f>IF(Z113=$Z$83,AA113*AG113,0)</f>
        <v>0</v>
      </c>
      <c r="BT113" s="174">
        <f>IF(AA113&lt;1,0,IF(Z113=$Z$84,AA113*AG113,IF(Z113=$Z$93,"ERRO",IF(Z113=$Z$100,"ERRO",0))))</f>
        <v>0</v>
      </c>
      <c r="BU113" s="174">
        <f>IF(AA113&lt;1,0,IF(Z113=$Z$85,AA113*AG113,IF(Z113=$Z$93,"ERRO",IF(Z113=$Z$100,"ERRO",0))))</f>
        <v>0</v>
      </c>
      <c r="BV113" s="174">
        <f>IF(Z113=$Z$92,AA113*AG113,0)</f>
        <v>0</v>
      </c>
      <c r="BW113" s="174">
        <f>IF(Z113=$Z$91,AA113*AG113,0)</f>
        <v>0</v>
      </c>
      <c r="BX113" s="174">
        <f>IF(Z113=$Z$86,AA113*AG113,0)</f>
        <v>0</v>
      </c>
      <c r="BY113" s="174">
        <f>IF(Z113=$Z$87,AA113*AG113,0)</f>
        <v>0</v>
      </c>
      <c r="BZ113" s="174">
        <f>IF(Z113=$Z$88,AA113*AG113,0)</f>
        <v>0</v>
      </c>
      <c r="CA113" s="174">
        <f>IF(Z113=$Z$89,AA113*AG113,0)</f>
        <v>0</v>
      </c>
      <c r="CB113" s="174">
        <f>IF(Z113=$Z$90,AA113*AG113,0)</f>
        <v>0</v>
      </c>
      <c r="CC113" s="175">
        <f>IFERROR(IF(L113=$L$49,AG113*AH113*(1+AI113)*(1-AK113)*(1-AL113),0),0)</f>
        <v>0</v>
      </c>
      <c r="CD113" s="182">
        <f>IF(I113=$CD$97,1,IF(I113=$CD$100,2,IF(K113=$K$66,1,IF(K113=$K$69,1,3))))</f>
        <v>3</v>
      </c>
      <c r="CE113" s="182">
        <f>IF($CD113=1,1.07,IF($CD113=2,1.07,1.3))</f>
        <v>1.3</v>
      </c>
      <c r="CF113" s="184">
        <f t="shared" si="9"/>
        <v>1.74</v>
      </c>
      <c r="CG113" s="182">
        <f>IF($CD113=1,1.42,IF($CD113=2,1.47,2))</f>
        <v>2</v>
      </c>
      <c r="CH113" s="184">
        <f t="shared" si="10"/>
        <v>2.1800000000000002</v>
      </c>
      <c r="CI113" s="182">
        <f>IF($CD113=1,1.7,IF($CD113=2,1.7,2.4))</f>
        <v>2.4</v>
      </c>
      <c r="CJ113" s="185">
        <f>CE113*$CJ$102-0.05</f>
        <v>1.224</v>
      </c>
      <c r="CK113" s="185">
        <f>CF113*$CK$102-0.05</f>
        <v>1.5682</v>
      </c>
      <c r="CL113" s="185">
        <f>CG113*$CL$102-0.05</f>
        <v>1.91</v>
      </c>
      <c r="CM113" s="185">
        <f>CH113*$CM$102-0.05</f>
        <v>2.0646000000000004</v>
      </c>
      <c r="CN113" s="186">
        <f>CI113*$CN$102-0.05</f>
        <v>2.254</v>
      </c>
      <c r="CO113" s="184">
        <v>1.3</v>
      </c>
      <c r="CP113" s="187">
        <f t="shared" si="11"/>
        <v>1821.3962477438301</v>
      </c>
      <c r="CQ113" s="188">
        <f t="shared" si="12"/>
        <v>48079.870813730966</v>
      </c>
      <c r="CR113" s="189">
        <f t="shared" si="13"/>
        <v>1821.3962477438301</v>
      </c>
      <c r="CS113" s="49"/>
      <c r="CT113" s="49"/>
      <c r="CU113" s="49"/>
      <c r="CV113" s="49"/>
      <c r="CW113" s="49"/>
      <c r="CX113" s="49"/>
      <c r="CY113" s="49"/>
      <c r="CZ113" s="49"/>
      <c r="DA113" s="49"/>
      <c r="DB113" s="49"/>
      <c r="DC113" s="49"/>
      <c r="DD113" s="49"/>
      <c r="DE113" s="49"/>
      <c r="DF113" s="49"/>
      <c r="DG113" s="49"/>
      <c r="DH113" s="49"/>
      <c r="DI113" s="49"/>
      <c r="DJ113" s="49"/>
      <c r="DK113" s="49"/>
      <c r="DL113" s="49"/>
      <c r="DM113" s="49"/>
      <c r="DN113" s="49"/>
      <c r="DO113" s="49"/>
      <c r="DP113" s="49"/>
      <c r="DQ113" s="49"/>
      <c r="DR113" s="49"/>
      <c r="DS113" s="49"/>
      <c r="DT113" s="49"/>
      <c r="DU113" s="49"/>
      <c r="DV113" s="49"/>
      <c r="DW113" s="49"/>
      <c r="DX113" s="49"/>
      <c r="DY113" s="49"/>
      <c r="DZ113" s="49"/>
      <c r="EA113" s="49"/>
      <c r="EB113" s="49"/>
      <c r="EC113" s="49"/>
      <c r="ED113" s="49"/>
      <c r="EE113" s="49"/>
      <c r="EF113" s="49"/>
      <c r="EG113" s="49"/>
      <c r="EH113" s="49"/>
      <c r="EI113" s="49"/>
      <c r="EJ113" s="49"/>
      <c r="EK113" s="49"/>
      <c r="EL113" s="49"/>
      <c r="EM113" s="49"/>
      <c r="EN113" s="49"/>
      <c r="EO113" s="49"/>
      <c r="EP113" s="49"/>
      <c r="EQ113" s="49"/>
      <c r="ER113" s="49"/>
      <c r="ES113" s="49"/>
      <c r="ET113" s="49"/>
      <c r="EU113" s="49"/>
      <c r="EV113" s="49"/>
      <c r="EW113" s="49"/>
      <c r="EX113" s="49"/>
      <c r="EY113" s="49"/>
      <c r="EZ113" s="49"/>
      <c r="FA113" s="49"/>
    </row>
    <row r="114" spans="1:157" s="182" customFormat="1" x14ac:dyDescent="0.25">
      <c r="A114" s="113">
        <f>IF(AND('[1]Cockpit Retorno'!$E$67=Sim,Mestre!M114=Mestre!$M$98),0,1)</f>
        <v>1</v>
      </c>
      <c r="B114" s="113">
        <f>IF(AND('[1]Cockpit Retorno'!$E$67=Sim,Mestre!L114=Mestre!$L$48),0,1)</f>
        <v>0</v>
      </c>
      <c r="C114" s="113">
        <f>IF(AND('[1]Cockpit Retorno'!$E$67=Sim,Mestre!M114=Mestre!$M$97),0,1)</f>
        <v>1</v>
      </c>
      <c r="D114" s="148" t="s">
        <v>260</v>
      </c>
      <c r="E114" s="115"/>
      <c r="F114" s="116" t="s">
        <v>107</v>
      </c>
      <c r="G114" s="149"/>
      <c r="H114" s="150" t="s">
        <v>70</v>
      </c>
      <c r="I114" s="151" t="str">
        <f t="shared" si="1"/>
        <v>Serviços</v>
      </c>
      <c r="J114" s="150" t="s">
        <v>12</v>
      </c>
      <c r="K114" s="152" t="s">
        <v>70</v>
      </c>
      <c r="L114" s="153" t="s">
        <v>15</v>
      </c>
      <c r="M114" s="154" t="s">
        <v>12</v>
      </c>
      <c r="N114" s="155" t="s">
        <v>43</v>
      </c>
      <c r="O114" s="155" t="s">
        <v>261</v>
      </c>
      <c r="P114" s="155" t="s">
        <v>43</v>
      </c>
      <c r="Q114" s="155" t="s">
        <v>43</v>
      </c>
      <c r="R114" s="155" t="s">
        <v>43</v>
      </c>
      <c r="S114" s="156" t="s">
        <v>43</v>
      </c>
      <c r="T114" s="156" t="s">
        <v>43</v>
      </c>
      <c r="U114" s="150" t="s">
        <v>43</v>
      </c>
      <c r="V114" s="150" t="s">
        <v>43</v>
      </c>
      <c r="W114" s="150" t="s">
        <v>43</v>
      </c>
      <c r="X114" s="157" t="s">
        <v>266</v>
      </c>
      <c r="Y114" s="150" t="s">
        <v>43</v>
      </c>
      <c r="Z114" s="150" t="s">
        <v>43</v>
      </c>
      <c r="AA114" s="158">
        <v>0</v>
      </c>
      <c r="AB114" s="155" t="s">
        <v>43</v>
      </c>
      <c r="AC114" s="150" t="s">
        <v>43</v>
      </c>
      <c r="AD114" s="155" t="s">
        <v>43</v>
      </c>
      <c r="AE114" s="155"/>
      <c r="AF114" s="150" t="s">
        <v>43</v>
      </c>
      <c r="AG114" s="159">
        <v>1</v>
      </c>
      <c r="AH114" s="160">
        <v>203503.13621111182</v>
      </c>
      <c r="AI114" s="161">
        <v>0</v>
      </c>
      <c r="AJ114" s="161">
        <v>0</v>
      </c>
      <c r="AK114" s="162"/>
      <c r="AL114" s="163"/>
      <c r="AM114" s="164">
        <f>(((IF(L114=$L$101,1,IF(L114=$L$47,1,0))*(AH114*(1-AK114)))*AG114)*(1-AL114))</f>
        <v>203503.13621111182</v>
      </c>
      <c r="AN114" s="165">
        <f>IF(K114=$K$50,AM114,IF(K114=$K$53,AM114,IF(K114=$K$54,AM114,IF(K114=$K$55,AM114,IF(K114=$K$56,AM114,IF(K114=$K$57,AM114,IF(K114=$K$58,AM114,IF(K114=$K$65,AM114,IF(K114=$K$66,AM114,IF(K114=$K$67,AM114,IF(K114=$K$68,AM114,IF(K114=$K$69,AM114,IF(K114=$K$51,AM114,(AM114*(1+AI114)))))))))))))))</f>
        <v>203503.13621111182</v>
      </c>
      <c r="AO114" s="166">
        <v>1.9</v>
      </c>
      <c r="AP114" s="160">
        <f t="shared" si="2"/>
        <v>386655.95880111243</v>
      </c>
      <c r="AQ114" s="167">
        <f t="shared" si="3"/>
        <v>335023.97726323246</v>
      </c>
      <c r="AR114" s="160">
        <f t="shared" si="4"/>
        <v>386655.95880111243</v>
      </c>
      <c r="AS114" s="183">
        <f t="shared" si="5"/>
        <v>1.5861947294918346</v>
      </c>
      <c r="AT114" s="169" t="str">
        <f>K114</f>
        <v>MOD</v>
      </c>
      <c r="AU114" s="169" t="str">
        <f>I114</f>
        <v>Serviços</v>
      </c>
      <c r="AV114" s="170"/>
      <c r="AW114" s="171">
        <f>IF(K114=$K$50,0,IF(K114=$K$53,0,IF(K114=$K$54,0,IF(K114=$K$55,0,IF(K114=$K$56,0,IF(K114=$K$57,0,IF(K114=$K$58,0,IF(K114=$K$65,0,IF(K114=$K$66,0,IF(K114=$K$67,0,IF(K114=$K$68,0,IF(K114=$K$69,0,IF(K114=$K$51,0,1))))))))))))*AM114*AI114)</f>
        <v>0</v>
      </c>
      <c r="AX114" s="172">
        <f>IF(K114=$K$50,0,IF(K114=$K$53,0,IF(K114=$K$54,0,IF(K114=$K$55,0,IF(K114=$K$56,0,IF(K114=$K$57,0,IF(K114=$K$58,0,IF(K114=$K$65,0,IF(K114=$K$66,0,IF(K114=$K$67,0,IF(K114=$K$68,0,IF(K114=$K$69,0,IF(K114=$K$51,0,1))))))))))))*AM114*AJ114*$AX$94)</f>
        <v>0</v>
      </c>
      <c r="AY114" s="172">
        <f>IF(K114=$K$53,0,IF(K114=$K$54,0,IF(K114=$K$55,0,IF(K114=$K$56,0,IF(K114=$K$58,0,IF(K114=$K$50,0,IF(K114=$K$65,0,IF(K114=$K$57,0,IF(K114=$K$51,0,AM114*$AY$102)))))))))</f>
        <v>0</v>
      </c>
      <c r="AZ114" s="172">
        <f>IF(K114=$K$53,0,IF(K114=$K$54,0,IF(K114=$K$55,0,IF(K114=$K$56,0,IF(K114=$K$58,0,IF(K114=$K$50,0,IF(K114=$K$65,0,IF(K114=$K$57,0,IF(K114=$K$51,0,AM114*$AZ$102)))))))))</f>
        <v>0</v>
      </c>
      <c r="BA114" s="172">
        <f t="shared" si="6"/>
        <v>0</v>
      </c>
      <c r="BB114" s="173">
        <f>IF($BA$97=1,AQ114*$BB$102,IF(K114=$K$50,0,IF(K114=$K$53,0,IF(K114=$K$54,0,IF(K114=$K$55,0,IF(K114=$K$56,0,IF(K114=$K$57,0,IF(K114=$K$58,0,IF(K114=$K$65,0,IF(K114=$K$66,0,IF(K114=$K$67,0,IF(K114=$K$68,0,IF(K114=$K$69,0,IF(K114=$K$51,0,1)))))))))))*AQ114*$BB$102)))</f>
        <v>0</v>
      </c>
      <c r="BC114" s="172">
        <f t="shared" si="7"/>
        <v>2177.6558522110113</v>
      </c>
      <c r="BD114" s="172">
        <f t="shared" si="8"/>
        <v>10050.719317896974</v>
      </c>
      <c r="BE114" s="172">
        <f>IF($BE$95=I114,$BE$97,IF(I114=$BE$96,$BE$97,1))*($BE$102*AQ114)*$AZ$97</f>
        <v>0</v>
      </c>
      <c r="BF114" s="172">
        <f>IF('[1]Cockpit Retorno'!$C$65=Sim,Mestre!BA114,SUM(BB114:BE114)+(IF(K114=$K$56,AQ114*MOE_IRRF_LR,0)))</f>
        <v>12228.375170107985</v>
      </c>
      <c r="BG114" s="174">
        <f>IF(AA114&gt;0,0,IF(Z114=$Z$82,AG114*1,(IF(Z114=$Z$81,AG114*1,0))))</f>
        <v>0</v>
      </c>
      <c r="BH114" s="174">
        <f>IF(AA114&gt;0,0,IF(Z114=$Z$83,AG114*1,IF(Z114=$Z$81,AG114*1,0)))</f>
        <v>0</v>
      </c>
      <c r="BI114" s="174">
        <f>IF(AA114&gt;0,0,IF(Z114=$Z$84,AG114*1,IF(Z114=$Z$93,AG114*2,IF(Z114=$Z$100,AG114,IF(Z114=$Z$81,AG114*2,IF(Z114=$Z$80,AG114*1,IF(Z114=$Z$79,AG114*3,IF(Z114=$Z$78,AG114*2,0))))))))</f>
        <v>0</v>
      </c>
      <c r="BJ114" s="174">
        <f>IF(AA114&gt;0,0,IF(Z114=$Z$85,AG114,IF(Z114=$Z$93,AG114,IF(Z114=$Z$100,AG114,IF(Z114=$Z$81,AG114*1,IF(Z114=$Z$80,AG114*2,IF(Z114=$Z$79,AG114*2,IF(Z114=$Z$78,AG114*2,0))))))))</f>
        <v>0</v>
      </c>
      <c r="BK114" s="174">
        <f>IF(AA114&gt;0,0,IF(Z114=$Z$92,AG114,0))</f>
        <v>0</v>
      </c>
      <c r="BL114" s="174">
        <f>IF(AA114&gt;0,0,IF(Z114=$Z$91,AG114,0))</f>
        <v>0</v>
      </c>
      <c r="BM114" s="174">
        <f>IF(AA114&gt;0,0,IF(Z114=$Z$86,AG114,0))</f>
        <v>0</v>
      </c>
      <c r="BN114" s="174">
        <f>IF(AA114&gt;0,0,IF(Z114=$Z$87,AG114,0))</f>
        <v>0</v>
      </c>
      <c r="BO114" s="174">
        <f>IF(AA114&gt;0,0,IF(Z114=$Z$88,AG114,0))</f>
        <v>0</v>
      </c>
      <c r="BP114" s="174">
        <f>IF(AA114&gt;0,0,IF(Z114=$Z$89,AG114,0))</f>
        <v>0</v>
      </c>
      <c r="BQ114" s="174">
        <f>IF(AA114&gt;0,0,IF(Z114=$Z$90,AG114,0))</f>
        <v>0</v>
      </c>
      <c r="BR114" s="174">
        <f>IF(Z114=$Z$82,AA114*AG114,0)</f>
        <v>0</v>
      </c>
      <c r="BS114" s="174">
        <f>IF(Z114=$Z$83,AA114*AG114,0)</f>
        <v>0</v>
      </c>
      <c r="BT114" s="174">
        <f>IF(AA114&lt;1,0,IF(Z114=$Z$84,AA114*AG114,IF(Z114=$Z$93,"ERRO",IF(Z114=$Z$100,"ERRO",0))))</f>
        <v>0</v>
      </c>
      <c r="BU114" s="174">
        <f>IF(AA114&lt;1,0,IF(Z114=$Z$85,AA114*AG114,IF(Z114=$Z$93,"ERRO",IF(Z114=$Z$100,"ERRO",0))))</f>
        <v>0</v>
      </c>
      <c r="BV114" s="174">
        <f>IF(Z114=$Z$92,AA114*AG114,0)</f>
        <v>0</v>
      </c>
      <c r="BW114" s="174">
        <f>IF(Z114=$Z$91,AA114*AG114,0)</f>
        <v>0</v>
      </c>
      <c r="BX114" s="174">
        <f>IF(Z114=$Z$86,AA114*AG114,0)</f>
        <v>0</v>
      </c>
      <c r="BY114" s="174">
        <f>IF(Z114=$Z$87,AA114*AG114,0)</f>
        <v>0</v>
      </c>
      <c r="BZ114" s="174">
        <f>IF(Z114=$Z$88,AA114*AG114,0)</f>
        <v>0</v>
      </c>
      <c r="CA114" s="174">
        <f>IF(Z114=$Z$89,AA114*AG114,0)</f>
        <v>0</v>
      </c>
      <c r="CB114" s="174">
        <f>IF(Z114=$Z$90,AA114*AG114,0)</f>
        <v>0</v>
      </c>
      <c r="CC114" s="175">
        <f>IFERROR(IF(L114=$L$49,AG114*AH114*(1+AI114)*(1-AK114)*(1-AL114),0),0)</f>
        <v>0</v>
      </c>
      <c r="CD114" s="182">
        <f>IF(I114=$CD$97,1,IF(I114=$CD$100,2,IF(K114=$K$66,1,IF(K114=$K$69,1,3))))</f>
        <v>3</v>
      </c>
      <c r="CE114" s="182">
        <f>IF($CD114=1,1.07,IF($CD114=2,1.07,1.3))</f>
        <v>1.3</v>
      </c>
      <c r="CF114" s="184">
        <f t="shared" si="9"/>
        <v>1.74</v>
      </c>
      <c r="CG114" s="182">
        <f>IF($CD114=1,1.42,IF($CD114=2,1.47,2))</f>
        <v>2</v>
      </c>
      <c r="CH114" s="184">
        <f t="shared" si="10"/>
        <v>2.1800000000000002</v>
      </c>
      <c r="CI114" s="182">
        <f>IF($CD114=1,1.7,IF($CD114=2,1.7,2.4))</f>
        <v>2.4</v>
      </c>
      <c r="CJ114" s="185">
        <f>CE114*$CJ$102-0.05</f>
        <v>1.224</v>
      </c>
      <c r="CK114" s="185">
        <f>CF114*$CK$102-0.05</f>
        <v>1.5682</v>
      </c>
      <c r="CL114" s="185">
        <f>CG114*$CL$102-0.05</f>
        <v>1.91</v>
      </c>
      <c r="CM114" s="185">
        <f>CH114*$CM$102-0.05</f>
        <v>2.0646000000000004</v>
      </c>
      <c r="CN114" s="186">
        <f>CI114*$CN$102-0.05</f>
        <v>2.254</v>
      </c>
      <c r="CO114" s="184">
        <v>1.3</v>
      </c>
      <c r="CP114" s="187">
        <f t="shared" si="11"/>
        <v>12228.375170107985</v>
      </c>
      <c r="CQ114" s="188">
        <f t="shared" si="12"/>
        <v>322795.60209312447</v>
      </c>
      <c r="CR114" s="189">
        <f t="shared" si="13"/>
        <v>12228.375170107985</v>
      </c>
      <c r="CS114" s="49"/>
      <c r="CT114" s="49"/>
      <c r="CU114" s="49"/>
      <c r="CV114" s="49"/>
      <c r="CW114" s="49"/>
      <c r="CX114" s="49"/>
      <c r="CY114" s="49"/>
      <c r="CZ114" s="49"/>
      <c r="DA114" s="49"/>
      <c r="DB114" s="49"/>
      <c r="DC114" s="49"/>
      <c r="DD114" s="49"/>
      <c r="DE114" s="49"/>
      <c r="DF114" s="49"/>
      <c r="DG114" s="49"/>
      <c r="DH114" s="49"/>
      <c r="DI114" s="49"/>
      <c r="DJ114" s="49"/>
      <c r="DK114" s="49"/>
      <c r="DL114" s="49"/>
      <c r="DM114" s="49"/>
      <c r="DN114" s="49"/>
      <c r="DO114" s="49"/>
      <c r="DP114" s="49"/>
      <c r="DQ114" s="49"/>
      <c r="DR114" s="49"/>
      <c r="DS114" s="49"/>
      <c r="DT114" s="49"/>
      <c r="DU114" s="49"/>
      <c r="DV114" s="49"/>
      <c r="DW114" s="49"/>
      <c r="DX114" s="49"/>
      <c r="DY114" s="49"/>
      <c r="DZ114" s="49"/>
      <c r="EA114" s="49"/>
      <c r="EB114" s="49"/>
      <c r="EC114" s="49"/>
      <c r="ED114" s="49"/>
      <c r="EE114" s="49"/>
      <c r="EF114" s="49"/>
      <c r="EG114" s="49"/>
      <c r="EH114" s="49"/>
      <c r="EI114" s="49"/>
      <c r="EJ114" s="49"/>
      <c r="EK114" s="49"/>
      <c r="EL114" s="49"/>
      <c r="EM114" s="49"/>
      <c r="EN114" s="49"/>
      <c r="EO114" s="49"/>
      <c r="EP114" s="49"/>
      <c r="EQ114" s="49"/>
      <c r="ER114" s="49"/>
      <c r="ES114" s="49"/>
      <c r="ET114" s="49"/>
      <c r="EU114" s="49"/>
      <c r="EV114" s="49"/>
      <c r="EW114" s="49"/>
      <c r="EX114" s="49"/>
      <c r="EY114" s="49"/>
      <c r="EZ114" s="49"/>
      <c r="FA114" s="49"/>
    </row>
    <row r="115" spans="1:157" s="113" customFormat="1" x14ac:dyDescent="0.25">
      <c r="A115" s="113">
        <f>IF(AND('[1]Cockpit Retorno'!$E$67=Sim,Mestre!M115=Mestre!$M$98),0,1)</f>
        <v>1</v>
      </c>
      <c r="B115" s="113">
        <f>IF(AND('[1]Cockpit Retorno'!$E$67=Sim,Mestre!L115=Mestre!$L$48),0,1)</f>
        <v>0</v>
      </c>
      <c r="C115" s="113">
        <f>IF(AND('[1]Cockpit Retorno'!$E$67=Sim,Mestre!M115=Mestre!$M$97),0,1)</f>
        <v>1</v>
      </c>
      <c r="D115" s="114" t="s">
        <v>259</v>
      </c>
      <c r="E115" s="115"/>
      <c r="F115" s="116" t="s">
        <v>107</v>
      </c>
      <c r="G115" s="149"/>
      <c r="H115" s="153" t="s">
        <v>5</v>
      </c>
      <c r="I115" s="151" t="str">
        <f t="shared" si="1"/>
        <v>Despesas</v>
      </c>
      <c r="J115" s="150" t="s">
        <v>12</v>
      </c>
      <c r="K115" s="152" t="s">
        <v>34</v>
      </c>
      <c r="L115" s="153" t="s">
        <v>15</v>
      </c>
      <c r="M115" s="154" t="s">
        <v>12</v>
      </c>
      <c r="N115" s="155" t="s">
        <v>43</v>
      </c>
      <c r="O115" s="155" t="s">
        <v>261</v>
      </c>
      <c r="P115" s="155" t="s">
        <v>43</v>
      </c>
      <c r="Q115" s="155" t="s">
        <v>43</v>
      </c>
      <c r="R115" s="155" t="s">
        <v>43</v>
      </c>
      <c r="S115" s="156" t="s">
        <v>43</v>
      </c>
      <c r="T115" s="156" t="s">
        <v>43</v>
      </c>
      <c r="U115" s="150" t="s">
        <v>43</v>
      </c>
      <c r="V115" s="150" t="s">
        <v>43</v>
      </c>
      <c r="W115" s="150" t="s">
        <v>43</v>
      </c>
      <c r="X115" s="157" t="s">
        <v>267</v>
      </c>
      <c r="Y115" s="150" t="s">
        <v>43</v>
      </c>
      <c r="Z115" s="150" t="s">
        <v>43</v>
      </c>
      <c r="AA115" s="158">
        <v>0</v>
      </c>
      <c r="AB115" s="155" t="s">
        <v>43</v>
      </c>
      <c r="AC115" s="150" t="s">
        <v>43</v>
      </c>
      <c r="AD115" s="155" t="s">
        <v>43</v>
      </c>
      <c r="AE115" s="155"/>
      <c r="AF115" s="150" t="s">
        <v>43</v>
      </c>
      <c r="AG115" s="159">
        <v>1</v>
      </c>
      <c r="AH115" s="160">
        <v>1320907.2488809181</v>
      </c>
      <c r="AI115" s="161">
        <v>0</v>
      </c>
      <c r="AJ115" s="161">
        <v>0</v>
      </c>
      <c r="AK115" s="162"/>
      <c r="AL115" s="163"/>
      <c r="AM115" s="164">
        <f>(((IF(L115=$L$101,1,IF(L115=$L$47,1,0))*(AH115*(1-AK115)))*AG115)*(1-AL115))</f>
        <v>1320907.2488809181</v>
      </c>
      <c r="AN115" s="165">
        <f>IF(K115=$K$50,AM115,IF(K115=$K$53,AM115,IF(K115=$K$54,AM115,IF(K115=$K$55,AM115,IF(K115=$K$56,AM115,IF(K115=$K$57,AM115,IF(K115=$K$58,AM115,IF(K115=$K$65,AM115,IF(K115=$K$66,AM115,IF(K115=$K$67,AM115,IF(K115=$K$68,AM115,IF(K115=$K$69,AM115,IF(K115=$K$51,AM115,(AM115*(1+AI115)))))))))))))))</f>
        <v>1320907.2488809181</v>
      </c>
      <c r="AO115" s="132">
        <v>1.6</v>
      </c>
      <c r="AP115" s="160">
        <f t="shared" si="2"/>
        <v>2113451.5982094691</v>
      </c>
      <c r="AQ115" s="167">
        <f t="shared" si="3"/>
        <v>1831232.5054575994</v>
      </c>
      <c r="AR115" s="160">
        <f t="shared" si="4"/>
        <v>2113451.5982094691</v>
      </c>
      <c r="AS115" s="168">
        <f t="shared" si="5"/>
        <v>1.3357429300983872</v>
      </c>
      <c r="AT115" s="169" t="str">
        <f>K115</f>
        <v>LOG_M</v>
      </c>
      <c r="AU115" s="169" t="str">
        <f>I115</f>
        <v>Despesas</v>
      </c>
      <c r="AV115" s="170"/>
      <c r="AW115" s="171">
        <f>IF(K115=$K$50,0,IF(K115=$K$53,0,IF(K115=$K$54,0,IF(K115=$K$55,0,IF(K115=$K$56,0,IF(K115=$K$57,0,IF(K115=$K$58,0,IF(K115=$K$65,0,IF(K115=$K$66,0,IF(K115=$K$67,0,IF(K115=$K$68,0,IF(K115=$K$69,0,IF(K115=$K$51,0,1))))))))))))*AM115*AI115)</f>
        <v>0</v>
      </c>
      <c r="AX115" s="172">
        <f>IF(K115=$K$50,0,IF(K115=$K$53,0,IF(K115=$K$54,0,IF(K115=$K$55,0,IF(K115=$K$56,0,IF(K115=$K$57,0,IF(K115=$K$58,0,IF(K115=$K$65,0,IF(K115=$K$66,0,IF(K115=$K$67,0,IF(K115=$K$68,0,IF(K115=$K$69,0,IF(K115=$K$51,0,1))))))))))))*AM115*AJ115*$AX$94)</f>
        <v>0</v>
      </c>
      <c r="AY115" s="172">
        <f>IF(K115=$K$53,0,IF(K115=$K$54,0,IF(K115=$K$55,0,IF(K115=$K$56,0,IF(K115=$K$58,0,IF(K115=$K$50,0,IF(K115=$K$65,0,IF(K115=$K$57,0,IF(K115=$K$51,0,AM115*$AY$102)))))))))</f>
        <v>0</v>
      </c>
      <c r="AZ115" s="172">
        <f>IF(K115=$K$53,0,IF(K115=$K$54,0,IF(K115=$K$55,0,IF(K115=$K$56,0,IF(K115=$K$58,0,IF(K115=$K$50,0,IF(K115=$K$65,0,IF(K115=$K$57,0,IF(K115=$K$51,0,AM115*$AZ$102)))))))))</f>
        <v>0</v>
      </c>
      <c r="BA115" s="172">
        <f t="shared" si="6"/>
        <v>0</v>
      </c>
      <c r="BB115" s="173">
        <f>IF($BA$97=1,AQ115*$BB$102,IF(K115=$K$50,0,IF(K115=$K$53,0,IF(K115=$K$54,0,IF(K115=$K$55,0,IF(K115=$K$56,0,IF(K115=$K$57,0,IF(K115=$K$58,0,IF(K115=$K$65,0,IF(K115=$K$66,0,IF(K115=$K$67,0,IF(K115=$K$68,0,IF(K115=$K$69,0,IF(K115=$K$51,0,1)))))))))))*AQ115*$BB$102)))</f>
        <v>0</v>
      </c>
      <c r="BC115" s="172">
        <f t="shared" si="7"/>
        <v>11903.011285474397</v>
      </c>
      <c r="BD115" s="172">
        <f t="shared" si="8"/>
        <v>54936.975163727977</v>
      </c>
      <c r="BE115" s="172">
        <f>IF($BE$95=I115,$BE$97,IF(I115=$BE$96,$BE$97,1))*($BE$102*AQ115)*$AZ$97</f>
        <v>0</v>
      </c>
      <c r="BF115" s="172">
        <f>IF('[1]Cockpit Retorno'!$C$65=Sim,Mestre!BA115,SUM(BB115:BE115)+(IF(K115=$K$56,AQ115*MOE_IRRF_LR,0)))</f>
        <v>66839.986449202377</v>
      </c>
      <c r="BG115" s="174">
        <f>IF(AA115&gt;0,0,IF(Z115=$Z$82,AG115*1,(IF(Z115=$Z$81,AG115*1,0))))</f>
        <v>0</v>
      </c>
      <c r="BH115" s="174">
        <f>IF(AA115&gt;0,0,IF(Z115=$Z$83,AG115*1,IF(Z115=$Z$81,AG115*1,0)))</f>
        <v>0</v>
      </c>
      <c r="BI115" s="174">
        <f>IF(AA115&gt;0,0,IF(Z115=$Z$84,AG115*1,IF(Z115=$Z$93,AG115*2,IF(Z115=$Z$100,AG115,IF(Z115=$Z$81,AG115*2,IF(Z115=$Z$80,AG115*1,IF(Z115=$Z$79,AG115*3,IF(Z115=$Z$78,AG115*2,0))))))))</f>
        <v>0</v>
      </c>
      <c r="BJ115" s="174">
        <f>IF(AA115&gt;0,0,IF(Z115=$Z$85,AG115,IF(Z115=$Z$93,AG115,IF(Z115=$Z$100,AG115,IF(Z115=$Z$81,AG115*1,IF(Z115=$Z$80,AG115*2,IF(Z115=$Z$79,AG115*2,IF(Z115=$Z$78,AG115*2,0))))))))</f>
        <v>0</v>
      </c>
      <c r="BK115" s="174">
        <f>IF(AA115&gt;0,0,IF(Z115=$Z$92,AG115,0))</f>
        <v>0</v>
      </c>
      <c r="BL115" s="174">
        <f>IF(AA115&gt;0,0,IF(Z115=$Z$91,AG115,0))</f>
        <v>0</v>
      </c>
      <c r="BM115" s="174">
        <f>IF(AA115&gt;0,0,IF(Z115=$Z$86,AG115,0))</f>
        <v>0</v>
      </c>
      <c r="BN115" s="174">
        <f>IF(AA115&gt;0,0,IF(Z115=$Z$87,AG115,0))</f>
        <v>0</v>
      </c>
      <c r="BO115" s="174">
        <f>IF(AA115&gt;0,0,IF(Z115=$Z$88,AG115,0))</f>
        <v>0</v>
      </c>
      <c r="BP115" s="174">
        <f>IF(AA115&gt;0,0,IF(Z115=$Z$89,AG115,0))</f>
        <v>0</v>
      </c>
      <c r="BQ115" s="174">
        <f>IF(AA115&gt;0,0,IF(Z115=$Z$90,AG115,0))</f>
        <v>0</v>
      </c>
      <c r="BR115" s="174">
        <f>IF(Z115=$Z$82,AA115*AG115,0)</f>
        <v>0</v>
      </c>
      <c r="BS115" s="174">
        <f>IF(Z115=$Z$83,AA115*AG115,0)</f>
        <v>0</v>
      </c>
      <c r="BT115" s="174">
        <f>IF(AA115&lt;1,0,IF(Z115=$Z$84,AA115*AG115,IF(Z115=$Z$93,"ERRO",IF(Z115=$Z$100,"ERRO",0))))</f>
        <v>0</v>
      </c>
      <c r="BU115" s="174">
        <f>IF(AA115&lt;1,0,IF(Z115=$Z$85,AA115*AG115,IF(Z115=$Z$93,"ERRO",IF(Z115=$Z$100,"ERRO",0))))</f>
        <v>0</v>
      </c>
      <c r="BV115" s="174">
        <f>IF(Z115=$Z$92,AA115*AG115,0)</f>
        <v>0</v>
      </c>
      <c r="BW115" s="174">
        <f>IF(Z115=$Z$91,AA115*AG115,0)</f>
        <v>0</v>
      </c>
      <c r="BX115" s="174">
        <f>IF(Z115=$Z$86,AA115*AG115,0)</f>
        <v>0</v>
      </c>
      <c r="BY115" s="174">
        <f>IF(Z115=$Z$87,AA115*AG115,0)</f>
        <v>0</v>
      </c>
      <c r="BZ115" s="174">
        <f>IF(Z115=$Z$88,AA115*AG115,0)</f>
        <v>0</v>
      </c>
      <c r="CA115" s="174">
        <f>IF(Z115=$Z$89,AA115*AG115,0)</f>
        <v>0</v>
      </c>
      <c r="CB115" s="174">
        <f>IF(Z115=$Z$90,AA115*AG115,0)</f>
        <v>0</v>
      </c>
      <c r="CC115" s="175">
        <f>IFERROR(IF(L115=$L$49,AG115*AH115*(1+AI115)*(1-AK115)*(1-AL115),0),0)</f>
        <v>0</v>
      </c>
      <c r="CD115" s="113">
        <f>IF(I115=$CD$97,1,IF(I115=$CD$100,2,IF(K115=$K$66,1,IF(K115=$K$69,1,3))))</f>
        <v>2</v>
      </c>
      <c r="CE115" s="113">
        <f t="shared" si="14"/>
        <v>1.07</v>
      </c>
      <c r="CF115" s="145">
        <f t="shared" si="9"/>
        <v>1.2788999999999999</v>
      </c>
      <c r="CG115" s="113">
        <f t="shared" si="15"/>
        <v>1.47</v>
      </c>
      <c r="CH115" s="145">
        <f t="shared" si="10"/>
        <v>1.6023000000000001</v>
      </c>
      <c r="CI115" s="113">
        <f t="shared" si="16"/>
        <v>1.7</v>
      </c>
      <c r="CJ115" s="144">
        <f t="shared" ref="CJ115:CJ178" si="17">CE115*$CJ$102</f>
        <v>1.0486</v>
      </c>
      <c r="CK115" s="144">
        <f t="shared" ref="CK115:CK178" si="18">CF115*$CK$102</f>
        <v>1.1893769999999999</v>
      </c>
      <c r="CL115" s="144">
        <f t="shared" ref="CL115:CL178" si="19">CG115*$CL$102</f>
        <v>1.4405999999999999</v>
      </c>
      <c r="CM115" s="144">
        <f t="shared" ref="CM115:CM178" si="20">CH115*$CM$102</f>
        <v>1.5542309999999999</v>
      </c>
      <c r="CN115" s="143">
        <f t="shared" ref="CN115:CN178" si="21">CI115*$CN$102</f>
        <v>1.6319999999999999</v>
      </c>
      <c r="CO115" s="145">
        <v>1.3</v>
      </c>
      <c r="CP115" s="146">
        <f t="shared" si="11"/>
        <v>66839.986449202377</v>
      </c>
      <c r="CQ115" s="147">
        <f t="shared" si="12"/>
        <v>1764392.5190083971</v>
      </c>
      <c r="CR115" s="190">
        <f t="shared" si="13"/>
        <v>66839.986449202377</v>
      </c>
      <c r="CS115" s="49"/>
      <c r="CT115" s="49"/>
      <c r="CU115" s="49"/>
      <c r="CV115" s="49"/>
      <c r="CW115" s="49"/>
      <c r="CX115" s="49"/>
      <c r="CY115" s="49"/>
      <c r="CZ115" s="49"/>
      <c r="DA115" s="49"/>
      <c r="DB115" s="49"/>
      <c r="DC115" s="49"/>
      <c r="DD115" s="49"/>
      <c r="DE115" s="49"/>
      <c r="DF115" s="49"/>
      <c r="DG115" s="49"/>
      <c r="DH115" s="49"/>
      <c r="DI115" s="49"/>
      <c r="DJ115" s="49"/>
      <c r="DK115" s="49"/>
      <c r="DL115" s="49"/>
      <c r="DM115" s="49"/>
      <c r="DN115" s="49"/>
      <c r="DO115" s="49"/>
      <c r="DP115" s="49"/>
      <c r="DQ115" s="49"/>
      <c r="DR115" s="49"/>
      <c r="DS115" s="49"/>
      <c r="DT115" s="49"/>
      <c r="DU115" s="49"/>
      <c r="DV115" s="49"/>
      <c r="DW115" s="49"/>
      <c r="DX115" s="49"/>
      <c r="DY115" s="49"/>
      <c r="DZ115" s="49"/>
      <c r="EA115" s="49"/>
      <c r="EB115" s="49"/>
      <c r="EC115" s="49"/>
      <c r="ED115" s="49"/>
      <c r="EE115" s="49"/>
      <c r="EF115" s="49"/>
      <c r="EG115" s="49"/>
      <c r="EH115" s="49"/>
      <c r="EI115" s="49"/>
      <c r="EJ115" s="49"/>
      <c r="EK115" s="49"/>
      <c r="EL115" s="49"/>
      <c r="EM115" s="49"/>
      <c r="EN115" s="49"/>
      <c r="EO115" s="49"/>
      <c r="EP115" s="49"/>
      <c r="EQ115" s="49"/>
      <c r="ER115" s="49"/>
      <c r="ES115" s="49"/>
      <c r="ET115" s="49"/>
      <c r="EU115" s="49"/>
      <c r="EV115" s="49"/>
      <c r="EW115" s="49"/>
      <c r="EX115" s="49"/>
      <c r="EY115" s="49"/>
      <c r="EZ115" s="49"/>
      <c r="FA115" s="49"/>
    </row>
    <row r="116" spans="1:157" s="113" customFormat="1" x14ac:dyDescent="0.25">
      <c r="A116" s="113">
        <f>IF(AND('[1]Cockpit Retorno'!$E$67=Sim,Mestre!M116=Mestre!$M$98),0,1)</f>
        <v>1</v>
      </c>
      <c r="B116" s="113">
        <f>IF(AND('[1]Cockpit Retorno'!$E$67=Sim,Mestre!L116=Mestre!$L$48),0,1)</f>
        <v>0</v>
      </c>
      <c r="C116" s="113">
        <f>IF(AND('[1]Cockpit Retorno'!$E$67=Sim,Mestre!M116=Mestre!$M$97),0,1)</f>
        <v>1</v>
      </c>
      <c r="D116" s="114" t="s">
        <v>259</v>
      </c>
      <c r="E116" s="115"/>
      <c r="F116" s="116" t="s">
        <v>107</v>
      </c>
      <c r="G116" s="149"/>
      <c r="H116" s="153" t="s">
        <v>5</v>
      </c>
      <c r="I116" s="151" t="str">
        <f>VLOOKUP(K116,$N$74:$O$95,2)</f>
        <v>Despesas</v>
      </c>
      <c r="J116" s="150" t="s">
        <v>12</v>
      </c>
      <c r="K116" s="152" t="s">
        <v>34</v>
      </c>
      <c r="L116" s="153" t="s">
        <v>15</v>
      </c>
      <c r="M116" s="154" t="s">
        <v>12</v>
      </c>
      <c r="N116" s="155" t="s">
        <v>43</v>
      </c>
      <c r="O116" s="155" t="s">
        <v>261</v>
      </c>
      <c r="P116" s="155" t="s">
        <v>43</v>
      </c>
      <c r="Q116" s="155" t="s">
        <v>43</v>
      </c>
      <c r="R116" s="155" t="s">
        <v>43</v>
      </c>
      <c r="S116" s="156" t="s">
        <v>43</v>
      </c>
      <c r="T116" s="156" t="s">
        <v>43</v>
      </c>
      <c r="U116" s="150" t="s">
        <v>43</v>
      </c>
      <c r="V116" s="150" t="s">
        <v>43</v>
      </c>
      <c r="W116" s="150" t="s">
        <v>43</v>
      </c>
      <c r="X116" s="157" t="s">
        <v>268</v>
      </c>
      <c r="Y116" s="150" t="s">
        <v>43</v>
      </c>
      <c r="Z116" s="150" t="s">
        <v>43</v>
      </c>
      <c r="AA116" s="158">
        <v>0</v>
      </c>
      <c r="AB116" s="155" t="s">
        <v>43</v>
      </c>
      <c r="AC116" s="150" t="s">
        <v>43</v>
      </c>
      <c r="AD116" s="155" t="s">
        <v>43</v>
      </c>
      <c r="AE116" s="155"/>
      <c r="AF116" s="150" t="s">
        <v>43</v>
      </c>
      <c r="AG116" s="159">
        <v>1</v>
      </c>
      <c r="AH116" s="160">
        <v>49684.939342727514</v>
      </c>
      <c r="AI116" s="161">
        <v>0</v>
      </c>
      <c r="AJ116" s="161">
        <v>0</v>
      </c>
      <c r="AK116" s="162"/>
      <c r="AL116" s="163"/>
      <c r="AM116" s="164">
        <f>(((IF(L116=$L$101,1,IF(L116=$L$47,1,0))*(AH116*(1-AK116)))*AG116)*(1-AL116))</f>
        <v>49684.939342727514</v>
      </c>
      <c r="AN116" s="165">
        <f>IF(K116=$K$50,AM116,IF(K116=$K$53,AM116,IF(K116=$K$54,AM116,IF(K116=$K$55,AM116,IF(K116=$K$56,AM116,IF(K116=$K$57,AM116,IF(K116=$K$58,AM116,IF(K116=$K$65,AM116,IF(K116=$K$66,AM116,IF(K116=$K$67,AM116,IF(K116=$K$68,AM116,IF(K116=$K$69,AM116,IF(K116=$K$51,AM116,(AM116*(1+AI116)))))))))))))))</f>
        <v>49684.939342727514</v>
      </c>
      <c r="AO116" s="132">
        <v>1.6</v>
      </c>
      <c r="AP116" s="160">
        <f>AM116*AO116</f>
        <v>79495.902948364033</v>
      </c>
      <c r="AQ116" s="167">
        <f>AP116*Fator_Venda</f>
        <v>68880.442614857791</v>
      </c>
      <c r="AR116" s="160">
        <f>AO116*AN116</f>
        <v>79495.902948364033</v>
      </c>
      <c r="AS116" s="168">
        <f>IFERROR(IF($AX$94=0,(CQ116/AN116),CQ116/AM116),0)</f>
        <v>1.3357429300983872</v>
      </c>
      <c r="AT116" s="169" t="str">
        <f>K116</f>
        <v>LOG_M</v>
      </c>
      <c r="AU116" s="169" t="str">
        <f>I116</f>
        <v>Despesas</v>
      </c>
      <c r="AV116" s="170"/>
      <c r="AW116" s="171">
        <f>IF(K116=$K$50,0,IF(K116=$K$53,0,IF(K116=$K$54,0,IF(K116=$K$55,0,IF(K116=$K$56,0,IF(K116=$K$57,0,IF(K116=$K$58,0,IF(K116=$K$65,0,IF(K116=$K$66,0,IF(K116=$K$67,0,IF(K116=$K$68,0,IF(K116=$K$69,0,IF(K116=$K$51,0,1))))))))))))*AM116*AI116)</f>
        <v>0</v>
      </c>
      <c r="AX116" s="172">
        <f>IF(K116=$K$50,0,IF(K116=$K$53,0,IF(K116=$K$54,0,IF(K116=$K$55,0,IF(K116=$K$56,0,IF(K116=$K$57,0,IF(K116=$K$58,0,IF(K116=$K$65,0,IF(K116=$K$66,0,IF(K116=$K$67,0,IF(K116=$K$68,0,IF(K116=$K$69,0,IF(K116=$K$51,0,1))))))))))))*AM116*AJ116*$AX$94)</f>
        <v>0</v>
      </c>
      <c r="AY116" s="172">
        <f>IF(K116=$K$53,0,IF(K116=$K$54,0,IF(K116=$K$55,0,IF(K116=$K$56,0,IF(K116=$K$58,0,IF(K116=$K$50,0,IF(K116=$K$65,0,IF(K116=$K$57,0,IF(K116=$K$51,0,AM116*$AY$102)))))))))</f>
        <v>0</v>
      </c>
      <c r="AZ116" s="172">
        <f>IF(K116=$K$53,0,IF(K116=$K$54,0,IF(K116=$K$55,0,IF(K116=$K$56,0,IF(K116=$K$58,0,IF(K116=$K$50,0,IF(K116=$K$65,0,IF(K116=$K$57,0,IF(K116=$K$51,0,AM116*$AZ$102)))))))))</f>
        <v>0</v>
      </c>
      <c r="BA116" s="172">
        <f>AZ116+AY116+AX116</f>
        <v>0</v>
      </c>
      <c r="BB116" s="173">
        <f>IF($BA$97=1,AQ116*$BB$102,IF(K116=$K$50,0,IF(K116=$K$53,0,IF(K116=$K$54,0,IF(K116=$K$55,0,IF(K116=$K$56,0,IF(K116=$K$57,0,IF(K116=$K$58,0,IF(K116=$K$65,0,IF(K116=$K$66,0,IF(K116=$K$67,0,IF(K116=$K$68,0,IF(K116=$K$69,0,IF(K116=$K$51,0,1)))))))))))*AQ116*$BB$102)))</f>
        <v>0</v>
      </c>
      <c r="BC116" s="172">
        <f>AQ116*$BC$102</f>
        <v>447.72287699657568</v>
      </c>
      <c r="BD116" s="172">
        <f>$BD$102*AQ116</f>
        <v>2066.4132784457338</v>
      </c>
      <c r="BE116" s="172">
        <f>IF($BE$95=I116,$BE$97,IF(I116=$BE$96,$BE$97,1))*($BE$102*AQ116)*$AZ$97</f>
        <v>0</v>
      </c>
      <c r="BF116" s="172">
        <f>IF('[1]Cockpit Retorno'!$C$65=Sim,Mestre!BA116,SUM(BB116:BE116)+(IF(K116=$K$56,AQ116*MOE_IRRF_LR,0)))</f>
        <v>2514.1361554423092</v>
      </c>
      <c r="BG116" s="174">
        <f>IF(AA116&gt;0,0,IF(Z116=$Z$82,AG116*1,(IF(Z116=$Z$81,AG116*1,0))))</f>
        <v>0</v>
      </c>
      <c r="BH116" s="174">
        <f>IF(AA116&gt;0,0,IF(Z116=$Z$83,AG116*1,IF(Z116=$Z$81,AG116*1,0)))</f>
        <v>0</v>
      </c>
      <c r="BI116" s="174">
        <f>IF(AA116&gt;0,0,IF(Z116=$Z$84,AG116*1,IF(Z116=$Z$93,AG116*2,IF(Z116=$Z$100,AG116,IF(Z116=$Z$81,AG116*2,IF(Z116=$Z$80,AG116*1,IF(Z116=$Z$79,AG116*3,IF(Z116=$Z$78,AG116*2,0))))))))</f>
        <v>0</v>
      </c>
      <c r="BJ116" s="174">
        <f>IF(AA116&gt;0,0,IF(Z116=$Z$85,AG116,IF(Z116=$Z$93,AG116,IF(Z116=$Z$100,AG116,IF(Z116=$Z$81,AG116*1,IF(Z116=$Z$80,AG116*2,IF(Z116=$Z$79,AG116*2,IF(Z116=$Z$78,AG116*2,0))))))))</f>
        <v>0</v>
      </c>
      <c r="BK116" s="174">
        <f>IF(AA116&gt;0,0,IF(Z116=$Z$92,AG116,0))</f>
        <v>0</v>
      </c>
      <c r="BL116" s="174">
        <f>IF(AA116&gt;0,0,IF(Z116=$Z$91,AG116,0))</f>
        <v>0</v>
      </c>
      <c r="BM116" s="174">
        <f>IF(AA116&gt;0,0,IF(Z116=$Z$86,AG116,0))</f>
        <v>0</v>
      </c>
      <c r="BN116" s="174">
        <f>IF(AA116&gt;0,0,IF(Z116=$Z$87,AG116,0))</f>
        <v>0</v>
      </c>
      <c r="BO116" s="174">
        <f>IF(AA116&gt;0,0,IF(Z116=$Z$88,AG116,0))</f>
        <v>0</v>
      </c>
      <c r="BP116" s="174">
        <f>IF(AA116&gt;0,0,IF(Z116=$Z$89,AG116,0))</f>
        <v>0</v>
      </c>
      <c r="BQ116" s="174">
        <f>IF(AA116&gt;0,0,IF(Z116=$Z$90,AG116,0))</f>
        <v>0</v>
      </c>
      <c r="BR116" s="174">
        <f>IF(Z116=$Z$82,AA116*AG116,0)</f>
        <v>0</v>
      </c>
      <c r="BS116" s="174">
        <f>IF(Z116=$Z$83,AA116*AG116,0)</f>
        <v>0</v>
      </c>
      <c r="BT116" s="174">
        <f>IF(AA116&lt;1,0,IF(Z116=$Z$84,AA116*AG116,IF(Z116=$Z$93,"ERRO",IF(Z116=$Z$100,"ERRO",0))))</f>
        <v>0</v>
      </c>
      <c r="BU116" s="174">
        <f>IF(AA116&lt;1,0,IF(Z116=$Z$85,AA116*AG116,IF(Z116=$Z$93,"ERRO",IF(Z116=$Z$100,"ERRO",0))))</f>
        <v>0</v>
      </c>
      <c r="BV116" s="174">
        <f>IF(Z116=$Z$92,AA116*AG116,0)</f>
        <v>0</v>
      </c>
      <c r="BW116" s="174">
        <f>IF(Z116=$Z$91,AA116*AG116,0)</f>
        <v>0</v>
      </c>
      <c r="BX116" s="174">
        <f>IF(Z116=$Z$86,AA116*AG116,0)</f>
        <v>0</v>
      </c>
      <c r="BY116" s="174">
        <f>IF(Z116=$Z$87,AA116*AG116,0)</f>
        <v>0</v>
      </c>
      <c r="BZ116" s="174">
        <f>IF(Z116=$Z$88,AA116*AG116,0)</f>
        <v>0</v>
      </c>
      <c r="CA116" s="174">
        <f>IF(Z116=$Z$89,AA116*AG116,0)</f>
        <v>0</v>
      </c>
      <c r="CB116" s="174">
        <f>IF(Z116=$Z$90,AA116*AG116,0)</f>
        <v>0</v>
      </c>
      <c r="CC116" s="175">
        <f>IFERROR(IF(L116=$L$49,AG116*AH116*(1+AI116)*(1-AK116)*(1-AL116),0),0)</f>
        <v>0</v>
      </c>
      <c r="CD116" s="113">
        <f>IF(I116=$CD$97,1,IF(I116=$CD$100,2,IF(K116=$K$66,1,IF(K116=$K$69,1,3))))</f>
        <v>2</v>
      </c>
      <c r="CE116" s="113">
        <f t="shared" si="14"/>
        <v>1.07</v>
      </c>
      <c r="CF116" s="145">
        <f>CG116*0.87</f>
        <v>1.2788999999999999</v>
      </c>
      <c r="CG116" s="113">
        <f t="shared" si="15"/>
        <v>1.47</v>
      </c>
      <c r="CH116" s="145">
        <f>CG116*1.09</f>
        <v>1.6023000000000001</v>
      </c>
      <c r="CI116" s="113">
        <f t="shared" si="16"/>
        <v>1.7</v>
      </c>
      <c r="CJ116" s="144">
        <f>CE116*$CJ$102</f>
        <v>1.0486</v>
      </c>
      <c r="CK116" s="144">
        <f>CF116*$CK$102</f>
        <v>1.1893769999999999</v>
      </c>
      <c r="CL116" s="144">
        <f>CG116*$CL$102</f>
        <v>1.4405999999999999</v>
      </c>
      <c r="CM116" s="144">
        <f>CH116*$CM$102</f>
        <v>1.5542309999999999</v>
      </c>
      <c r="CN116" s="143">
        <f>CI116*$CN$102</f>
        <v>1.6319999999999999</v>
      </c>
      <c r="CO116" s="145">
        <v>1.3</v>
      </c>
      <c r="CP116" s="146">
        <f>BF116-BA116</f>
        <v>2514.1361554423092</v>
      </c>
      <c r="CQ116" s="147">
        <f>AQ116-CP116</f>
        <v>66366.306459415486</v>
      </c>
      <c r="CR116" s="190">
        <f t="shared" si="13"/>
        <v>2514.1361554423092</v>
      </c>
      <c r="CS116" s="49"/>
      <c r="CT116" s="49"/>
      <c r="CU116" s="49"/>
      <c r="CV116" s="49"/>
      <c r="CW116" s="49"/>
      <c r="CX116" s="49"/>
      <c r="CY116" s="49"/>
      <c r="CZ116" s="49"/>
      <c r="DA116" s="49"/>
      <c r="DB116" s="49"/>
      <c r="DC116" s="49"/>
      <c r="DD116" s="49"/>
      <c r="DE116" s="49"/>
      <c r="DF116" s="49"/>
      <c r="DG116" s="49"/>
      <c r="DH116" s="49"/>
      <c r="DI116" s="49"/>
      <c r="DJ116" s="49"/>
      <c r="DK116" s="49"/>
      <c r="DL116" s="49"/>
      <c r="DM116" s="49"/>
      <c r="DN116" s="49"/>
      <c r="DO116" s="49"/>
      <c r="DP116" s="49"/>
      <c r="DQ116" s="49"/>
      <c r="DR116" s="49"/>
      <c r="DS116" s="49"/>
      <c r="DT116" s="49"/>
      <c r="DU116" s="49"/>
      <c r="DV116" s="49"/>
      <c r="DW116" s="49"/>
      <c r="DX116" s="49"/>
      <c r="DY116" s="49"/>
      <c r="DZ116" s="49"/>
      <c r="EA116" s="49"/>
      <c r="EB116" s="49"/>
      <c r="EC116" s="49"/>
      <c r="ED116" s="49"/>
      <c r="EE116" s="49"/>
      <c r="EF116" s="49"/>
      <c r="EG116" s="49"/>
      <c r="EH116" s="49"/>
      <c r="EI116" s="49"/>
      <c r="EJ116" s="49"/>
      <c r="EK116" s="49"/>
      <c r="EL116" s="49"/>
      <c r="EM116" s="49"/>
      <c r="EN116" s="49"/>
      <c r="EO116" s="49"/>
      <c r="EP116" s="49"/>
      <c r="EQ116" s="49"/>
      <c r="ER116" s="49"/>
      <c r="ES116" s="49"/>
      <c r="ET116" s="49"/>
      <c r="EU116" s="49"/>
      <c r="EV116" s="49"/>
      <c r="EW116" s="49"/>
      <c r="EX116" s="49"/>
      <c r="EY116" s="49"/>
      <c r="EZ116" s="49"/>
      <c r="FA116" s="49"/>
    </row>
    <row r="117" spans="1:157" s="113" customFormat="1" x14ac:dyDescent="0.25">
      <c r="A117" s="113">
        <f>IF(AND('[1]Cockpit Retorno'!$E$67=Sim,Mestre!M117=Mestre!$M$98),0,1)</f>
        <v>1</v>
      </c>
      <c r="B117" s="113">
        <f>IF(AND('[1]Cockpit Retorno'!$E$67=Sim,Mestre!L117=Mestre!$L$48),0,1)</f>
        <v>0</v>
      </c>
      <c r="C117" s="113">
        <f>IF(AND('[1]Cockpit Retorno'!$E$67=Sim,Mestre!M117=Mestre!$M$97),0,1)</f>
        <v>1</v>
      </c>
      <c r="D117" s="114" t="s">
        <v>259</v>
      </c>
      <c r="E117" s="115"/>
      <c r="F117" s="116" t="s">
        <v>107</v>
      </c>
      <c r="G117" s="149"/>
      <c r="H117" s="153" t="s">
        <v>5</v>
      </c>
      <c r="I117" s="151" t="str">
        <f>VLOOKUP(K117,$N$74:$O$95,2)</f>
        <v>Despesas</v>
      </c>
      <c r="J117" s="150" t="s">
        <v>12</v>
      </c>
      <c r="K117" s="152" t="s">
        <v>34</v>
      </c>
      <c r="L117" s="153" t="s">
        <v>15</v>
      </c>
      <c r="M117" s="154" t="s">
        <v>12</v>
      </c>
      <c r="N117" s="155" t="s">
        <v>43</v>
      </c>
      <c r="O117" s="155" t="s">
        <v>261</v>
      </c>
      <c r="P117" s="155" t="s">
        <v>43</v>
      </c>
      <c r="Q117" s="155" t="s">
        <v>43</v>
      </c>
      <c r="R117" s="155" t="s">
        <v>43</v>
      </c>
      <c r="S117" s="156" t="s">
        <v>43</v>
      </c>
      <c r="T117" s="156" t="s">
        <v>43</v>
      </c>
      <c r="U117" s="150" t="s">
        <v>43</v>
      </c>
      <c r="V117" s="150" t="s">
        <v>43</v>
      </c>
      <c r="W117" s="150" t="s">
        <v>43</v>
      </c>
      <c r="X117" s="157" t="s">
        <v>269</v>
      </c>
      <c r="Y117" s="150" t="s">
        <v>43</v>
      </c>
      <c r="Z117" s="150" t="s">
        <v>43</v>
      </c>
      <c r="AA117" s="158">
        <v>0</v>
      </c>
      <c r="AB117" s="155" t="s">
        <v>43</v>
      </c>
      <c r="AC117" s="150" t="s">
        <v>43</v>
      </c>
      <c r="AD117" s="155" t="s">
        <v>43</v>
      </c>
      <c r="AE117" s="155"/>
      <c r="AF117" s="150" t="s">
        <v>43</v>
      </c>
      <c r="AG117" s="159">
        <v>1</v>
      </c>
      <c r="AH117" s="160">
        <v>2782.9319633327791</v>
      </c>
      <c r="AI117" s="161">
        <v>0</v>
      </c>
      <c r="AJ117" s="161">
        <v>0</v>
      </c>
      <c r="AK117" s="162"/>
      <c r="AL117" s="163"/>
      <c r="AM117" s="164">
        <f>(((IF(L117=$L$101,1,IF(L117=$L$47,1,0))*(AH117*(1-AK117)))*AG117)*(1-AL117))</f>
        <v>2782.9319633327791</v>
      </c>
      <c r="AN117" s="165">
        <f>IF(K117=$K$50,AM117,IF(K117=$K$53,AM117,IF(K117=$K$54,AM117,IF(K117=$K$55,AM117,IF(K117=$K$56,AM117,IF(K117=$K$57,AM117,IF(K117=$K$58,AM117,IF(K117=$K$65,AM117,IF(K117=$K$66,AM117,IF(K117=$K$67,AM117,IF(K117=$K$68,AM117,IF(K117=$K$69,AM117,IF(K117=$K$51,AM117,(AM117*(1+AI117)))))))))))))))</f>
        <v>2782.9319633327791</v>
      </c>
      <c r="AO117" s="132">
        <v>1.6</v>
      </c>
      <c r="AP117" s="160">
        <f>AM117*AO117</f>
        <v>4452.6911413324469</v>
      </c>
      <c r="AQ117" s="167">
        <f>AP117*Fator_Venda</f>
        <v>3858.1024338002944</v>
      </c>
      <c r="AR117" s="160">
        <f>AO117*AN117</f>
        <v>4452.6911413324469</v>
      </c>
      <c r="AS117" s="168">
        <f>IFERROR(IF($AX$94=0,(CQ117/AN117),CQ117/AM117),0)</f>
        <v>1.3357429300983872</v>
      </c>
      <c r="AT117" s="169" t="str">
        <f>K117</f>
        <v>LOG_M</v>
      </c>
      <c r="AU117" s="169" t="str">
        <f>I117</f>
        <v>Despesas</v>
      </c>
      <c r="AV117" s="170"/>
      <c r="AW117" s="171">
        <f>IF(K117=$K$50,0,IF(K117=$K$53,0,IF(K117=$K$54,0,IF(K117=$K$55,0,IF(K117=$K$56,0,IF(K117=$K$57,0,IF(K117=$K$58,0,IF(K117=$K$65,0,IF(K117=$K$66,0,IF(K117=$K$67,0,IF(K117=$K$68,0,IF(K117=$K$69,0,IF(K117=$K$51,0,1))))))))))))*AM117*AI117)</f>
        <v>0</v>
      </c>
      <c r="AX117" s="172">
        <f>IF(K117=$K$50,0,IF(K117=$K$53,0,IF(K117=$K$54,0,IF(K117=$K$55,0,IF(K117=$K$56,0,IF(K117=$K$57,0,IF(K117=$K$58,0,IF(K117=$K$65,0,IF(K117=$K$66,0,IF(K117=$K$67,0,IF(K117=$K$68,0,IF(K117=$K$69,0,IF(K117=$K$51,0,1))))))))))))*AM117*AJ117*$AX$94)</f>
        <v>0</v>
      </c>
      <c r="AY117" s="172">
        <f>IF(K117=$K$53,0,IF(K117=$K$54,0,IF(K117=$K$55,0,IF(K117=$K$56,0,IF(K117=$K$58,0,IF(K117=$K$50,0,IF(K117=$K$65,0,IF(K117=$K$57,0,IF(K117=$K$51,0,AM117*$AY$102)))))))))</f>
        <v>0</v>
      </c>
      <c r="AZ117" s="172">
        <f>IF(K117=$K$53,0,IF(K117=$K$54,0,IF(K117=$K$55,0,IF(K117=$K$56,0,IF(K117=$K$58,0,IF(K117=$K$50,0,IF(K117=$K$65,0,IF(K117=$K$57,0,IF(K117=$K$51,0,AM117*$AZ$102)))))))))</f>
        <v>0</v>
      </c>
      <c r="BA117" s="172">
        <f>AZ117+AY117+AX117</f>
        <v>0</v>
      </c>
      <c r="BB117" s="173">
        <f>IF($BA$97=1,AQ117*$BB$102,IF(K117=$K$50,0,IF(K117=$K$53,0,IF(K117=$K$54,0,IF(K117=$K$55,0,IF(K117=$K$56,0,IF(K117=$K$57,0,IF(K117=$K$58,0,IF(K117=$K$65,0,IF(K117=$K$66,0,IF(K117=$K$67,0,IF(K117=$K$68,0,IF(K117=$K$69,0,IF(K117=$K$51,0,1)))))))))))*AQ117*$BB$102)))</f>
        <v>0</v>
      </c>
      <c r="BC117" s="172">
        <f>AQ117*$BC$102</f>
        <v>25.077665819701917</v>
      </c>
      <c r="BD117" s="172">
        <f>$BD$102*AQ117</f>
        <v>115.74307301400883</v>
      </c>
      <c r="BE117" s="172">
        <f>IF($BE$95=I117,$BE$97,IF(I117=$BE$96,$BE$97,1))*($BE$102*AQ117)*$AZ$97</f>
        <v>0</v>
      </c>
      <c r="BF117" s="172">
        <f>IF('[1]Cockpit Retorno'!$C$65=Sim,Mestre!BA117,SUM(BB117:BE117)+(IF(K117=$K$56,AQ117*MOE_IRRF_LR,0)))</f>
        <v>140.82073883371075</v>
      </c>
      <c r="BG117" s="174">
        <f>IF(AA117&gt;0,0,IF(Z117=$Z$82,AG117*1,(IF(Z117=$Z$81,AG117*1,0))))</f>
        <v>0</v>
      </c>
      <c r="BH117" s="174">
        <f>IF(AA117&gt;0,0,IF(Z117=$Z$83,AG117*1,IF(Z117=$Z$81,AG117*1,0)))</f>
        <v>0</v>
      </c>
      <c r="BI117" s="174">
        <f>IF(AA117&gt;0,0,IF(Z117=$Z$84,AG117*1,IF(Z117=$Z$93,AG117*2,IF(Z117=$Z$100,AG117,IF(Z117=$Z$81,AG117*2,IF(Z117=$Z$80,AG117*1,IF(Z117=$Z$79,AG117*3,IF(Z117=$Z$78,AG117*2,0))))))))</f>
        <v>0</v>
      </c>
      <c r="BJ117" s="174">
        <f>IF(AA117&gt;0,0,IF(Z117=$Z$85,AG117,IF(Z117=$Z$93,AG117,IF(Z117=$Z$100,AG117,IF(Z117=$Z$81,AG117*1,IF(Z117=$Z$80,AG117*2,IF(Z117=$Z$79,AG117*2,IF(Z117=$Z$78,AG117*2,0))))))))</f>
        <v>0</v>
      </c>
      <c r="BK117" s="174">
        <f>IF(AA117&gt;0,0,IF(Z117=$Z$92,AG117,0))</f>
        <v>0</v>
      </c>
      <c r="BL117" s="174">
        <f>IF(AA117&gt;0,0,IF(Z117=$Z$91,AG117,0))</f>
        <v>0</v>
      </c>
      <c r="BM117" s="174">
        <f>IF(AA117&gt;0,0,IF(Z117=$Z$86,AG117,0))</f>
        <v>0</v>
      </c>
      <c r="BN117" s="174">
        <f>IF(AA117&gt;0,0,IF(Z117=$Z$87,AG117,0))</f>
        <v>0</v>
      </c>
      <c r="BO117" s="174">
        <f>IF(AA117&gt;0,0,IF(Z117=$Z$88,AG117,0))</f>
        <v>0</v>
      </c>
      <c r="BP117" s="174">
        <f>IF(AA117&gt;0,0,IF(Z117=$Z$89,AG117,0))</f>
        <v>0</v>
      </c>
      <c r="BQ117" s="174">
        <f>IF(AA117&gt;0,0,IF(Z117=$Z$90,AG117,0))</f>
        <v>0</v>
      </c>
      <c r="BR117" s="174">
        <f>IF(Z117=$Z$82,AA117*AG117,0)</f>
        <v>0</v>
      </c>
      <c r="BS117" s="174">
        <f>IF(Z117=$Z$83,AA117*AG117,0)</f>
        <v>0</v>
      </c>
      <c r="BT117" s="174">
        <f>IF(AA117&lt;1,0,IF(Z117=$Z$84,AA117*AG117,IF(Z117=$Z$93,"ERRO",IF(Z117=$Z$100,"ERRO",0))))</f>
        <v>0</v>
      </c>
      <c r="BU117" s="174">
        <f>IF(AA117&lt;1,0,IF(Z117=$Z$85,AA117*AG117,IF(Z117=$Z$93,"ERRO",IF(Z117=$Z$100,"ERRO",0))))</f>
        <v>0</v>
      </c>
      <c r="BV117" s="174">
        <f>IF(Z117=$Z$92,AA117*AG117,0)</f>
        <v>0</v>
      </c>
      <c r="BW117" s="174">
        <f>IF(Z117=$Z$91,AA117*AG117,0)</f>
        <v>0</v>
      </c>
      <c r="BX117" s="174">
        <f>IF(Z117=$Z$86,AA117*AG117,0)</f>
        <v>0</v>
      </c>
      <c r="BY117" s="174">
        <f>IF(Z117=$Z$87,AA117*AG117,0)</f>
        <v>0</v>
      </c>
      <c r="BZ117" s="174">
        <f>IF(Z117=$Z$88,AA117*AG117,0)</f>
        <v>0</v>
      </c>
      <c r="CA117" s="174">
        <f>IF(Z117=$Z$89,AA117*AG117,0)</f>
        <v>0</v>
      </c>
      <c r="CB117" s="174">
        <f>IF(Z117=$Z$90,AA117*AG117,0)</f>
        <v>0</v>
      </c>
      <c r="CC117" s="175">
        <f>IFERROR(IF(L117=$L$49,AG117*AH117*(1+AI117)*(1-AK117)*(1-AL117),0),0)</f>
        <v>0</v>
      </c>
      <c r="CD117" s="113">
        <f>IF(I117=$CD$97,1,IF(I117=$CD$100,2,IF(K117=$K$66,1,IF(K117=$K$69,1,3))))</f>
        <v>2</v>
      </c>
      <c r="CE117" s="113">
        <f t="shared" si="14"/>
        <v>1.07</v>
      </c>
      <c r="CF117" s="145">
        <f>CG117*0.87</f>
        <v>1.2788999999999999</v>
      </c>
      <c r="CG117" s="113">
        <f t="shared" si="15"/>
        <v>1.47</v>
      </c>
      <c r="CH117" s="145">
        <f>CG117*1.09</f>
        <v>1.6023000000000001</v>
      </c>
      <c r="CI117" s="113">
        <f t="shared" si="16"/>
        <v>1.7</v>
      </c>
      <c r="CJ117" s="144">
        <f>CE117*$CJ$102</f>
        <v>1.0486</v>
      </c>
      <c r="CK117" s="144">
        <f>CF117*$CK$102</f>
        <v>1.1893769999999999</v>
      </c>
      <c r="CL117" s="144">
        <f>CG117*$CL$102</f>
        <v>1.4405999999999999</v>
      </c>
      <c r="CM117" s="144">
        <f>CH117*$CM$102</f>
        <v>1.5542309999999999</v>
      </c>
      <c r="CN117" s="143">
        <f>CI117*$CN$102</f>
        <v>1.6319999999999999</v>
      </c>
      <c r="CO117" s="145">
        <v>1.3</v>
      </c>
      <c r="CP117" s="146">
        <f>BF117-BA117</f>
        <v>140.82073883371075</v>
      </c>
      <c r="CQ117" s="147">
        <f>AQ117-CP117</f>
        <v>3717.2816949665835</v>
      </c>
      <c r="CR117" s="190">
        <f t="shared" si="13"/>
        <v>140.82073883371075</v>
      </c>
      <c r="CS117" s="49"/>
      <c r="CT117" s="49"/>
      <c r="CU117" s="49"/>
      <c r="CV117" s="49"/>
      <c r="CW117" s="49"/>
      <c r="CX117" s="49"/>
      <c r="CY117" s="49"/>
      <c r="CZ117" s="49"/>
      <c r="DA117" s="49"/>
      <c r="DB117" s="49"/>
      <c r="DC117" s="49"/>
      <c r="DD117" s="49"/>
      <c r="DE117" s="49"/>
      <c r="DF117" s="49"/>
      <c r="DG117" s="49"/>
      <c r="DH117" s="49"/>
      <c r="DI117" s="49"/>
      <c r="DJ117" s="49"/>
      <c r="DK117" s="49"/>
      <c r="DL117" s="49"/>
      <c r="DM117" s="49"/>
      <c r="DN117" s="49"/>
      <c r="DO117" s="49"/>
      <c r="DP117" s="49"/>
      <c r="DQ117" s="49"/>
      <c r="DR117" s="49"/>
      <c r="DS117" s="49"/>
      <c r="DT117" s="49"/>
      <c r="DU117" s="49"/>
      <c r="DV117" s="49"/>
      <c r="DW117" s="49"/>
      <c r="DX117" s="49"/>
      <c r="DY117" s="49"/>
      <c r="DZ117" s="49"/>
      <c r="EA117" s="49"/>
      <c r="EB117" s="49"/>
      <c r="EC117" s="49"/>
      <c r="ED117" s="49"/>
      <c r="EE117" s="49"/>
      <c r="EF117" s="49"/>
      <c r="EG117" s="49"/>
      <c r="EH117" s="49"/>
      <c r="EI117" s="49"/>
      <c r="EJ117" s="49"/>
      <c r="EK117" s="49"/>
      <c r="EL117" s="49"/>
      <c r="EM117" s="49"/>
      <c r="EN117" s="49"/>
      <c r="EO117" s="49"/>
      <c r="EP117" s="49"/>
      <c r="EQ117" s="49"/>
      <c r="ER117" s="49"/>
      <c r="ES117" s="49"/>
      <c r="ET117" s="49"/>
      <c r="EU117" s="49"/>
      <c r="EV117" s="49"/>
      <c r="EW117" s="49"/>
      <c r="EX117" s="49"/>
      <c r="EY117" s="49"/>
      <c r="EZ117" s="49"/>
      <c r="FA117" s="49"/>
    </row>
    <row r="118" spans="1:157" s="113" customFormat="1" x14ac:dyDescent="0.25">
      <c r="A118" s="113">
        <f>IF(AND('[1]Cockpit Retorno'!$E$67=Sim,Mestre!M118=Mestre!$M$98),0,1)</f>
        <v>1</v>
      </c>
      <c r="B118" s="113">
        <f>IF(AND('[1]Cockpit Retorno'!$E$67=Sim,Mestre!L118=Mestre!$L$48),0,1)</f>
        <v>0</v>
      </c>
      <c r="C118" s="113">
        <f>IF(AND('[1]Cockpit Retorno'!$E$67=Sim,Mestre!M118=Mestre!$M$97),0,1)</f>
        <v>1</v>
      </c>
      <c r="D118" s="114" t="s">
        <v>270</v>
      </c>
      <c r="E118" s="115"/>
      <c r="F118" s="116" t="s">
        <v>107</v>
      </c>
      <c r="G118" s="149"/>
      <c r="H118" s="153" t="s">
        <v>50</v>
      </c>
      <c r="I118" s="151" t="str">
        <f t="shared" si="1"/>
        <v>Despesas</v>
      </c>
      <c r="J118" s="150" t="s">
        <v>12</v>
      </c>
      <c r="K118" s="152" t="s">
        <v>50</v>
      </c>
      <c r="L118" s="153" t="s">
        <v>15</v>
      </c>
      <c r="M118" s="154" t="s">
        <v>12</v>
      </c>
      <c r="N118" s="155" t="s">
        <v>43</v>
      </c>
      <c r="O118" s="155" t="s">
        <v>50</v>
      </c>
      <c r="P118" s="155" t="s">
        <v>43</v>
      </c>
      <c r="Q118" s="155" t="s">
        <v>43</v>
      </c>
      <c r="R118" s="155" t="s">
        <v>43</v>
      </c>
      <c r="S118" s="156" t="s">
        <v>43</v>
      </c>
      <c r="T118" s="156" t="s">
        <v>43</v>
      </c>
      <c r="U118" s="150" t="s">
        <v>43</v>
      </c>
      <c r="V118" s="150" t="s">
        <v>43</v>
      </c>
      <c r="W118" s="150" t="s">
        <v>43</v>
      </c>
      <c r="X118" s="157" t="s">
        <v>264</v>
      </c>
      <c r="Y118" s="150" t="s">
        <v>43</v>
      </c>
      <c r="Z118" s="150" t="s">
        <v>43</v>
      </c>
      <c r="AA118" s="158">
        <v>0</v>
      </c>
      <c r="AB118" s="155" t="s">
        <v>43</v>
      </c>
      <c r="AC118" s="150" t="s">
        <v>43</v>
      </c>
      <c r="AD118" s="155" t="s">
        <v>43</v>
      </c>
      <c r="AE118" s="155"/>
      <c r="AF118" s="150" t="s">
        <v>43</v>
      </c>
      <c r="AG118" s="159">
        <v>1</v>
      </c>
      <c r="AH118" s="160">
        <v>726454.53983552207</v>
      </c>
      <c r="AI118" s="161">
        <v>0</v>
      </c>
      <c r="AJ118" s="161">
        <v>0</v>
      </c>
      <c r="AK118" s="162"/>
      <c r="AL118" s="163"/>
      <c r="AM118" s="164">
        <f>(((IF(L118=$L$101,1,IF(L118=$L$47,1,0))*(AH118*(1-AK118)))*AG118)*(1-AL118))</f>
        <v>726454.53983552207</v>
      </c>
      <c r="AN118" s="191">
        <f>IF(K118=$K$50,AM118,IF(K118=$K$53,AM118,IF(K118=$K$54,AM118,IF(K118=$K$55,AM118,IF(K118=$K$56,AM118,IF(K118=$K$57,AM118,IF(K118=$K$58,AM118,IF(K118=$K$65,AM118,IF(K118=$K$66,AM118,IF(K118=$K$67,AM118,IF(K118=$K$68,AM118,IF(K118=$K$69,AM118,IF(K118=$K$51,AM118,(AM118*(1+AI118)))))))))))))))</f>
        <v>726454.53983552207</v>
      </c>
      <c r="AO118" s="132">
        <v>1.6</v>
      </c>
      <c r="AP118" s="160">
        <f t="shared" si="2"/>
        <v>1162327.2637368354</v>
      </c>
      <c r="AQ118" s="167">
        <f t="shared" si="3"/>
        <v>1007116.2590795805</v>
      </c>
      <c r="AR118" s="160">
        <f t="shared" si="4"/>
        <v>1162327.2637368354</v>
      </c>
      <c r="AS118" s="168">
        <f t="shared" si="5"/>
        <v>1.3357429300983874</v>
      </c>
      <c r="AT118" s="169" t="str">
        <f>K118</f>
        <v>MOB</v>
      </c>
      <c r="AU118" s="169" t="str">
        <f>I118</f>
        <v>Despesas</v>
      </c>
      <c r="AV118" s="170"/>
      <c r="AW118" s="171">
        <f>IF(K118=$K$50,0,IF(K118=$K$53,0,IF(K118=$K$54,0,IF(K118=$K$55,0,IF(K118=$K$56,0,IF(K118=$K$57,0,IF(K118=$K$58,0,IF(K118=$K$65,0,IF(K118=$K$66,0,IF(K118=$K$67,0,IF(K118=$K$68,0,IF(K118=$K$69,0,IF(K118=$K$51,0,1))))))))))))*AM118*AI118)</f>
        <v>0</v>
      </c>
      <c r="AX118" s="172">
        <f>IF(K118=$K$50,0,IF(K118=$K$53,0,IF(K118=$K$54,0,IF(K118=$K$55,0,IF(K118=$K$56,0,IF(K118=$K$57,0,IF(K118=$K$58,0,IF(K118=$K$65,0,IF(K118=$K$66,0,IF(K118=$K$67,0,IF(K118=$K$68,0,IF(K118=$K$69,0,IF(K118=$K$51,0,1))))))))))))*AM118*AJ118*$AX$94)</f>
        <v>0</v>
      </c>
      <c r="AY118" s="172">
        <f>IF(K118=$K$53,0,IF(K118=$K$54,0,IF(K118=$K$55,0,IF(K118=$K$56,0,IF(K118=$K$58,0,IF(K118=$K$50,0,IF(K118=$K$65,0,IF(K118=$K$57,0,IF(K118=$K$51,0,AM118*$AY$102)))))))))</f>
        <v>0</v>
      </c>
      <c r="AZ118" s="172">
        <f>IF(K118=$K$53,0,IF(K118=$K$54,0,IF(K118=$K$55,0,IF(K118=$K$56,0,IF(K118=$K$58,0,IF(K118=$K$50,0,IF(K118=$K$65,0,IF(K118=$K$57,0,IF(K118=$K$51,0,AM118*$AZ$102)))))))))</f>
        <v>0</v>
      </c>
      <c r="BA118" s="172">
        <f t="shared" si="6"/>
        <v>0</v>
      </c>
      <c r="BB118" s="173">
        <f>IF($BA$97=1,AQ118*$BB$102,IF(K118=$K$50,0,IF(K118=$K$53,0,IF(K118=$K$54,0,IF(K118=$K$55,0,IF(K118=$K$56,0,IF(K118=$K$57,0,IF(K118=$K$58,0,IF(K118=$K$65,0,IF(K118=$K$66,0,IF(K118=$K$67,0,IF(K118=$K$68,0,IF(K118=$K$69,0,IF(K118=$K$51,0,1)))))))))))*AQ118*$BB$102)))</f>
        <v>0</v>
      </c>
      <c r="BC118" s="172">
        <f t="shared" si="7"/>
        <v>6546.2556840172738</v>
      </c>
      <c r="BD118" s="172">
        <f t="shared" si="8"/>
        <v>30213.487772387416</v>
      </c>
      <c r="BE118" s="172">
        <f>IF($BE$95=I118,$BE$97,IF(I118=$BE$96,$BE$97,1))*($BE$102*AQ118)*$AZ$97</f>
        <v>0</v>
      </c>
      <c r="BF118" s="172">
        <f>IF('[1]Cockpit Retorno'!$C$65=Sim,Mestre!BA118,SUM(BB118:BE118)+(IF(K118=$K$56,AQ118*MOE_IRRF_LR,0)))</f>
        <v>36759.743456404693</v>
      </c>
      <c r="BG118" s="174">
        <f>IF(AA118&gt;0,0,IF(Z118=$Z$82,AG118*1,(IF(Z118=$Z$81,AG118*1,0))))</f>
        <v>0</v>
      </c>
      <c r="BH118" s="174">
        <f>IF(AA118&gt;0,0,IF(Z118=$Z$83,AG118*1,IF(Z118=$Z$81,AG118*1,0)))</f>
        <v>0</v>
      </c>
      <c r="BI118" s="174">
        <f>IF(AA118&gt;0,0,IF(Z118=$Z$84,AG118*1,IF(Z118=$Z$93,AG118*2,IF(Z118=$Z$100,AG118,IF(Z118=$Z$81,AG118*2,IF(Z118=$Z$80,AG118*1,IF(Z118=$Z$79,AG118*3,IF(Z118=$Z$78,AG118*2,0))))))))</f>
        <v>0</v>
      </c>
      <c r="BJ118" s="174">
        <f>IF(AA118&gt;0,0,IF(Z118=$Z$85,AG118,IF(Z118=$Z$93,AG118,IF(Z118=$Z$100,AG118,IF(Z118=$Z$81,AG118*1,IF(Z118=$Z$80,AG118*2,IF(Z118=$Z$79,AG118*2,IF(Z118=$Z$78,AG118*2,0))))))))</f>
        <v>0</v>
      </c>
      <c r="BK118" s="174">
        <f>IF(AA118&gt;0,0,IF(Z118=$Z$92,AG118,0))</f>
        <v>0</v>
      </c>
      <c r="BL118" s="174">
        <f>IF(AA118&gt;0,0,IF(Z118=$Z$91,AG118,0))</f>
        <v>0</v>
      </c>
      <c r="BM118" s="174">
        <f>IF(AA118&gt;0,0,IF(Z118=$Z$86,AG118,0))</f>
        <v>0</v>
      </c>
      <c r="BN118" s="174">
        <f>IF(AA118&gt;0,0,IF(Z118=$Z$87,AG118,0))</f>
        <v>0</v>
      </c>
      <c r="BO118" s="174">
        <f>IF(AA118&gt;0,0,IF(Z118=$Z$88,AG118,0))</f>
        <v>0</v>
      </c>
      <c r="BP118" s="174">
        <f>IF(AA118&gt;0,0,IF(Z118=$Z$89,AG118,0))</f>
        <v>0</v>
      </c>
      <c r="BQ118" s="174">
        <f>IF(AA118&gt;0,0,IF(Z118=$Z$90,AG118,0))</f>
        <v>0</v>
      </c>
      <c r="BR118" s="174">
        <f>IF(Z118=$Z$82,AA118*AG118,0)</f>
        <v>0</v>
      </c>
      <c r="BS118" s="174">
        <f>IF(Z118=$Z$83,AA118*AG118,0)</f>
        <v>0</v>
      </c>
      <c r="BT118" s="174">
        <f>IF(AA118&lt;1,0,IF(Z118=$Z$84,AA118*AG118,IF(Z118=$Z$93,"ERRO",IF(Z118=$Z$100,"ERRO",0))))</f>
        <v>0</v>
      </c>
      <c r="BU118" s="174">
        <f>IF(AA118&lt;1,0,IF(Z118=$Z$85,AA118*AG118,IF(Z118=$Z$93,"ERRO",IF(Z118=$Z$100,"ERRO",0))))</f>
        <v>0</v>
      </c>
      <c r="BV118" s="174">
        <f>IF(Z118=$Z$92,AA118*AG118,0)</f>
        <v>0</v>
      </c>
      <c r="BW118" s="174">
        <f>IF(Z118=$Z$91,AA118*AG118,0)</f>
        <v>0</v>
      </c>
      <c r="BX118" s="174">
        <f>IF(Z118=$Z$86,AA118*AG118,0)</f>
        <v>0</v>
      </c>
      <c r="BY118" s="174">
        <f>IF(Z118=$Z$87,AA118*AG118,0)</f>
        <v>0</v>
      </c>
      <c r="BZ118" s="174">
        <f>IF(Z118=$Z$88,AA118*AG118,0)</f>
        <v>0</v>
      </c>
      <c r="CA118" s="174">
        <f>IF(Z118=$Z$89,AA118*AG118,0)</f>
        <v>0</v>
      </c>
      <c r="CB118" s="174">
        <f>IF(Z118=$Z$90,AA118*AG118,0)</f>
        <v>0</v>
      </c>
      <c r="CC118" s="175">
        <f>IFERROR(IF(L118=$L$49,AG118*AH118*(1+AI118)*(1-AK118)*(1-AL118),0),0)</f>
        <v>0</v>
      </c>
      <c r="CD118" s="192">
        <f>IF(I118=$CD$97,1,IF(I118=$CD$100,2,IF(K118=$K$66,1,IF(K118=$K$69,1,3))))</f>
        <v>2</v>
      </c>
      <c r="CE118" s="192">
        <f t="shared" si="14"/>
        <v>1.07</v>
      </c>
      <c r="CF118" s="193">
        <f t="shared" si="9"/>
        <v>1.2788999999999999</v>
      </c>
      <c r="CG118" s="192">
        <f t="shared" si="15"/>
        <v>1.47</v>
      </c>
      <c r="CH118" s="193">
        <f t="shared" si="10"/>
        <v>1.6023000000000001</v>
      </c>
      <c r="CI118" s="192">
        <f t="shared" si="16"/>
        <v>1.7</v>
      </c>
      <c r="CJ118" s="144">
        <f t="shared" si="17"/>
        <v>1.0486</v>
      </c>
      <c r="CK118" s="144">
        <f t="shared" si="18"/>
        <v>1.1893769999999999</v>
      </c>
      <c r="CL118" s="144">
        <f t="shared" si="19"/>
        <v>1.4405999999999999</v>
      </c>
      <c r="CM118" s="144">
        <f t="shared" si="20"/>
        <v>1.5542309999999999</v>
      </c>
      <c r="CN118" s="143">
        <f t="shared" si="21"/>
        <v>1.6319999999999999</v>
      </c>
      <c r="CO118" s="145">
        <f t="shared" ref="CO118:CO124" si="22">CJ118*$CO$102</f>
        <v>1.006656</v>
      </c>
      <c r="CP118" s="146">
        <f t="shared" si="11"/>
        <v>36759.743456404693</v>
      </c>
      <c r="CQ118" s="147">
        <f t="shared" si="12"/>
        <v>970356.51562317589</v>
      </c>
      <c r="CR118" s="190">
        <f t="shared" si="13"/>
        <v>36759.743456404693</v>
      </c>
      <c r="CS118" s="49"/>
      <c r="CT118" s="49"/>
      <c r="CU118" s="49"/>
      <c r="CV118" s="49"/>
      <c r="CW118" s="49"/>
      <c r="CX118" s="49"/>
      <c r="CY118" s="49"/>
      <c r="CZ118" s="49"/>
      <c r="DA118" s="49"/>
      <c r="DB118" s="49"/>
      <c r="DC118" s="49"/>
      <c r="DD118" s="49"/>
      <c r="DE118" s="49"/>
      <c r="DF118" s="49"/>
      <c r="DG118" s="49"/>
      <c r="DH118" s="49"/>
      <c r="DI118" s="49"/>
      <c r="DJ118" s="49"/>
      <c r="DK118" s="49"/>
      <c r="DL118" s="49"/>
      <c r="DM118" s="49"/>
      <c r="DN118" s="49"/>
      <c r="DO118" s="49"/>
      <c r="DP118" s="49"/>
      <c r="DQ118" s="49"/>
      <c r="DR118" s="49"/>
      <c r="DS118" s="49"/>
      <c r="DT118" s="49"/>
      <c r="DU118" s="49"/>
      <c r="DV118" s="49"/>
      <c r="DW118" s="49"/>
      <c r="DX118" s="49"/>
      <c r="DY118" s="49"/>
      <c r="DZ118" s="49"/>
      <c r="EA118" s="49"/>
      <c r="EB118" s="49"/>
      <c r="EC118" s="49"/>
      <c r="ED118" s="49"/>
      <c r="EE118" s="49"/>
      <c r="EF118" s="49"/>
      <c r="EG118" s="49"/>
      <c r="EH118" s="49"/>
      <c r="EI118" s="49"/>
      <c r="EJ118" s="49"/>
      <c r="EK118" s="49"/>
      <c r="EL118" s="49"/>
      <c r="EM118" s="49"/>
      <c r="EN118" s="49"/>
      <c r="EO118" s="49"/>
      <c r="EP118" s="49"/>
      <c r="EQ118" s="49"/>
      <c r="ER118" s="49"/>
      <c r="ES118" s="49"/>
      <c r="ET118" s="49"/>
      <c r="EU118" s="49"/>
      <c r="EV118" s="49"/>
      <c r="EW118" s="49"/>
      <c r="EX118" s="49"/>
      <c r="EY118" s="49"/>
      <c r="EZ118" s="49"/>
      <c r="FA118" s="49"/>
    </row>
    <row r="119" spans="1:157" s="113" customFormat="1" x14ac:dyDescent="0.25">
      <c r="A119" s="113">
        <f>IF(AND('[1]Cockpit Retorno'!$E$67=Sim,Mestre!M119=Mestre!$M$98),0,1)</f>
        <v>1</v>
      </c>
      <c r="B119" s="113">
        <f>IF(AND('[1]Cockpit Retorno'!$E$67=Sim,Mestre!L119=Mestre!$L$48),0,1)</f>
        <v>0</v>
      </c>
      <c r="C119" s="113">
        <f>IF(AND('[1]Cockpit Retorno'!$E$67=Sim,Mestre!M119=Mestre!$M$97),0,1)</f>
        <v>1</v>
      </c>
      <c r="D119" s="114" t="s">
        <v>270</v>
      </c>
      <c r="E119" s="115"/>
      <c r="F119" s="116" t="s">
        <v>107</v>
      </c>
      <c r="G119" s="149"/>
      <c r="H119" s="153" t="s">
        <v>112</v>
      </c>
      <c r="I119" s="151" t="str">
        <f t="shared" si="1"/>
        <v>Despesas</v>
      </c>
      <c r="J119" s="150" t="s">
        <v>12</v>
      </c>
      <c r="K119" s="152" t="s">
        <v>112</v>
      </c>
      <c r="L119" s="153" t="s">
        <v>15</v>
      </c>
      <c r="M119" s="154" t="s">
        <v>12</v>
      </c>
      <c r="N119" s="155" t="s">
        <v>43</v>
      </c>
      <c r="O119" s="155" t="s">
        <v>261</v>
      </c>
      <c r="P119" s="155" t="s">
        <v>43</v>
      </c>
      <c r="Q119" s="155" t="s">
        <v>43</v>
      </c>
      <c r="R119" s="155" t="s">
        <v>43</v>
      </c>
      <c r="S119" s="156" t="s">
        <v>43</v>
      </c>
      <c r="T119" s="156" t="s">
        <v>43</v>
      </c>
      <c r="U119" s="150" t="s">
        <v>43</v>
      </c>
      <c r="V119" s="150" t="s">
        <v>43</v>
      </c>
      <c r="W119" s="150" t="s">
        <v>43</v>
      </c>
      <c r="X119" s="157" t="s">
        <v>271</v>
      </c>
      <c r="Y119" s="150" t="s">
        <v>43</v>
      </c>
      <c r="Z119" s="150" t="s">
        <v>43</v>
      </c>
      <c r="AA119" s="158">
        <v>0</v>
      </c>
      <c r="AB119" s="155" t="s">
        <v>43</v>
      </c>
      <c r="AC119" s="150" t="s">
        <v>43</v>
      </c>
      <c r="AD119" s="155" t="s">
        <v>43</v>
      </c>
      <c r="AE119" s="155"/>
      <c r="AF119" s="150" t="s">
        <v>43</v>
      </c>
      <c r="AG119" s="159">
        <v>1</v>
      </c>
      <c r="AH119" s="160">
        <v>193073.15268138124</v>
      </c>
      <c r="AI119" s="161">
        <v>0</v>
      </c>
      <c r="AJ119" s="161">
        <v>0</v>
      </c>
      <c r="AK119" s="162"/>
      <c r="AL119" s="163"/>
      <c r="AM119" s="164">
        <f>(((IF(L119=$L$101,1,IF(L119=$L$47,1,0))*(AH119*(1-AK119)))*AG119)*(1-AL119))</f>
        <v>193073.15268138124</v>
      </c>
      <c r="AN119" s="165">
        <f>IF(K119=$K$50,AM119,IF(K119=$K$53,AM119,IF(K119=$K$54,AM119,IF(K119=$K$55,AM119,IF(K119=$K$56,AM119,IF(K119=$K$57,AM119,IF(K119=$K$58,AM119,IF(K119=$K$65,AM119,IF(K119=$K$66,AM119,IF(K119=$K$67,AM119,IF(K119=$K$68,AM119,IF(K119=$K$69,AM119,IF(K119=$K$51,AM119,(AM119*(1+AI119)))))))))))))))</f>
        <v>193073.15268138124</v>
      </c>
      <c r="AO119" s="132">
        <v>1.6</v>
      </c>
      <c r="AP119" s="160">
        <f t="shared" si="2"/>
        <v>308917.04429021</v>
      </c>
      <c r="AQ119" s="167">
        <f t="shared" si="3"/>
        <v>267665.90418885462</v>
      </c>
      <c r="AR119" s="160">
        <f t="shared" si="4"/>
        <v>308917.04429021</v>
      </c>
      <c r="AS119" s="168">
        <f t="shared" si="5"/>
        <v>1.428242930098387</v>
      </c>
      <c r="AT119" s="169" t="str">
        <f>K119</f>
        <v>SSMA</v>
      </c>
      <c r="AU119" s="169" t="str">
        <f>I119</f>
        <v>Despesas</v>
      </c>
      <c r="AV119" s="170"/>
      <c r="AW119" s="171">
        <f>IF(K119=$K$50,0,IF(K119=$K$53,0,IF(K119=$K$54,0,IF(K119=$K$55,0,IF(K119=$K$56,0,IF(K119=$K$57,0,IF(K119=$K$58,0,IF(K119=$K$65,0,IF(K119=$K$66,0,IF(K119=$K$67,0,IF(K119=$K$68,0,IF(K119=$K$69,0,IF(K119=$K$51,0,1))))))))))))*AM119*AI119)</f>
        <v>0</v>
      </c>
      <c r="AX119" s="172">
        <f>IF(K119=$K$50,0,IF(K119=$K$53,0,IF(K119=$K$54,0,IF(K119=$K$55,0,IF(K119=$K$56,0,IF(K119=$K$57,0,IF(K119=$K$58,0,IF(K119=$K$65,0,IF(K119=$K$66,0,IF(K119=$K$67,0,IF(K119=$K$68,0,IF(K119=$K$69,0,IF(K119=$K$51,0,1))))))))))))*AM119*AJ119*$AX$94)</f>
        <v>0</v>
      </c>
      <c r="AY119" s="172">
        <f>IF(K119=$K$53,0,IF(K119=$K$54,0,IF(K119=$K$55,0,IF(K119=$K$56,0,IF(K119=$K$58,0,IF(K119=$K$50,0,IF(K119=$K$65,0,IF(K119=$K$57,0,IF(K119=$K$51,0,AM119*$AY$102)))))))))</f>
        <v>3185.7070192427905</v>
      </c>
      <c r="AZ119" s="172">
        <f>IF(K119=$K$53,0,IF(K119=$K$54,0,IF(K119=$K$55,0,IF(K119=$K$56,0,IF(K119=$K$58,0,IF(K119=$K$50,0,IF(K119=$K$65,0,IF(K119=$K$57,0,IF(K119=$K$51,0,AM119*$AZ$102)))))))))</f>
        <v>14673.559603784974</v>
      </c>
      <c r="BA119" s="172">
        <f t="shared" si="6"/>
        <v>17859.266623027765</v>
      </c>
      <c r="BB119" s="173">
        <f>IF($BA$97=1,AQ119*$BB$102,IF(K119=$K$50,0,IF(K119=$K$53,0,IF(K119=$K$54,0,IF(K119=$K$55,0,IF(K119=$K$56,0,IF(K119=$K$57,0,IF(K119=$K$58,0,IF(K119=$K$65,0,IF(K119=$K$66,0,IF(K119=$K$67,0,IF(K119=$K$68,0,IF(K119=$K$69,0,IF(K119=$K$51,0,1)))))))))))*AQ119*$BB$102)))</f>
        <v>0</v>
      </c>
      <c r="BC119" s="172">
        <f t="shared" si="7"/>
        <v>1739.8283772275552</v>
      </c>
      <c r="BD119" s="172">
        <f t="shared" si="8"/>
        <v>8029.9771256656386</v>
      </c>
      <c r="BE119" s="172">
        <f>IF($BE$95=I119,$BE$97,IF(I119=$BE$96,$BE$97,1))*($BE$102*AQ119)*$AZ$97</f>
        <v>0</v>
      </c>
      <c r="BF119" s="172">
        <f>IF('[1]Cockpit Retorno'!$C$65=Sim,Mestre!BA119,SUM(BB119:BE119)+(IF(K119=$K$56,AQ119*MOE_IRRF_LR,0)))</f>
        <v>9769.805502893194</v>
      </c>
      <c r="BG119" s="174">
        <f>IF(AA119&gt;0,0,IF(Z119=$Z$82,AG119*1,(IF(Z119=$Z$81,AG119*1,0))))</f>
        <v>0</v>
      </c>
      <c r="BH119" s="174">
        <f>IF(AA119&gt;0,0,IF(Z119=$Z$83,AG119*1,IF(Z119=$Z$81,AG119*1,0)))</f>
        <v>0</v>
      </c>
      <c r="BI119" s="174">
        <f>IF(AA119&gt;0,0,IF(Z119=$Z$84,AG119*1,IF(Z119=$Z$93,AG119*2,IF(Z119=$Z$100,AG119,IF(Z119=$Z$81,AG119*2,IF(Z119=$Z$80,AG119*1,IF(Z119=$Z$79,AG119*3,IF(Z119=$Z$78,AG119*2,0))))))))</f>
        <v>0</v>
      </c>
      <c r="BJ119" s="174">
        <f>IF(AA119&gt;0,0,IF(Z119=$Z$85,AG119,IF(Z119=$Z$93,AG119,IF(Z119=$Z$100,AG119,IF(Z119=$Z$81,AG119*1,IF(Z119=$Z$80,AG119*2,IF(Z119=$Z$79,AG119*2,IF(Z119=$Z$78,AG119*2,0))))))))</f>
        <v>0</v>
      </c>
      <c r="BK119" s="174">
        <f>IF(AA119&gt;0,0,IF(Z119=$Z$92,AG119,0))</f>
        <v>0</v>
      </c>
      <c r="BL119" s="174">
        <f>IF(AA119&gt;0,0,IF(Z119=$Z$91,AG119,0))</f>
        <v>0</v>
      </c>
      <c r="BM119" s="174">
        <f>IF(AA119&gt;0,0,IF(Z119=$Z$86,AG119,0))</f>
        <v>0</v>
      </c>
      <c r="BN119" s="174">
        <f>IF(AA119&gt;0,0,IF(Z119=$Z$87,AG119,0))</f>
        <v>0</v>
      </c>
      <c r="BO119" s="174">
        <f>IF(AA119&gt;0,0,IF(Z119=$Z$88,AG119,0))</f>
        <v>0</v>
      </c>
      <c r="BP119" s="174">
        <f>IF(AA119&gt;0,0,IF(Z119=$Z$89,AG119,0))</f>
        <v>0</v>
      </c>
      <c r="BQ119" s="174">
        <f>IF(AA119&gt;0,0,IF(Z119=$Z$90,AG119,0))</f>
        <v>0</v>
      </c>
      <c r="BR119" s="174">
        <f>IF(Z119=$Z$82,AA119*AG119,0)</f>
        <v>0</v>
      </c>
      <c r="BS119" s="174">
        <f>IF(Z119=$Z$83,AA119*AG119,0)</f>
        <v>0</v>
      </c>
      <c r="BT119" s="174">
        <f>IF(AA119&lt;1,0,IF(Z119=$Z$84,AA119*AG119,IF(Z119=$Z$93,"ERRO",IF(Z119=$Z$100,"ERRO",0))))</f>
        <v>0</v>
      </c>
      <c r="BU119" s="174">
        <f>IF(AA119&lt;1,0,IF(Z119=$Z$85,AA119*AG119,IF(Z119=$Z$93,"ERRO",IF(Z119=$Z$100,"ERRO",0))))</f>
        <v>0</v>
      </c>
      <c r="BV119" s="174">
        <f>IF(Z119=$Z$92,AA119*AG119,0)</f>
        <v>0</v>
      </c>
      <c r="BW119" s="174">
        <f>IF(Z119=$Z$91,AA119*AG119,0)</f>
        <v>0</v>
      </c>
      <c r="BX119" s="174">
        <f>IF(Z119=$Z$86,AA119*AG119,0)</f>
        <v>0</v>
      </c>
      <c r="BY119" s="174">
        <f>IF(Z119=$Z$87,AA119*AG119,0)</f>
        <v>0</v>
      </c>
      <c r="BZ119" s="174">
        <f>IF(Z119=$Z$88,AA119*AG119,0)</f>
        <v>0</v>
      </c>
      <c r="CA119" s="174">
        <f>IF(Z119=$Z$89,AA119*AG119,0)</f>
        <v>0</v>
      </c>
      <c r="CB119" s="174">
        <f>IF(Z119=$Z$90,AA119*AG119,0)</f>
        <v>0</v>
      </c>
      <c r="CC119" s="175">
        <f>IFERROR(IF(L119=$L$49,AG119*AH119*(1+AI119)*(1-AK119)*(1-AL119),0),0)</f>
        <v>0</v>
      </c>
      <c r="CD119" s="194">
        <f>IF(I119=$CD$97,1,IF(I119=$CD$100,2,IF(K119=$K$66,1,IF(K119=$K$69,1,3))))</f>
        <v>2</v>
      </c>
      <c r="CE119" s="194">
        <f t="shared" si="14"/>
        <v>1.07</v>
      </c>
      <c r="CF119" s="195">
        <f t="shared" si="9"/>
        <v>1.2788999999999999</v>
      </c>
      <c r="CG119" s="194">
        <f t="shared" si="15"/>
        <v>1.47</v>
      </c>
      <c r="CH119" s="195">
        <f t="shared" si="10"/>
        <v>1.6023000000000001</v>
      </c>
      <c r="CI119" s="194">
        <f t="shared" si="16"/>
        <v>1.7</v>
      </c>
      <c r="CJ119" s="196">
        <f t="shared" si="17"/>
        <v>1.0486</v>
      </c>
      <c r="CK119" s="196">
        <f t="shared" si="18"/>
        <v>1.1893769999999999</v>
      </c>
      <c r="CL119" s="196">
        <f t="shared" si="19"/>
        <v>1.4405999999999999</v>
      </c>
      <c r="CM119" s="196">
        <f t="shared" si="20"/>
        <v>1.5542309999999999</v>
      </c>
      <c r="CN119" s="197">
        <f t="shared" si="21"/>
        <v>1.6319999999999999</v>
      </c>
      <c r="CO119" s="195">
        <f t="shared" si="22"/>
        <v>1.006656</v>
      </c>
      <c r="CP119" s="198">
        <f t="shared" si="11"/>
        <v>-8089.4611201345706</v>
      </c>
      <c r="CQ119" s="199">
        <f t="shared" si="12"/>
        <v>275755.36530898919</v>
      </c>
      <c r="CR119" s="200">
        <f t="shared" si="13"/>
        <v>9769.805502893194</v>
      </c>
      <c r="CS119" s="49"/>
      <c r="CT119" s="49"/>
      <c r="CU119" s="49"/>
      <c r="CV119" s="49"/>
      <c r="CW119" s="49"/>
      <c r="CX119" s="49"/>
      <c r="CY119" s="49"/>
      <c r="CZ119" s="49"/>
      <c r="DA119" s="49"/>
      <c r="DB119" s="49"/>
      <c r="DC119" s="49"/>
      <c r="DD119" s="49"/>
      <c r="DE119" s="49"/>
      <c r="DF119" s="49"/>
      <c r="DG119" s="49"/>
      <c r="DH119" s="49"/>
      <c r="DI119" s="49"/>
      <c r="DJ119" s="49"/>
      <c r="DK119" s="49"/>
      <c r="DL119" s="49"/>
      <c r="DM119" s="49"/>
      <c r="DN119" s="49"/>
      <c r="DO119" s="49"/>
      <c r="DP119" s="49"/>
      <c r="DQ119" s="49"/>
      <c r="DR119" s="49"/>
      <c r="DS119" s="49"/>
      <c r="DT119" s="49"/>
      <c r="DU119" s="49"/>
      <c r="DV119" s="49"/>
      <c r="DW119" s="49"/>
      <c r="DX119" s="49"/>
      <c r="DY119" s="49"/>
      <c r="DZ119" s="49"/>
      <c r="EA119" s="49"/>
      <c r="EB119" s="49"/>
      <c r="EC119" s="49"/>
      <c r="ED119" s="49"/>
      <c r="EE119" s="49"/>
      <c r="EF119" s="49"/>
      <c r="EG119" s="49"/>
      <c r="EH119" s="49"/>
      <c r="EI119" s="49"/>
      <c r="EJ119" s="49"/>
      <c r="EK119" s="49"/>
      <c r="EL119" s="49"/>
      <c r="EM119" s="49"/>
      <c r="EN119" s="49"/>
      <c r="EO119" s="49"/>
      <c r="EP119" s="49"/>
      <c r="EQ119" s="49"/>
      <c r="ER119" s="49"/>
      <c r="ES119" s="49"/>
      <c r="ET119" s="49"/>
      <c r="EU119" s="49"/>
      <c r="EV119" s="49"/>
      <c r="EW119" s="49"/>
      <c r="EX119" s="49"/>
      <c r="EY119" s="49"/>
      <c r="EZ119" s="49"/>
      <c r="FA119" s="49"/>
    </row>
    <row r="120" spans="1:157" s="113" customFormat="1" x14ac:dyDescent="0.25">
      <c r="A120" s="113">
        <f>IF(AND('[1]Cockpit Retorno'!$E$67=Sim,Mestre!M120=Mestre!$M$98),0,1)</f>
        <v>1</v>
      </c>
      <c r="B120" s="113">
        <f>IF(AND('[1]Cockpit Retorno'!$E$67=Sim,Mestre!L120=Mestre!$L$48),0,1)</f>
        <v>0</v>
      </c>
      <c r="C120" s="113">
        <f>IF(AND('[1]Cockpit Retorno'!$E$67=Sim,Mestre!M120=Mestre!$M$97),0,1)</f>
        <v>1</v>
      </c>
      <c r="D120" s="114" t="s">
        <v>259</v>
      </c>
      <c r="E120" s="115"/>
      <c r="F120" s="116" t="s">
        <v>107</v>
      </c>
      <c r="G120" s="149"/>
      <c r="H120" s="153" t="s">
        <v>116</v>
      </c>
      <c r="I120" s="151" t="str">
        <f>VLOOKUP(K120,$N$74:$O$95,2)</f>
        <v>Despesas</v>
      </c>
      <c r="J120" s="150" t="s">
        <v>12</v>
      </c>
      <c r="K120" s="152" t="s">
        <v>116</v>
      </c>
      <c r="L120" s="153" t="s">
        <v>15</v>
      </c>
      <c r="M120" s="154" t="s">
        <v>12</v>
      </c>
      <c r="N120" s="155" t="s">
        <v>43</v>
      </c>
      <c r="O120" s="155" t="s">
        <v>261</v>
      </c>
      <c r="P120" s="155" t="s">
        <v>43</v>
      </c>
      <c r="Q120" s="155" t="s">
        <v>43</v>
      </c>
      <c r="R120" s="155" t="s">
        <v>43</v>
      </c>
      <c r="S120" s="156" t="s">
        <v>43</v>
      </c>
      <c r="T120" s="156" t="s">
        <v>43</v>
      </c>
      <c r="U120" s="150" t="s">
        <v>43</v>
      </c>
      <c r="V120" s="150" t="s">
        <v>43</v>
      </c>
      <c r="W120" s="150" t="s">
        <v>43</v>
      </c>
      <c r="X120" s="157" t="s">
        <v>272</v>
      </c>
      <c r="Y120" s="150" t="s">
        <v>43</v>
      </c>
      <c r="Z120" s="150" t="s">
        <v>43</v>
      </c>
      <c r="AA120" s="158">
        <v>0</v>
      </c>
      <c r="AB120" s="155" t="s">
        <v>43</v>
      </c>
      <c r="AC120" s="150" t="s">
        <v>43</v>
      </c>
      <c r="AD120" s="155" t="s">
        <v>43</v>
      </c>
      <c r="AE120" s="155"/>
      <c r="AF120" s="150" t="s">
        <v>43</v>
      </c>
      <c r="AG120" s="159">
        <v>6</v>
      </c>
      <c r="AH120" s="159">
        <v>6741.9354838709669</v>
      </c>
      <c r="AI120" s="161">
        <v>0</v>
      </c>
      <c r="AJ120" s="161">
        <v>7.0000000000000007E-2</v>
      </c>
      <c r="AK120" s="162"/>
      <c r="AL120" s="163"/>
      <c r="AM120" s="164">
        <f>(((IF(L120=$L$101,1,IF(L120=$L$47,1,0))*(AH120*(1-AK120)))*AG120)*(1-AL120))</f>
        <v>40451.612903225803</v>
      </c>
      <c r="AN120" s="191">
        <f>IF(K120=$K$50,AM120,IF(K120=$K$53,AM120,IF(K120=$K$54,AM120,IF(K120=$K$55,AM120,IF(K120=$K$56,AM120,IF(K120=$K$57,AM120,IF(K120=$K$58,AM120,IF(K120=$K$65,AM120,IF(K120=$K$66,AM120,IF(K120=$K$67,AM120,IF(K120=$K$68,AM120,IF(K120=$K$69,AM120,IF(K120=$K$51,AM120,(AM120*(1+AI120)))))))))))))))</f>
        <v>40451.612903225803</v>
      </c>
      <c r="AO120" s="132">
        <v>1.6</v>
      </c>
      <c r="AP120" s="160">
        <f>AM120*AO120</f>
        <v>64722.580645161288</v>
      </c>
      <c r="AQ120" s="167">
        <f>AP120*Fator_Venda</f>
        <v>56079.87124707894</v>
      </c>
      <c r="AR120" s="160">
        <f>AO120*AN120</f>
        <v>64722.580645161288</v>
      </c>
      <c r="AS120" s="168">
        <f>IFERROR(IF($AX$94=0,(CQ120/AN120),CQ120/AM120),0)</f>
        <v>1.428242930098387</v>
      </c>
      <c r="AT120" s="169" t="str">
        <f>K120</f>
        <v>TRS</v>
      </c>
      <c r="AU120" s="169" t="str">
        <f>I120</f>
        <v>Despesas</v>
      </c>
      <c r="AV120" s="170"/>
      <c r="AW120" s="171">
        <f>IF(K120=$K$50,0,IF(K120=$K$53,0,IF(K120=$K$54,0,IF(K120=$K$55,0,IF(K120=$K$56,0,IF(K120=$K$57,0,IF(K120=$K$58,0,IF(K120=$K$65,0,IF(K120=$K$66,0,IF(K120=$K$67,0,IF(K120=$K$68,0,IF(K120=$K$69,0,IF(K120=$K$51,0,1))))))))))))*AM120*AI120)</f>
        <v>0</v>
      </c>
      <c r="AX120" s="172">
        <f>IF(K120=$K$50,0,IF(K120=$K$53,0,IF(K120=$K$54,0,IF(K120=$K$55,0,IF(K120=$K$56,0,IF(K120=$K$57,0,IF(K120=$K$58,0,IF(K120=$K$65,0,IF(K120=$K$66,0,IF(K120=$K$67,0,IF(K120=$K$68,0,IF(K120=$K$69,0,IF(K120=$K$51,0,1))))))))))))*AM120*AJ120*$AX$94)</f>
        <v>0</v>
      </c>
      <c r="AY120" s="172">
        <f>IF(K120=$K$53,0,IF(K120=$K$54,0,IF(K120=$K$55,0,IF(K120=$K$56,0,IF(K120=$K$58,0,IF(K120=$K$50,0,IF(K120=$K$65,0,IF(K120=$K$57,0,IF(K120=$K$51,0,AM120*$AY$102)))))))))</f>
        <v>667.45161290322574</v>
      </c>
      <c r="AZ120" s="172">
        <f>IF(K120=$K$53,0,IF(K120=$K$54,0,IF(K120=$K$55,0,IF(K120=$K$56,0,IF(K120=$K$58,0,IF(K120=$K$50,0,IF(K120=$K$65,0,IF(K120=$K$57,0,IF(K120=$K$51,0,AM120*$AZ$102)))))))))</f>
        <v>3074.322580645161</v>
      </c>
      <c r="BA120" s="172">
        <f>AZ120+AY120+AX120</f>
        <v>3741.7741935483868</v>
      </c>
      <c r="BB120" s="173">
        <f>IF($BA$97=1,AQ120*$BB$102,IF(K120=$K$50,0,IF(K120=$K$53,0,IF(K120=$K$54,0,IF(K120=$K$55,0,IF(K120=$K$56,0,IF(K120=$K$57,0,IF(K120=$K$58,0,IF(K120=$K$65,0,IF(K120=$K$66,0,IF(K120=$K$67,0,IF(K120=$K$68,0,IF(K120=$K$69,0,IF(K120=$K$51,0,1)))))))))))*AQ120*$BB$102)))</f>
        <v>0</v>
      </c>
      <c r="BC120" s="172">
        <f>AQ120*$BC$102</f>
        <v>364.51916310601314</v>
      </c>
      <c r="BD120" s="172">
        <f>$BD$102*AQ120</f>
        <v>1682.396137412368</v>
      </c>
      <c r="BE120" s="172">
        <f>IF($BE$95=I120,$BE$97,IF(I120=$BE$96,$BE$97,1))*($BE$102*AQ120)*$AZ$97</f>
        <v>0</v>
      </c>
      <c r="BF120" s="172">
        <f>IF('[1]Cockpit Retorno'!$C$65=Sim,Mestre!BA120,SUM(BB120:BE120)+(IF(K120=$K$56,AQ120*MOE_IRRF_LR,0)))</f>
        <v>2046.9153005183812</v>
      </c>
      <c r="BG120" s="174">
        <f>IF(AA120&gt;0,0,IF(Z120=$Z$82,AG120*1,(IF(Z120=$Z$81,AG120*1,0))))</f>
        <v>0</v>
      </c>
      <c r="BH120" s="174">
        <f>IF(AA120&gt;0,0,IF(Z120=$Z$83,AG120*1,IF(Z120=$Z$81,AG120*1,0)))</f>
        <v>0</v>
      </c>
      <c r="BI120" s="174">
        <f>IF(AA120&gt;0,0,IF(Z120=$Z$84,AG120*1,IF(Z120=$Z$93,AG120*2,IF(Z120=$Z$100,AG120,IF(Z120=$Z$81,AG120*2,IF(Z120=$Z$80,AG120*1,IF(Z120=$Z$79,AG120*3,IF(Z120=$Z$78,AG120*2,0))))))))</f>
        <v>0</v>
      </c>
      <c r="BJ120" s="174">
        <f>IF(AA120&gt;0,0,IF(Z120=$Z$85,AG120,IF(Z120=$Z$93,AG120,IF(Z120=$Z$100,AG120,IF(Z120=$Z$81,AG120*1,IF(Z120=$Z$80,AG120*2,IF(Z120=$Z$79,AG120*2,IF(Z120=$Z$78,AG120*2,0))))))))</f>
        <v>0</v>
      </c>
      <c r="BK120" s="174">
        <f>IF(AA120&gt;0,0,IF(Z120=$Z$92,AG120,0))</f>
        <v>0</v>
      </c>
      <c r="BL120" s="174">
        <f>IF(AA120&gt;0,0,IF(Z120=$Z$91,AG120,0))</f>
        <v>0</v>
      </c>
      <c r="BM120" s="174">
        <f>IF(AA120&gt;0,0,IF(Z120=$Z$86,AG120,0))</f>
        <v>0</v>
      </c>
      <c r="BN120" s="174">
        <f>IF(AA120&gt;0,0,IF(Z120=$Z$87,AG120,0))</f>
        <v>0</v>
      </c>
      <c r="BO120" s="174">
        <f>IF(AA120&gt;0,0,IF(Z120=$Z$88,AG120,0))</f>
        <v>0</v>
      </c>
      <c r="BP120" s="174">
        <f>IF(AA120&gt;0,0,IF(Z120=$Z$89,AG120,0))</f>
        <v>0</v>
      </c>
      <c r="BQ120" s="174">
        <f>IF(AA120&gt;0,0,IF(Z120=$Z$90,AG120,0))</f>
        <v>0</v>
      </c>
      <c r="BR120" s="174">
        <f>IF(Z120=$Z$82,AA120*AG120,0)</f>
        <v>0</v>
      </c>
      <c r="BS120" s="174">
        <f>IF(Z120=$Z$83,AA120*AG120,0)</f>
        <v>0</v>
      </c>
      <c r="BT120" s="174">
        <f>IF(AA120&lt;1,0,IF(Z120=$Z$84,AA120*AG120,IF(Z120=$Z$93,"ERRO",IF(Z120=$Z$100,"ERRO",0))))</f>
        <v>0</v>
      </c>
      <c r="BU120" s="174">
        <f>IF(AA120&lt;1,0,IF(Z120=$Z$85,AA120*AG120,IF(Z120=$Z$93,"ERRO",IF(Z120=$Z$100,"ERRO",0))))</f>
        <v>0</v>
      </c>
      <c r="BV120" s="174">
        <f>IF(Z120=$Z$92,AA120*AG120,0)</f>
        <v>0</v>
      </c>
      <c r="BW120" s="174">
        <f>IF(Z120=$Z$91,AA120*AG120,0)</f>
        <v>0</v>
      </c>
      <c r="BX120" s="174">
        <f>IF(Z120=$Z$86,AA120*AG120,0)</f>
        <v>0</v>
      </c>
      <c r="BY120" s="174">
        <f>IF(Z120=$Z$87,AA120*AG120,0)</f>
        <v>0</v>
      </c>
      <c r="BZ120" s="174">
        <f>IF(Z120=$Z$88,AA120*AG120,0)</f>
        <v>0</v>
      </c>
      <c r="CA120" s="174">
        <f>IF(Z120=$Z$89,AA120*AG120,0)</f>
        <v>0</v>
      </c>
      <c r="CB120" s="174">
        <f>IF(Z120=$Z$90,AA120*AG120,0)</f>
        <v>0</v>
      </c>
      <c r="CC120" s="175">
        <f>IFERROR(IF(L120=$L$49,AG120*AH120*(1+AI120)*(1-AK120)*(1-AL120),0),0)</f>
        <v>0</v>
      </c>
      <c r="CD120" s="194">
        <f>IF(I120=$CD$97,1,IF(I120=$CD$100,2,IF(K120=$K$66,1,IF(K120=$K$69,1,3))))</f>
        <v>2</v>
      </c>
      <c r="CE120" s="194">
        <f t="shared" si="14"/>
        <v>1.07</v>
      </c>
      <c r="CF120" s="195">
        <f>CG120*0.87</f>
        <v>1.2788999999999999</v>
      </c>
      <c r="CG120" s="194">
        <f t="shared" si="15"/>
        <v>1.47</v>
      </c>
      <c r="CH120" s="195">
        <f>CG120*1.09</f>
        <v>1.6023000000000001</v>
      </c>
      <c r="CI120" s="194">
        <f t="shared" si="16"/>
        <v>1.7</v>
      </c>
      <c r="CJ120" s="196">
        <f>CE120*$CJ$102</f>
        <v>1.0486</v>
      </c>
      <c r="CK120" s="196">
        <f>CF120*$CK$102</f>
        <v>1.1893769999999999</v>
      </c>
      <c r="CL120" s="196">
        <f>CG120*$CL$102</f>
        <v>1.4405999999999999</v>
      </c>
      <c r="CM120" s="196">
        <f>CH120*$CM$102</f>
        <v>1.5542309999999999</v>
      </c>
      <c r="CN120" s="197">
        <f>CI120*$CN$102</f>
        <v>1.6319999999999999</v>
      </c>
      <c r="CO120" s="195">
        <f t="shared" si="22"/>
        <v>1.006656</v>
      </c>
      <c r="CP120" s="198">
        <f>BF120-BA120</f>
        <v>-1694.8588930300057</v>
      </c>
      <c r="CQ120" s="199">
        <f>AQ120-CP120</f>
        <v>57774.730140108943</v>
      </c>
      <c r="CR120" s="200">
        <f>BC120+BD120</f>
        <v>2046.9153005183812</v>
      </c>
      <c r="CS120" s="49"/>
      <c r="CT120" s="49"/>
      <c r="CU120" s="49"/>
      <c r="CV120" s="49"/>
      <c r="CW120" s="49"/>
      <c r="CX120" s="49"/>
      <c r="CY120" s="49"/>
      <c r="CZ120" s="49"/>
      <c r="DA120" s="49"/>
      <c r="DB120" s="49"/>
      <c r="DC120" s="49"/>
      <c r="DD120" s="49"/>
      <c r="DE120" s="49"/>
      <c r="DF120" s="49"/>
      <c r="DG120" s="49"/>
      <c r="DH120" s="49"/>
      <c r="DI120" s="49"/>
      <c r="DJ120" s="49"/>
      <c r="DK120" s="49"/>
      <c r="DL120" s="49"/>
      <c r="DM120" s="49"/>
      <c r="DN120" s="49"/>
      <c r="DO120" s="49"/>
      <c r="DP120" s="49"/>
      <c r="DQ120" s="49"/>
      <c r="DR120" s="49"/>
      <c r="DS120" s="49"/>
      <c r="DT120" s="49"/>
      <c r="DU120" s="49"/>
      <c r="DV120" s="49"/>
      <c r="DW120" s="49"/>
      <c r="DX120" s="49"/>
      <c r="DY120" s="49"/>
      <c r="DZ120" s="49"/>
      <c r="EA120" s="49"/>
      <c r="EB120" s="49"/>
      <c r="EC120" s="49"/>
      <c r="ED120" s="49"/>
      <c r="EE120" s="49"/>
      <c r="EF120" s="49"/>
      <c r="EG120" s="49"/>
      <c r="EH120" s="49"/>
      <c r="EI120" s="49"/>
      <c r="EJ120" s="49"/>
      <c r="EK120" s="49"/>
      <c r="EL120" s="49"/>
      <c r="EM120" s="49"/>
      <c r="EN120" s="49"/>
      <c r="EO120" s="49"/>
      <c r="EP120" s="49"/>
      <c r="EQ120" s="49"/>
      <c r="ER120" s="49"/>
      <c r="ES120" s="49"/>
      <c r="ET120" s="49"/>
      <c r="EU120" s="49"/>
      <c r="EV120" s="49"/>
      <c r="EW120" s="49"/>
      <c r="EX120" s="49"/>
      <c r="EY120" s="49"/>
      <c r="EZ120" s="49"/>
      <c r="FA120" s="49"/>
    </row>
    <row r="121" spans="1:157" s="113" customFormat="1" x14ac:dyDescent="0.25">
      <c r="A121" s="113">
        <f>IF(AND('[1]Cockpit Retorno'!$E$67=Sim,Mestre!M121=Mestre!$M$98),0,1)</f>
        <v>1</v>
      </c>
      <c r="B121" s="113">
        <f>IF(AND('[1]Cockpit Retorno'!$E$67=Sim,Mestre!L121=Mestre!$L$48),0,1)</f>
        <v>0</v>
      </c>
      <c r="C121" s="113">
        <f>IF(AND('[1]Cockpit Retorno'!$E$67=Sim,Mestre!M121=Mestre!$M$97),0,1)</f>
        <v>1</v>
      </c>
      <c r="D121" s="114" t="s">
        <v>259</v>
      </c>
      <c r="E121" s="115"/>
      <c r="F121" s="116" t="s">
        <v>107</v>
      </c>
      <c r="G121" s="149"/>
      <c r="H121" s="153" t="s">
        <v>116</v>
      </c>
      <c r="I121" s="151" t="str">
        <f>VLOOKUP(K121,$N$74:$O$95,2)</f>
        <v>Despesas</v>
      </c>
      <c r="J121" s="150" t="s">
        <v>12</v>
      </c>
      <c r="K121" s="152" t="s">
        <v>116</v>
      </c>
      <c r="L121" s="153" t="s">
        <v>15</v>
      </c>
      <c r="M121" s="154" t="s">
        <v>12</v>
      </c>
      <c r="N121" s="155" t="s">
        <v>43</v>
      </c>
      <c r="O121" s="155" t="s">
        <v>261</v>
      </c>
      <c r="P121" s="155" t="s">
        <v>43</v>
      </c>
      <c r="Q121" s="155" t="s">
        <v>43</v>
      </c>
      <c r="R121" s="155" t="s">
        <v>43</v>
      </c>
      <c r="S121" s="156" t="s">
        <v>43</v>
      </c>
      <c r="T121" s="156" t="s">
        <v>43</v>
      </c>
      <c r="U121" s="150" t="s">
        <v>43</v>
      </c>
      <c r="V121" s="150" t="s">
        <v>43</v>
      </c>
      <c r="W121" s="150" t="s">
        <v>43</v>
      </c>
      <c r="X121" s="157" t="s">
        <v>272</v>
      </c>
      <c r="Y121" s="150" t="s">
        <v>43</v>
      </c>
      <c r="Z121" s="150" t="s">
        <v>43</v>
      </c>
      <c r="AA121" s="158">
        <v>0</v>
      </c>
      <c r="AB121" s="155" t="s">
        <v>43</v>
      </c>
      <c r="AC121" s="150" t="s">
        <v>43</v>
      </c>
      <c r="AD121" s="155" t="s">
        <v>43</v>
      </c>
      <c r="AE121" s="155"/>
      <c r="AF121" s="150" t="s">
        <v>43</v>
      </c>
      <c r="AG121" s="159">
        <v>1</v>
      </c>
      <c r="AH121" s="159">
        <v>11526.744119381443</v>
      </c>
      <c r="AI121" s="161">
        <v>0</v>
      </c>
      <c r="AJ121" s="161">
        <v>7.0000000000000007E-2</v>
      </c>
      <c r="AK121" s="162"/>
      <c r="AL121" s="163"/>
      <c r="AM121" s="164">
        <f>(((IF(L121=$L$101,1,IF(L121=$L$47,1,0))*(AH121*(1-AK121)))*AG121)*(1-AL121))</f>
        <v>11526.744119381443</v>
      </c>
      <c r="AN121" s="191">
        <f>IF(K121=$K$50,AM121,IF(K121=$K$53,AM121,IF(K121=$K$54,AM121,IF(K121=$K$55,AM121,IF(K121=$K$56,AM121,IF(K121=$K$57,AM121,IF(K121=$K$58,AM121,IF(K121=$K$65,AM121,IF(K121=$K$66,AM121,IF(K121=$K$67,AM121,IF(K121=$K$68,AM121,IF(K121=$K$69,AM121,IF(K121=$K$51,AM121,(AM121*(1+AI121)))))))))))))))</f>
        <v>11526.744119381443</v>
      </c>
      <c r="AO121" s="132">
        <v>1.6</v>
      </c>
      <c r="AP121" s="160">
        <f>AM121*AO121</f>
        <v>18442.790591010311</v>
      </c>
      <c r="AQ121" s="167">
        <f>AP121*Fator_Venda</f>
        <v>15980.038364833339</v>
      </c>
      <c r="AR121" s="160">
        <f>AO121*AN121</f>
        <v>18442.790591010311</v>
      </c>
      <c r="AS121" s="168">
        <f>IFERROR(IF($AX$94=0,(CQ121/AN121),CQ121/AM121),0)</f>
        <v>1.428242930098387</v>
      </c>
      <c r="AT121" s="169" t="str">
        <f>K121</f>
        <v>TRS</v>
      </c>
      <c r="AU121" s="169" t="str">
        <f>I121</f>
        <v>Despesas</v>
      </c>
      <c r="AV121" s="170"/>
      <c r="AW121" s="171">
        <f>IF(K121=$K$50,0,IF(K121=$K$53,0,IF(K121=$K$54,0,IF(K121=$K$55,0,IF(K121=$K$56,0,IF(K121=$K$57,0,IF(K121=$K$58,0,IF(K121=$K$65,0,IF(K121=$K$66,0,IF(K121=$K$67,0,IF(K121=$K$68,0,IF(K121=$K$69,0,IF(K121=$K$51,0,1))))))))))))*AM121*AI121)</f>
        <v>0</v>
      </c>
      <c r="AX121" s="172">
        <f>IF(K121=$K$50,0,IF(K121=$K$53,0,IF(K121=$K$54,0,IF(K121=$K$55,0,IF(K121=$K$56,0,IF(K121=$K$57,0,IF(K121=$K$58,0,IF(K121=$K$65,0,IF(K121=$K$66,0,IF(K121=$K$67,0,IF(K121=$K$68,0,IF(K121=$K$69,0,IF(K121=$K$51,0,1))))))))))))*AM121*AJ121*$AX$94)</f>
        <v>0</v>
      </c>
      <c r="AY121" s="172">
        <f>IF(K121=$K$53,0,IF(K121=$K$54,0,IF(K121=$K$55,0,IF(K121=$K$56,0,IF(K121=$K$58,0,IF(K121=$K$50,0,IF(K121=$K$65,0,IF(K121=$K$57,0,IF(K121=$K$51,0,AM121*$AY$102)))))))))</f>
        <v>190.19127796979382</v>
      </c>
      <c r="AZ121" s="172">
        <f>IF(K121=$K$53,0,IF(K121=$K$54,0,IF(K121=$K$55,0,IF(K121=$K$56,0,IF(K121=$K$58,0,IF(K121=$K$50,0,IF(K121=$K$65,0,IF(K121=$K$57,0,IF(K121=$K$51,0,AM121*$AZ$102)))))))))</f>
        <v>876.03255307298969</v>
      </c>
      <c r="BA121" s="172">
        <f>AZ121+AY121+AX121</f>
        <v>1066.2238310427836</v>
      </c>
      <c r="BB121" s="173">
        <f>IF($BA$97=1,AQ121*$BB$102,IF(K121=$K$50,0,IF(K121=$K$53,0,IF(K121=$K$54,0,IF(K121=$K$55,0,IF(K121=$K$56,0,IF(K121=$K$57,0,IF(K121=$K$58,0,IF(K121=$K$65,0,IF(K121=$K$66,0,IF(K121=$K$67,0,IF(K121=$K$68,0,IF(K121=$K$69,0,IF(K121=$K$51,0,1)))))))))))*AQ121*$BB$102)))</f>
        <v>0</v>
      </c>
      <c r="BC121" s="172">
        <f>AQ121*$BC$102</f>
        <v>103.87024937141672</v>
      </c>
      <c r="BD121" s="172">
        <f>$BD$102*AQ121</f>
        <v>479.40115094500015</v>
      </c>
      <c r="BE121" s="172">
        <f>IF($BE$95=I121,$BE$97,IF(I121=$BE$96,$BE$97,1))*($BE$102*AQ121)*$AZ$97</f>
        <v>0</v>
      </c>
      <c r="BF121" s="172">
        <f>IF('[1]Cockpit Retorno'!$C$65=Sim,Mestre!BA121,SUM(BB121:BE121)+(IF(K121=$K$56,AQ121*MOE_IRRF_LR,0)))</f>
        <v>583.27140031641693</v>
      </c>
      <c r="BG121" s="174">
        <f>IF(AA121&gt;0,0,IF(Z121=$Z$82,AG121*1,(IF(Z121=$Z$81,AG121*1,0))))</f>
        <v>0</v>
      </c>
      <c r="BH121" s="174">
        <f>IF(AA121&gt;0,0,IF(Z121=$Z$83,AG121*1,IF(Z121=$Z$81,AG121*1,0)))</f>
        <v>0</v>
      </c>
      <c r="BI121" s="174">
        <f>IF(AA121&gt;0,0,IF(Z121=$Z$84,AG121*1,IF(Z121=$Z$93,AG121*2,IF(Z121=$Z$100,AG121,IF(Z121=$Z$81,AG121*2,IF(Z121=$Z$80,AG121*1,IF(Z121=$Z$79,AG121*3,IF(Z121=$Z$78,AG121*2,0))))))))</f>
        <v>0</v>
      </c>
      <c r="BJ121" s="174">
        <f>IF(AA121&gt;0,0,IF(Z121=$Z$85,AG121,IF(Z121=$Z$93,AG121,IF(Z121=$Z$100,AG121,IF(Z121=$Z$81,AG121*1,IF(Z121=$Z$80,AG121*2,IF(Z121=$Z$79,AG121*2,IF(Z121=$Z$78,AG121*2,0))))))))</f>
        <v>0</v>
      </c>
      <c r="BK121" s="174">
        <f>IF(AA121&gt;0,0,IF(Z121=$Z$92,AG121,0))</f>
        <v>0</v>
      </c>
      <c r="BL121" s="174">
        <f>IF(AA121&gt;0,0,IF(Z121=$Z$91,AG121,0))</f>
        <v>0</v>
      </c>
      <c r="BM121" s="174">
        <f>IF(AA121&gt;0,0,IF(Z121=$Z$86,AG121,0))</f>
        <v>0</v>
      </c>
      <c r="BN121" s="174">
        <f>IF(AA121&gt;0,0,IF(Z121=$Z$87,AG121,0))</f>
        <v>0</v>
      </c>
      <c r="BO121" s="174">
        <f>IF(AA121&gt;0,0,IF(Z121=$Z$88,AG121,0))</f>
        <v>0</v>
      </c>
      <c r="BP121" s="174">
        <f>IF(AA121&gt;0,0,IF(Z121=$Z$89,AG121,0))</f>
        <v>0</v>
      </c>
      <c r="BQ121" s="174">
        <f>IF(AA121&gt;0,0,IF(Z121=$Z$90,AG121,0))</f>
        <v>0</v>
      </c>
      <c r="BR121" s="174">
        <f>IF(Z121=$Z$82,AA121*AG121,0)</f>
        <v>0</v>
      </c>
      <c r="BS121" s="174">
        <f>IF(Z121=$Z$83,AA121*AG121,0)</f>
        <v>0</v>
      </c>
      <c r="BT121" s="174">
        <f>IF(AA121&lt;1,0,IF(Z121=$Z$84,AA121*AG121,IF(Z121=$Z$93,"ERRO",IF(Z121=$Z$100,"ERRO",0))))</f>
        <v>0</v>
      </c>
      <c r="BU121" s="174">
        <f>IF(AA121&lt;1,0,IF(Z121=$Z$85,AA121*AG121,IF(Z121=$Z$93,"ERRO",IF(Z121=$Z$100,"ERRO",0))))</f>
        <v>0</v>
      </c>
      <c r="BV121" s="174">
        <f>IF(Z121=$Z$92,AA121*AG121,0)</f>
        <v>0</v>
      </c>
      <c r="BW121" s="174">
        <f>IF(Z121=$Z$91,AA121*AG121,0)</f>
        <v>0</v>
      </c>
      <c r="BX121" s="174">
        <f>IF(Z121=$Z$86,AA121*AG121,0)</f>
        <v>0</v>
      </c>
      <c r="BY121" s="174">
        <f>IF(Z121=$Z$87,AA121*AG121,0)</f>
        <v>0</v>
      </c>
      <c r="BZ121" s="174">
        <f>IF(Z121=$Z$88,AA121*AG121,0)</f>
        <v>0</v>
      </c>
      <c r="CA121" s="174">
        <f>IF(Z121=$Z$89,AA121*AG121,0)</f>
        <v>0</v>
      </c>
      <c r="CB121" s="174">
        <f>IF(Z121=$Z$90,AA121*AG121,0)</f>
        <v>0</v>
      </c>
      <c r="CC121" s="175">
        <f>IFERROR(IF(L121=$L$49,AG121*AH121*(1+AI121)*(1-AK121)*(1-AL121),0),0)</f>
        <v>0</v>
      </c>
      <c r="CD121" s="194">
        <f>IF(I121=$CD$97,1,IF(I121=$CD$100,2,IF(K121=$K$66,1,IF(K121=$K$69,1,3))))</f>
        <v>2</v>
      </c>
      <c r="CE121" s="194">
        <f t="shared" si="14"/>
        <v>1.07</v>
      </c>
      <c r="CF121" s="195">
        <f>CG121*0.87</f>
        <v>1.2788999999999999</v>
      </c>
      <c r="CG121" s="194">
        <f t="shared" si="15"/>
        <v>1.47</v>
      </c>
      <c r="CH121" s="195">
        <f>CG121*1.09</f>
        <v>1.6023000000000001</v>
      </c>
      <c r="CI121" s="194">
        <f t="shared" si="16"/>
        <v>1.7</v>
      </c>
      <c r="CJ121" s="196">
        <f>CE121*$CJ$102</f>
        <v>1.0486</v>
      </c>
      <c r="CK121" s="196">
        <f>CF121*$CK$102</f>
        <v>1.1893769999999999</v>
      </c>
      <c r="CL121" s="196">
        <f>CG121*$CL$102</f>
        <v>1.4405999999999999</v>
      </c>
      <c r="CM121" s="196">
        <f>CH121*$CM$102</f>
        <v>1.5542309999999999</v>
      </c>
      <c r="CN121" s="197">
        <f>CI121*$CN$102</f>
        <v>1.6319999999999999</v>
      </c>
      <c r="CO121" s="195">
        <f t="shared" si="22"/>
        <v>1.006656</v>
      </c>
      <c r="CP121" s="198">
        <f>BF121-BA121</f>
        <v>-482.95243072636663</v>
      </c>
      <c r="CQ121" s="199">
        <f>AQ121-CP121</f>
        <v>16462.990795559705</v>
      </c>
      <c r="CR121" s="200">
        <f>BC121+BD121</f>
        <v>583.27140031641693</v>
      </c>
      <c r="CS121" s="49"/>
      <c r="CT121" s="49"/>
      <c r="CU121" s="49"/>
      <c r="CV121" s="49"/>
      <c r="CW121" s="49"/>
      <c r="CX121" s="49"/>
      <c r="CY121" s="49"/>
      <c r="CZ121" s="49"/>
      <c r="DA121" s="49"/>
      <c r="DB121" s="49"/>
      <c r="DC121" s="49"/>
      <c r="DD121" s="49"/>
      <c r="DE121" s="49"/>
      <c r="DF121" s="49"/>
      <c r="DG121" s="49"/>
      <c r="DH121" s="49"/>
      <c r="DI121" s="49"/>
      <c r="DJ121" s="49"/>
      <c r="DK121" s="49"/>
      <c r="DL121" s="49"/>
      <c r="DM121" s="49"/>
      <c r="DN121" s="49"/>
      <c r="DO121" s="49"/>
      <c r="DP121" s="49"/>
      <c r="DQ121" s="49"/>
      <c r="DR121" s="49"/>
      <c r="DS121" s="49"/>
      <c r="DT121" s="49"/>
      <c r="DU121" s="49"/>
      <c r="DV121" s="49"/>
      <c r="DW121" s="49"/>
      <c r="DX121" s="49"/>
      <c r="DY121" s="49"/>
      <c r="DZ121" s="49"/>
      <c r="EA121" s="49"/>
      <c r="EB121" s="49"/>
      <c r="EC121" s="49"/>
      <c r="ED121" s="49"/>
      <c r="EE121" s="49"/>
      <c r="EF121" s="49"/>
      <c r="EG121" s="49"/>
      <c r="EH121" s="49"/>
      <c r="EI121" s="49"/>
      <c r="EJ121" s="49"/>
      <c r="EK121" s="49"/>
      <c r="EL121" s="49"/>
      <c r="EM121" s="49"/>
      <c r="EN121" s="49"/>
      <c r="EO121" s="49"/>
      <c r="EP121" s="49"/>
      <c r="EQ121" s="49"/>
      <c r="ER121" s="49"/>
      <c r="ES121" s="49"/>
      <c r="ET121" s="49"/>
      <c r="EU121" s="49"/>
      <c r="EV121" s="49"/>
      <c r="EW121" s="49"/>
      <c r="EX121" s="49"/>
      <c r="EY121" s="49"/>
      <c r="EZ121" s="49"/>
      <c r="FA121" s="49"/>
    </row>
    <row r="122" spans="1:157" s="113" customFormat="1" x14ac:dyDescent="0.25">
      <c r="A122" s="113">
        <f>IF(AND('[1]Cockpit Retorno'!$E$67=Sim,Mestre!M122=Mestre!$M$98),0,1)</f>
        <v>1</v>
      </c>
      <c r="B122" s="113">
        <f>IF(AND('[1]Cockpit Retorno'!$E$67=Sim,Mestre!L122=Mestre!$L$48),0,1)</f>
        <v>0</v>
      </c>
      <c r="C122" s="113">
        <f>IF(AND('[1]Cockpit Retorno'!$E$67=Sim,Mestre!M122=Mestre!$M$97),0,1)</f>
        <v>1</v>
      </c>
      <c r="D122" s="114" t="s">
        <v>259</v>
      </c>
      <c r="E122" s="115"/>
      <c r="F122" s="116" t="s">
        <v>107</v>
      </c>
      <c r="G122" s="149"/>
      <c r="H122" s="153" t="s">
        <v>116</v>
      </c>
      <c r="I122" s="151" t="str">
        <f t="shared" si="1"/>
        <v>Despesas</v>
      </c>
      <c r="J122" s="150" t="s">
        <v>12</v>
      </c>
      <c r="K122" s="152" t="s">
        <v>116</v>
      </c>
      <c r="L122" s="153" t="s">
        <v>15</v>
      </c>
      <c r="M122" s="154" t="s">
        <v>12</v>
      </c>
      <c r="N122" s="155" t="s">
        <v>43</v>
      </c>
      <c r="O122" s="155" t="s">
        <v>261</v>
      </c>
      <c r="P122" s="155" t="s">
        <v>43</v>
      </c>
      <c r="Q122" s="155" t="s">
        <v>43</v>
      </c>
      <c r="R122" s="155" t="s">
        <v>43</v>
      </c>
      <c r="S122" s="156" t="s">
        <v>43</v>
      </c>
      <c r="T122" s="156" t="s">
        <v>43</v>
      </c>
      <c r="U122" s="150" t="s">
        <v>43</v>
      </c>
      <c r="V122" s="150" t="s">
        <v>43</v>
      </c>
      <c r="W122" s="150" t="s">
        <v>43</v>
      </c>
      <c r="X122" s="157" t="s">
        <v>273</v>
      </c>
      <c r="Y122" s="150" t="s">
        <v>43</v>
      </c>
      <c r="Z122" s="150" t="s">
        <v>43</v>
      </c>
      <c r="AA122" s="158">
        <v>0</v>
      </c>
      <c r="AB122" s="155" t="s">
        <v>43</v>
      </c>
      <c r="AC122" s="150" t="s">
        <v>43</v>
      </c>
      <c r="AD122" s="155" t="s">
        <v>43</v>
      </c>
      <c r="AE122" s="155"/>
      <c r="AF122" s="150" t="s">
        <v>43</v>
      </c>
      <c r="AG122" s="159">
        <v>2</v>
      </c>
      <c r="AH122" s="159">
        <v>6741.9354838709669</v>
      </c>
      <c r="AI122" s="161">
        <v>0</v>
      </c>
      <c r="AJ122" s="161">
        <v>7.0000000000000007E-2</v>
      </c>
      <c r="AK122" s="162"/>
      <c r="AL122" s="163"/>
      <c r="AM122" s="164">
        <f>(((IF(L122=$L$101,1,IF(L122=$L$47,1,0))*(AH122*(1-AK122)))*AG122)*(1-AL122))</f>
        <v>13483.870967741934</v>
      </c>
      <c r="AN122" s="191">
        <f>IF(K122=$K$50,AM122,IF(K122=$K$53,AM122,IF(K122=$K$54,AM122,IF(K122=$K$55,AM122,IF(K122=$K$56,AM122,IF(K122=$K$57,AM122,IF(K122=$K$58,AM122,IF(K122=$K$65,AM122,IF(K122=$K$66,AM122,IF(K122=$K$67,AM122,IF(K122=$K$68,AM122,IF(K122=$K$69,AM122,IF(K122=$K$51,AM122,(AM122*(1+AI122)))))))))))))))</f>
        <v>13483.870967741934</v>
      </c>
      <c r="AO122" s="132">
        <v>1.6</v>
      </c>
      <c r="AP122" s="160">
        <f t="shared" si="2"/>
        <v>21574.193548387095</v>
      </c>
      <c r="AQ122" s="167">
        <f t="shared" si="3"/>
        <v>18693.29041569298</v>
      </c>
      <c r="AR122" s="160">
        <f t="shared" si="4"/>
        <v>21574.193548387095</v>
      </c>
      <c r="AS122" s="168">
        <f t="shared" si="5"/>
        <v>1.4282429300983872</v>
      </c>
      <c r="AT122" s="169" t="str">
        <f>K122</f>
        <v>TRS</v>
      </c>
      <c r="AU122" s="169" t="str">
        <f>I122</f>
        <v>Despesas</v>
      </c>
      <c r="AV122" s="170"/>
      <c r="AW122" s="171">
        <f>IF(K122=$K$50,0,IF(K122=$K$53,0,IF(K122=$K$54,0,IF(K122=$K$55,0,IF(K122=$K$56,0,IF(K122=$K$57,0,IF(K122=$K$58,0,IF(K122=$K$65,0,IF(K122=$K$66,0,IF(K122=$K$67,0,IF(K122=$K$68,0,IF(K122=$K$69,0,IF(K122=$K$51,0,1))))))))))))*AM122*AI122)</f>
        <v>0</v>
      </c>
      <c r="AX122" s="172">
        <f>IF(K122=$K$50,0,IF(K122=$K$53,0,IF(K122=$K$54,0,IF(K122=$K$55,0,IF(K122=$K$56,0,IF(K122=$K$57,0,IF(K122=$K$58,0,IF(K122=$K$65,0,IF(K122=$K$66,0,IF(K122=$K$67,0,IF(K122=$K$68,0,IF(K122=$K$69,0,IF(K122=$K$51,0,1))))))))))))*AM122*AJ122*$AX$94)</f>
        <v>0</v>
      </c>
      <c r="AY122" s="172">
        <f>IF(K122=$K$53,0,IF(K122=$K$54,0,IF(K122=$K$55,0,IF(K122=$K$56,0,IF(K122=$K$58,0,IF(K122=$K$50,0,IF(K122=$K$65,0,IF(K122=$K$57,0,IF(K122=$K$51,0,AM122*$AY$102)))))))))</f>
        <v>222.48387096774192</v>
      </c>
      <c r="AZ122" s="172">
        <f>IF(K122=$K$53,0,IF(K122=$K$54,0,IF(K122=$K$55,0,IF(K122=$K$56,0,IF(K122=$K$58,0,IF(K122=$K$50,0,IF(K122=$K$65,0,IF(K122=$K$57,0,IF(K122=$K$51,0,AM122*$AZ$102)))))))))</f>
        <v>1024.7741935483868</v>
      </c>
      <c r="BA122" s="172">
        <f t="shared" si="6"/>
        <v>1247.2580645161288</v>
      </c>
      <c r="BB122" s="173">
        <f>IF($BA$97=1,AQ122*$BB$102,IF(K122=$K$50,0,IF(K122=$K$53,0,IF(K122=$K$54,0,IF(K122=$K$55,0,IF(K122=$K$56,0,IF(K122=$K$57,0,IF(K122=$K$58,0,IF(K122=$K$65,0,IF(K122=$K$66,0,IF(K122=$K$67,0,IF(K122=$K$68,0,IF(K122=$K$69,0,IF(K122=$K$51,0,1)))))))))))*AQ122*$BB$102)))</f>
        <v>0</v>
      </c>
      <c r="BC122" s="172">
        <f t="shared" si="7"/>
        <v>121.50638770200437</v>
      </c>
      <c r="BD122" s="172">
        <f t="shared" si="8"/>
        <v>560.79871247078938</v>
      </c>
      <c r="BE122" s="172">
        <f>IF($BE$95=I122,$BE$97,IF(I122=$BE$96,$BE$97,1))*($BE$102*AQ122)*$AZ$97</f>
        <v>0</v>
      </c>
      <c r="BF122" s="172">
        <f>IF('[1]Cockpit Retorno'!$C$65=Sim,Mestre!BA122,SUM(BB122:BE122)+(IF(K122=$K$56,AQ122*MOE_IRRF_LR,0)))</f>
        <v>682.3051001727938</v>
      </c>
      <c r="BG122" s="174">
        <f>IF(AA122&gt;0,0,IF(Z122=$Z$82,AG122*1,(IF(Z122=$Z$81,AG122*1,0))))</f>
        <v>0</v>
      </c>
      <c r="BH122" s="174">
        <f>IF(AA122&gt;0,0,IF(Z122=$Z$83,AG122*1,IF(Z122=$Z$81,AG122*1,0)))</f>
        <v>0</v>
      </c>
      <c r="BI122" s="174">
        <f>IF(AA122&gt;0,0,IF(Z122=$Z$84,AG122*1,IF(Z122=$Z$93,AG122*2,IF(Z122=$Z$100,AG122,IF(Z122=$Z$81,AG122*2,IF(Z122=$Z$80,AG122*1,IF(Z122=$Z$79,AG122*3,IF(Z122=$Z$78,AG122*2,0))))))))</f>
        <v>0</v>
      </c>
      <c r="BJ122" s="174">
        <f>IF(AA122&gt;0,0,IF(Z122=$Z$85,AG122,IF(Z122=$Z$93,AG122,IF(Z122=$Z$100,AG122,IF(Z122=$Z$81,AG122*1,IF(Z122=$Z$80,AG122*2,IF(Z122=$Z$79,AG122*2,IF(Z122=$Z$78,AG122*2,0))))))))</f>
        <v>0</v>
      </c>
      <c r="BK122" s="174">
        <f>IF(AA122&gt;0,0,IF(Z122=$Z$92,AG122,0))</f>
        <v>0</v>
      </c>
      <c r="BL122" s="174">
        <f>IF(AA122&gt;0,0,IF(Z122=$Z$91,AG122,0))</f>
        <v>0</v>
      </c>
      <c r="BM122" s="174">
        <f>IF(AA122&gt;0,0,IF(Z122=$Z$86,AG122,0))</f>
        <v>0</v>
      </c>
      <c r="BN122" s="174">
        <f>IF(AA122&gt;0,0,IF(Z122=$Z$87,AG122,0))</f>
        <v>0</v>
      </c>
      <c r="BO122" s="174">
        <f>IF(AA122&gt;0,0,IF(Z122=$Z$88,AG122,0))</f>
        <v>0</v>
      </c>
      <c r="BP122" s="174">
        <f>IF(AA122&gt;0,0,IF(Z122=$Z$89,AG122,0))</f>
        <v>0</v>
      </c>
      <c r="BQ122" s="174">
        <f>IF(AA122&gt;0,0,IF(Z122=$Z$90,AG122,0))</f>
        <v>0</v>
      </c>
      <c r="BR122" s="174">
        <f>IF(Z122=$Z$82,AA122*AG122,0)</f>
        <v>0</v>
      </c>
      <c r="BS122" s="174">
        <f>IF(Z122=$Z$83,AA122*AG122,0)</f>
        <v>0</v>
      </c>
      <c r="BT122" s="174">
        <f>IF(AA122&lt;1,0,IF(Z122=$Z$84,AA122*AG122,IF(Z122=$Z$93,"ERRO",IF(Z122=$Z$100,"ERRO",0))))</f>
        <v>0</v>
      </c>
      <c r="BU122" s="174">
        <f>IF(AA122&lt;1,0,IF(Z122=$Z$85,AA122*AG122,IF(Z122=$Z$93,"ERRO",IF(Z122=$Z$100,"ERRO",0))))</f>
        <v>0</v>
      </c>
      <c r="BV122" s="174">
        <f>IF(Z122=$Z$92,AA122*AG122,0)</f>
        <v>0</v>
      </c>
      <c r="BW122" s="174">
        <f>IF(Z122=$Z$91,AA122*AG122,0)</f>
        <v>0</v>
      </c>
      <c r="BX122" s="174">
        <f>IF(Z122=$Z$86,AA122*AG122,0)</f>
        <v>0</v>
      </c>
      <c r="BY122" s="174">
        <f>IF(Z122=$Z$87,AA122*AG122,0)</f>
        <v>0</v>
      </c>
      <c r="BZ122" s="174">
        <f>IF(Z122=$Z$88,AA122*AG122,0)</f>
        <v>0</v>
      </c>
      <c r="CA122" s="174">
        <f>IF(Z122=$Z$89,AA122*AG122,0)</f>
        <v>0</v>
      </c>
      <c r="CB122" s="174">
        <f>IF(Z122=$Z$90,AA122*AG122,0)</f>
        <v>0</v>
      </c>
      <c r="CC122" s="175">
        <f>IFERROR(IF(L122=$L$49,AG122*AH122*(1+AI122)*(1-AK122)*(1-AL122),0),0)</f>
        <v>0</v>
      </c>
      <c r="CD122" s="194">
        <f>IF(I122=$CD$97,1,IF(I122=$CD$100,2,IF(K122=$K$66,1,IF(K122=$K$69,1,3))))</f>
        <v>2</v>
      </c>
      <c r="CE122" s="194">
        <f t="shared" si="14"/>
        <v>1.07</v>
      </c>
      <c r="CF122" s="195">
        <f t="shared" si="9"/>
        <v>1.2788999999999999</v>
      </c>
      <c r="CG122" s="194">
        <f t="shared" si="15"/>
        <v>1.47</v>
      </c>
      <c r="CH122" s="195">
        <f t="shared" si="10"/>
        <v>1.6023000000000001</v>
      </c>
      <c r="CI122" s="194">
        <f t="shared" si="16"/>
        <v>1.7</v>
      </c>
      <c r="CJ122" s="196">
        <f t="shared" si="17"/>
        <v>1.0486</v>
      </c>
      <c r="CK122" s="196">
        <f t="shared" si="18"/>
        <v>1.1893769999999999</v>
      </c>
      <c r="CL122" s="196">
        <f t="shared" si="19"/>
        <v>1.4405999999999999</v>
      </c>
      <c r="CM122" s="196">
        <f t="shared" si="20"/>
        <v>1.5542309999999999</v>
      </c>
      <c r="CN122" s="197">
        <f t="shared" si="21"/>
        <v>1.6319999999999999</v>
      </c>
      <c r="CO122" s="195">
        <f t="shared" si="22"/>
        <v>1.006656</v>
      </c>
      <c r="CP122" s="198">
        <f t="shared" si="11"/>
        <v>-564.952964343335</v>
      </c>
      <c r="CQ122" s="199">
        <f t="shared" si="12"/>
        <v>19258.243380036314</v>
      </c>
      <c r="CR122" s="200">
        <f t="shared" si="13"/>
        <v>682.3051001727938</v>
      </c>
      <c r="CS122" s="49"/>
      <c r="CT122" s="49"/>
      <c r="CU122" s="49"/>
      <c r="CV122" s="49"/>
      <c r="CW122" s="49"/>
      <c r="CX122" s="49"/>
      <c r="CY122" s="49"/>
      <c r="CZ122" s="49"/>
      <c r="DA122" s="49"/>
      <c r="DB122" s="49"/>
      <c r="DC122" s="49"/>
      <c r="DD122" s="49"/>
      <c r="DE122" s="49"/>
      <c r="DF122" s="49"/>
      <c r="DG122" s="49"/>
      <c r="DH122" s="49"/>
      <c r="DI122" s="49"/>
      <c r="DJ122" s="49"/>
      <c r="DK122" s="49"/>
      <c r="DL122" s="49"/>
      <c r="DM122" s="49"/>
      <c r="DN122" s="49"/>
      <c r="DO122" s="49"/>
      <c r="DP122" s="49"/>
      <c r="DQ122" s="49"/>
      <c r="DR122" s="49"/>
      <c r="DS122" s="49"/>
      <c r="DT122" s="49"/>
      <c r="DU122" s="49"/>
      <c r="DV122" s="49"/>
      <c r="DW122" s="49"/>
      <c r="DX122" s="49"/>
      <c r="DY122" s="49"/>
      <c r="DZ122" s="49"/>
      <c r="EA122" s="49"/>
      <c r="EB122" s="49"/>
      <c r="EC122" s="49"/>
      <c r="ED122" s="49"/>
      <c r="EE122" s="49"/>
      <c r="EF122" s="49"/>
      <c r="EG122" s="49"/>
      <c r="EH122" s="49"/>
      <c r="EI122" s="49"/>
      <c r="EJ122" s="49"/>
      <c r="EK122" s="49"/>
      <c r="EL122" s="49"/>
      <c r="EM122" s="49"/>
      <c r="EN122" s="49"/>
      <c r="EO122" s="49"/>
      <c r="EP122" s="49"/>
      <c r="EQ122" s="49"/>
      <c r="ER122" s="49"/>
      <c r="ES122" s="49"/>
      <c r="ET122" s="49"/>
      <c r="EU122" s="49"/>
      <c r="EV122" s="49"/>
      <c r="EW122" s="49"/>
      <c r="EX122" s="49"/>
      <c r="EY122" s="49"/>
      <c r="EZ122" s="49"/>
      <c r="FA122" s="49"/>
    </row>
    <row r="123" spans="1:157" s="113" customFormat="1" x14ac:dyDescent="0.25">
      <c r="A123" s="113">
        <f>IF(AND('[1]Cockpit Retorno'!$E$67=Sim,Mestre!M123=Mestre!$M$98),0,1)</f>
        <v>1</v>
      </c>
      <c r="B123" s="113">
        <f>IF(AND('[1]Cockpit Retorno'!$E$67=Sim,Mestre!L123=Mestre!$L$48),0,1)</f>
        <v>0</v>
      </c>
      <c r="C123" s="113">
        <f>IF(AND('[1]Cockpit Retorno'!$E$67=Sim,Mestre!M123=Mestre!$M$97),0,1)</f>
        <v>1</v>
      </c>
      <c r="D123" s="114" t="s">
        <v>259</v>
      </c>
      <c r="E123" s="115"/>
      <c r="F123" s="116" t="s">
        <v>107</v>
      </c>
      <c r="G123" s="149"/>
      <c r="H123" s="153" t="s">
        <v>116</v>
      </c>
      <c r="I123" s="151" t="str">
        <f t="shared" si="1"/>
        <v>Despesas</v>
      </c>
      <c r="J123" s="150" t="s">
        <v>12</v>
      </c>
      <c r="K123" s="152" t="s">
        <v>116</v>
      </c>
      <c r="L123" s="153" t="s">
        <v>15</v>
      </c>
      <c r="M123" s="154" t="s">
        <v>12</v>
      </c>
      <c r="N123" s="155" t="s">
        <v>43</v>
      </c>
      <c r="O123" s="155" t="s">
        <v>261</v>
      </c>
      <c r="P123" s="155" t="s">
        <v>43</v>
      </c>
      <c r="Q123" s="155" t="s">
        <v>43</v>
      </c>
      <c r="R123" s="155" t="s">
        <v>43</v>
      </c>
      <c r="S123" s="156" t="s">
        <v>43</v>
      </c>
      <c r="T123" s="156" t="s">
        <v>43</v>
      </c>
      <c r="U123" s="150" t="s">
        <v>43</v>
      </c>
      <c r="V123" s="150" t="s">
        <v>43</v>
      </c>
      <c r="W123" s="150" t="s">
        <v>43</v>
      </c>
      <c r="X123" s="157" t="s">
        <v>273</v>
      </c>
      <c r="Y123" s="150" t="s">
        <v>43</v>
      </c>
      <c r="Z123" s="150" t="s">
        <v>43</v>
      </c>
      <c r="AA123" s="158">
        <v>0</v>
      </c>
      <c r="AB123" s="155" t="s">
        <v>43</v>
      </c>
      <c r="AC123" s="150" t="s">
        <v>43</v>
      </c>
      <c r="AD123" s="155" t="s">
        <v>43</v>
      </c>
      <c r="AE123" s="155"/>
      <c r="AF123" s="150" t="s">
        <v>43</v>
      </c>
      <c r="AG123" s="159">
        <v>1</v>
      </c>
      <c r="AH123" s="159">
        <v>564.42324086061365</v>
      </c>
      <c r="AI123" s="161">
        <v>0</v>
      </c>
      <c r="AJ123" s="161">
        <v>7.0000000000000007E-2</v>
      </c>
      <c r="AK123" s="162"/>
      <c r="AL123" s="163"/>
      <c r="AM123" s="164">
        <f>(((IF(L123=$L$101,1,IF(L123=$L$47,1,0))*(AH123*(1-AK123)))*AG123)*(1-AL123))</f>
        <v>564.42324086061365</v>
      </c>
      <c r="AN123" s="191">
        <f>IF(K123=$K$50,AM123,IF(K123=$K$53,AM123,IF(K123=$K$54,AM123,IF(K123=$K$55,AM123,IF(K123=$K$56,AM123,IF(K123=$K$57,AM123,IF(K123=$K$58,AM123,IF(K123=$K$65,AM123,IF(K123=$K$66,AM123,IF(K123=$K$67,AM123,IF(K123=$K$68,AM123,IF(K123=$K$69,AM123,IF(K123=$K$51,AM123,(AM123*(1+AI123)))))))))))))))</f>
        <v>564.42324086061365</v>
      </c>
      <c r="AO123" s="132">
        <v>1.6</v>
      </c>
      <c r="AP123" s="160">
        <f t="shared" si="2"/>
        <v>903.0771853769819</v>
      </c>
      <c r="AQ123" s="167">
        <f t="shared" si="3"/>
        <v>782.48505818659453</v>
      </c>
      <c r="AR123" s="160">
        <f t="shared" si="4"/>
        <v>903.0771853769819</v>
      </c>
      <c r="AS123" s="168">
        <f t="shared" si="5"/>
        <v>1.4282429300983872</v>
      </c>
      <c r="AT123" s="169" t="str">
        <f>K123</f>
        <v>TRS</v>
      </c>
      <c r="AU123" s="169" t="str">
        <f>I123</f>
        <v>Despesas</v>
      </c>
      <c r="AV123" s="170"/>
      <c r="AW123" s="171">
        <f>IF(K123=$K$50,0,IF(K123=$K$53,0,IF(K123=$K$54,0,IF(K123=$K$55,0,IF(K123=$K$56,0,IF(K123=$K$57,0,IF(K123=$K$58,0,IF(K123=$K$65,0,IF(K123=$K$66,0,IF(K123=$K$67,0,IF(K123=$K$68,0,IF(K123=$K$69,0,IF(K123=$K$51,0,1))))))))))))*AM123*AI123)</f>
        <v>0</v>
      </c>
      <c r="AX123" s="172">
        <f>IF(K123=$K$50,0,IF(K123=$K$53,0,IF(K123=$K$54,0,IF(K123=$K$55,0,IF(K123=$K$56,0,IF(K123=$K$57,0,IF(K123=$K$58,0,IF(K123=$K$65,0,IF(K123=$K$66,0,IF(K123=$K$67,0,IF(K123=$K$68,0,IF(K123=$K$69,0,IF(K123=$K$51,0,1))))))))))))*AM123*AJ123*$AX$94)</f>
        <v>0</v>
      </c>
      <c r="AY123" s="172">
        <f>IF(K123=$K$53,0,IF(K123=$K$54,0,IF(K123=$K$55,0,IF(K123=$K$56,0,IF(K123=$K$58,0,IF(K123=$K$50,0,IF(K123=$K$65,0,IF(K123=$K$57,0,IF(K123=$K$51,0,AM123*$AY$102)))))))))</f>
        <v>9.3129834742001254</v>
      </c>
      <c r="AZ123" s="172">
        <f>IF(K123=$K$53,0,IF(K123=$K$54,0,IF(K123=$K$55,0,IF(K123=$K$56,0,IF(K123=$K$58,0,IF(K123=$K$50,0,IF(K123=$K$65,0,IF(K123=$K$57,0,IF(K123=$K$51,0,AM123*$AZ$102)))))))))</f>
        <v>42.896166305406638</v>
      </c>
      <c r="BA123" s="172">
        <f t="shared" si="6"/>
        <v>52.209149779606761</v>
      </c>
      <c r="BB123" s="173">
        <f>IF($BA$97=1,AQ123*$BB$102,IF(K123=$K$50,0,IF(K123=$K$53,0,IF(K123=$K$54,0,IF(K123=$K$55,0,IF(K123=$K$56,0,IF(K123=$K$57,0,IF(K123=$K$58,0,IF(K123=$K$65,0,IF(K123=$K$66,0,IF(K123=$K$67,0,IF(K123=$K$68,0,IF(K123=$K$69,0,IF(K123=$K$51,0,1)))))))))))*AQ123*$BB$102)))</f>
        <v>0</v>
      </c>
      <c r="BC123" s="172">
        <f t="shared" si="7"/>
        <v>5.0861528782128653</v>
      </c>
      <c r="BD123" s="172">
        <f t="shared" si="8"/>
        <v>23.474551745597836</v>
      </c>
      <c r="BE123" s="172">
        <f>IF($BE$95=I123,$BE$97,IF(I123=$BE$96,$BE$97,1))*($BE$102*AQ123)*$AZ$97</f>
        <v>0</v>
      </c>
      <c r="BF123" s="172">
        <f>IF('[1]Cockpit Retorno'!$C$65=Sim,Mestre!BA123,SUM(BB123:BE123)+(IF(K123=$K$56,AQ123*MOE_IRRF_LR,0)))</f>
        <v>28.5607046238107</v>
      </c>
      <c r="BG123" s="174">
        <f>IF(AA123&gt;0,0,IF(Z123=$Z$82,AG123*1,(IF(Z123=$Z$81,AG123*1,0))))</f>
        <v>0</v>
      </c>
      <c r="BH123" s="174">
        <f>IF(AA123&gt;0,0,IF(Z123=$Z$83,AG123*1,IF(Z123=$Z$81,AG123*1,0)))</f>
        <v>0</v>
      </c>
      <c r="BI123" s="174">
        <f>IF(AA123&gt;0,0,IF(Z123=$Z$84,AG123*1,IF(Z123=$Z$93,AG123*2,IF(Z123=$Z$100,AG123,IF(Z123=$Z$81,AG123*2,IF(Z123=$Z$80,AG123*1,IF(Z123=$Z$79,AG123*3,IF(Z123=$Z$78,AG123*2,0))))))))</f>
        <v>0</v>
      </c>
      <c r="BJ123" s="174">
        <f>IF(AA123&gt;0,0,IF(Z123=$Z$85,AG123,IF(Z123=$Z$93,AG123,IF(Z123=$Z$100,AG123,IF(Z123=$Z$81,AG123*1,IF(Z123=$Z$80,AG123*2,IF(Z123=$Z$79,AG123*2,IF(Z123=$Z$78,AG123*2,0))))))))</f>
        <v>0</v>
      </c>
      <c r="BK123" s="174">
        <f>IF(AA123&gt;0,0,IF(Z123=$Z$92,AG123,0))</f>
        <v>0</v>
      </c>
      <c r="BL123" s="174">
        <f>IF(AA123&gt;0,0,IF(Z123=$Z$91,AG123,0))</f>
        <v>0</v>
      </c>
      <c r="BM123" s="174">
        <f>IF(AA123&gt;0,0,IF(Z123=$Z$86,AG123,0))</f>
        <v>0</v>
      </c>
      <c r="BN123" s="174">
        <f>IF(AA123&gt;0,0,IF(Z123=$Z$87,AG123,0))</f>
        <v>0</v>
      </c>
      <c r="BO123" s="174">
        <f>IF(AA123&gt;0,0,IF(Z123=$Z$88,AG123,0))</f>
        <v>0</v>
      </c>
      <c r="BP123" s="174">
        <f>IF(AA123&gt;0,0,IF(Z123=$Z$89,AG123,0))</f>
        <v>0</v>
      </c>
      <c r="BQ123" s="174">
        <f>IF(AA123&gt;0,0,IF(Z123=$Z$90,AG123,0))</f>
        <v>0</v>
      </c>
      <c r="BR123" s="174">
        <f>IF(Z123=$Z$82,AA123*AG123,0)</f>
        <v>0</v>
      </c>
      <c r="BS123" s="174">
        <f>IF(Z123=$Z$83,AA123*AG123,0)</f>
        <v>0</v>
      </c>
      <c r="BT123" s="174">
        <f>IF(AA123&lt;1,0,IF(Z123=$Z$84,AA123*AG123,IF(Z123=$Z$93,"ERRO",IF(Z123=$Z$100,"ERRO",0))))</f>
        <v>0</v>
      </c>
      <c r="BU123" s="174">
        <f>IF(AA123&lt;1,0,IF(Z123=$Z$85,AA123*AG123,IF(Z123=$Z$93,"ERRO",IF(Z123=$Z$100,"ERRO",0))))</f>
        <v>0</v>
      </c>
      <c r="BV123" s="174">
        <f>IF(Z123=$Z$92,AA123*AG123,0)</f>
        <v>0</v>
      </c>
      <c r="BW123" s="174">
        <f>IF(Z123=$Z$91,AA123*AG123,0)</f>
        <v>0</v>
      </c>
      <c r="BX123" s="174">
        <f>IF(Z123=$Z$86,AA123*AG123,0)</f>
        <v>0</v>
      </c>
      <c r="BY123" s="174">
        <f>IF(Z123=$Z$87,AA123*AG123,0)</f>
        <v>0</v>
      </c>
      <c r="BZ123" s="174">
        <f>IF(Z123=$Z$88,AA123*AG123,0)</f>
        <v>0</v>
      </c>
      <c r="CA123" s="174">
        <f>IF(Z123=$Z$89,AA123*AG123,0)</f>
        <v>0</v>
      </c>
      <c r="CB123" s="174">
        <f>IF(Z123=$Z$90,AA123*AG123,0)</f>
        <v>0</v>
      </c>
      <c r="CC123" s="175">
        <f>IFERROR(IF(L123=$L$49,AG123*AH123*(1+AI123)*(1-AK123)*(1-AL123),0),0)</f>
        <v>0</v>
      </c>
      <c r="CD123" s="194">
        <f>IF(I123=$CD$97,1,IF(I123=$CD$100,2,IF(K123=$K$66,1,IF(K123=$K$69,1,3))))</f>
        <v>2</v>
      </c>
      <c r="CE123" s="194">
        <f t="shared" si="14"/>
        <v>1.07</v>
      </c>
      <c r="CF123" s="195">
        <f t="shared" si="9"/>
        <v>1.2788999999999999</v>
      </c>
      <c r="CG123" s="194">
        <f t="shared" si="15"/>
        <v>1.47</v>
      </c>
      <c r="CH123" s="195">
        <f t="shared" si="10"/>
        <v>1.6023000000000001</v>
      </c>
      <c r="CI123" s="194">
        <f t="shared" si="16"/>
        <v>1.7</v>
      </c>
      <c r="CJ123" s="196">
        <f t="shared" si="17"/>
        <v>1.0486</v>
      </c>
      <c r="CK123" s="196">
        <f t="shared" si="18"/>
        <v>1.1893769999999999</v>
      </c>
      <c r="CL123" s="196">
        <f t="shared" si="19"/>
        <v>1.4405999999999999</v>
      </c>
      <c r="CM123" s="196">
        <f t="shared" si="20"/>
        <v>1.5542309999999999</v>
      </c>
      <c r="CN123" s="197">
        <f t="shared" si="21"/>
        <v>1.6319999999999999</v>
      </c>
      <c r="CO123" s="195">
        <f t="shared" si="22"/>
        <v>1.006656</v>
      </c>
      <c r="CP123" s="198">
        <f t="shared" si="11"/>
        <v>-23.648445155796061</v>
      </c>
      <c r="CQ123" s="199">
        <f t="shared" si="12"/>
        <v>806.13350334239055</v>
      </c>
      <c r="CR123" s="200">
        <f t="shared" si="13"/>
        <v>28.5607046238107</v>
      </c>
      <c r="CS123" s="49"/>
      <c r="CT123" s="49"/>
      <c r="CU123" s="49"/>
      <c r="CV123" s="49"/>
      <c r="CW123" s="49"/>
      <c r="CX123" s="49"/>
      <c r="CY123" s="49"/>
      <c r="CZ123" s="49"/>
      <c r="DA123" s="49"/>
      <c r="DB123" s="49"/>
      <c r="DC123" s="49"/>
      <c r="DD123" s="49"/>
      <c r="DE123" s="49"/>
      <c r="DF123" s="49"/>
      <c r="DG123" s="49"/>
      <c r="DH123" s="49"/>
      <c r="DI123" s="49"/>
      <c r="DJ123" s="49"/>
      <c r="DK123" s="49"/>
      <c r="DL123" s="49"/>
      <c r="DM123" s="49"/>
      <c r="DN123" s="49"/>
      <c r="DO123" s="49"/>
      <c r="DP123" s="49"/>
      <c r="DQ123" s="49"/>
      <c r="DR123" s="49"/>
      <c r="DS123" s="49"/>
      <c r="DT123" s="49"/>
      <c r="DU123" s="49"/>
      <c r="DV123" s="49"/>
      <c r="DW123" s="49"/>
      <c r="DX123" s="49"/>
      <c r="DY123" s="49"/>
      <c r="DZ123" s="49"/>
      <c r="EA123" s="49"/>
      <c r="EB123" s="49"/>
      <c r="EC123" s="49"/>
      <c r="ED123" s="49"/>
      <c r="EE123" s="49"/>
      <c r="EF123" s="49"/>
      <c r="EG123" s="49"/>
      <c r="EH123" s="49"/>
      <c r="EI123" s="49"/>
      <c r="EJ123" s="49"/>
      <c r="EK123" s="49"/>
      <c r="EL123" s="49"/>
      <c r="EM123" s="49"/>
      <c r="EN123" s="49"/>
      <c r="EO123" s="49"/>
      <c r="EP123" s="49"/>
      <c r="EQ123" s="49"/>
      <c r="ER123" s="49"/>
      <c r="ES123" s="49"/>
      <c r="ET123" s="49"/>
      <c r="EU123" s="49"/>
      <c r="EV123" s="49"/>
      <c r="EW123" s="49"/>
      <c r="EX123" s="49"/>
      <c r="EY123" s="49"/>
      <c r="EZ123" s="49"/>
      <c r="FA123" s="49"/>
    </row>
    <row r="124" spans="1:157" s="182" customFormat="1" x14ac:dyDescent="0.25">
      <c r="A124" s="113">
        <f>IF(AND('[1]Cockpit Retorno'!$E$67=Sim,Mestre!M124=Mestre!$M$98),0,1)</f>
        <v>1</v>
      </c>
      <c r="B124" s="113">
        <f>IF(AND('[1]Cockpit Retorno'!$E$67=Sim,Mestre!L124=Mestre!$L$48),0,1)</f>
        <v>0</v>
      </c>
      <c r="C124" s="113">
        <f>IF(AND('[1]Cockpit Retorno'!$E$67=Sim,Mestre!M124=Mestre!$M$97),0,1)</f>
        <v>1</v>
      </c>
      <c r="D124" s="148" t="s">
        <v>274</v>
      </c>
      <c r="E124" s="115"/>
      <c r="F124" s="116" t="s">
        <v>107</v>
      </c>
      <c r="G124" s="149"/>
      <c r="H124" s="150" t="s">
        <v>55</v>
      </c>
      <c r="I124" s="151" t="str">
        <f t="shared" si="1"/>
        <v>Serviços</v>
      </c>
      <c r="J124" s="150" t="s">
        <v>12</v>
      </c>
      <c r="K124" s="152" t="s">
        <v>55</v>
      </c>
      <c r="L124" s="153" t="s">
        <v>15</v>
      </c>
      <c r="M124" s="154" t="s">
        <v>12</v>
      </c>
      <c r="N124" s="155" t="s">
        <v>43</v>
      </c>
      <c r="O124" s="155" t="s">
        <v>275</v>
      </c>
      <c r="P124" s="155" t="s">
        <v>43</v>
      </c>
      <c r="Q124" s="155" t="s">
        <v>43</v>
      </c>
      <c r="R124" s="155" t="s">
        <v>43</v>
      </c>
      <c r="S124" s="156" t="s">
        <v>43</v>
      </c>
      <c r="T124" s="156" t="s">
        <v>43</v>
      </c>
      <c r="U124" s="150" t="s">
        <v>43</v>
      </c>
      <c r="V124" s="150" t="s">
        <v>43</v>
      </c>
      <c r="W124" s="150" t="s">
        <v>43</v>
      </c>
      <c r="X124" s="157" t="s">
        <v>276</v>
      </c>
      <c r="Y124" s="150" t="s">
        <v>43</v>
      </c>
      <c r="Z124" s="150" t="s">
        <v>43</v>
      </c>
      <c r="AA124" s="158">
        <v>0</v>
      </c>
      <c r="AB124" s="155" t="s">
        <v>43</v>
      </c>
      <c r="AC124" s="150" t="s">
        <v>43</v>
      </c>
      <c r="AD124" s="155" t="s">
        <v>43</v>
      </c>
      <c r="AE124" s="155"/>
      <c r="AF124" s="150" t="s">
        <v>43</v>
      </c>
      <c r="AG124" s="159">
        <f>ROUNDUP('[1]Avulso HH'!M9,0)</f>
        <v>617</v>
      </c>
      <c r="AH124" s="159">
        <v>155.78852745398913</v>
      </c>
      <c r="AI124" s="161">
        <v>0</v>
      </c>
      <c r="AJ124" s="161">
        <v>0</v>
      </c>
      <c r="AK124" s="162"/>
      <c r="AL124" s="163"/>
      <c r="AM124" s="164">
        <f>(((IF(L124=$L$101,1,IF(L124=$L$47,1,0))*(AH124*(1-AK124)))*AG124)*(1-AL124))</f>
        <v>96121.521439111297</v>
      </c>
      <c r="AN124" s="165">
        <f>IF(K124=$K$50,AM124,IF(K124=$K$53,AM124,IF(K124=$K$54,AM124,IF(K124=$K$55,AM124,IF(K124=$K$56,AM124,IF(K124=$K$57,AM124,IF(K124=$K$58,AM124,IF(K124=$K$65,AM124,IF(K124=$K$66,AM124,IF(K124=$K$67,AM124,IF(K124=$K$68,AM124,IF(K124=$K$69,AM124,IF(K124=$K$51,AM124,(AM124*(1+AI124)))))))))))))))</f>
        <v>96121.521439111297</v>
      </c>
      <c r="AO124" s="166">
        <v>1.9</v>
      </c>
      <c r="AP124" s="160">
        <f t="shared" si="2"/>
        <v>182630.89073431146</v>
      </c>
      <c r="AQ124" s="167">
        <f t="shared" si="3"/>
        <v>158243.33232740499</v>
      </c>
      <c r="AR124" s="160">
        <f t="shared" si="4"/>
        <v>182630.89073431146</v>
      </c>
      <c r="AS124" s="168">
        <f t="shared" si="5"/>
        <v>1.5861947294918344</v>
      </c>
      <c r="AT124" s="169" t="str">
        <f>K124</f>
        <v>MOC</v>
      </c>
      <c r="AU124" s="169" t="str">
        <f>I124</f>
        <v>Serviços</v>
      </c>
      <c r="AV124" s="170"/>
      <c r="AW124" s="171">
        <f>IF(K124=$K$50,0,IF(K124=$K$53,0,IF(K124=$K$54,0,IF(K124=$K$55,0,IF(K124=$K$56,0,IF(K124=$K$57,0,IF(K124=$K$58,0,IF(K124=$K$65,0,IF(K124=$K$66,0,IF(K124=$K$67,0,IF(K124=$K$68,0,IF(K124=$K$69,0,IF(K124=$K$51,0,1))))))))))))*AM124*AI124)</f>
        <v>0</v>
      </c>
      <c r="AX124" s="172">
        <f>IF(K124=$K$50,0,IF(K124=$K$53,0,IF(K124=$K$54,0,IF(K124=$K$55,0,IF(K124=$K$56,0,IF(K124=$K$57,0,IF(K124=$K$58,0,IF(K124=$K$65,0,IF(K124=$K$66,0,IF(K124=$K$67,0,IF(K124=$K$68,0,IF(K124=$K$69,0,IF(K124=$K$51,0,1))))))))))))*AM124*AJ124*$AX$94)</f>
        <v>0</v>
      </c>
      <c r="AY124" s="172">
        <f>IF(K124=$K$53,0,IF(K124=$K$54,0,IF(K124=$K$55,0,IF(K124=$K$56,0,IF(K124=$K$58,0,IF(K124=$K$50,0,IF(K124=$K$65,0,IF(K124=$K$57,0,IF(K124=$K$51,0,AM124*$AY$102)))))))))</f>
        <v>0</v>
      </c>
      <c r="AZ124" s="172">
        <f>IF(K124=$K$53,0,IF(K124=$K$54,0,IF(K124=$K$55,0,IF(K124=$K$56,0,IF(K124=$K$58,0,IF(K124=$K$50,0,IF(K124=$K$65,0,IF(K124=$K$57,0,IF(K124=$K$51,0,AM124*$AZ$102)))))))))</f>
        <v>0</v>
      </c>
      <c r="BA124" s="172">
        <f t="shared" si="6"/>
        <v>0</v>
      </c>
      <c r="BB124" s="173">
        <f>IF($BA$97=1,AQ124*$BB$102,IF(K124=$K$50,0,IF(K124=$K$53,0,IF(K124=$K$54,0,IF(K124=$K$55,0,IF(K124=$K$56,0,IF(K124=$K$57,0,IF(K124=$K$58,0,IF(K124=$K$65,0,IF(K124=$K$66,0,IF(K124=$K$67,0,IF(K124=$K$68,0,IF(K124=$K$69,0,IF(K124=$K$51,0,1)))))))))))*AQ124*$BB$102)))</f>
        <v>0</v>
      </c>
      <c r="BC124" s="172">
        <f t="shared" si="7"/>
        <v>1028.5816601281326</v>
      </c>
      <c r="BD124" s="172">
        <f t="shared" si="8"/>
        <v>4747.2999698221493</v>
      </c>
      <c r="BE124" s="172">
        <f>IF($BE$95=I124,$BE$97,IF(I124=$BE$96,$BE$97,1))*($BE$102*AQ124)*$AZ$97</f>
        <v>0</v>
      </c>
      <c r="BF124" s="172">
        <f>IF('[1]Cockpit Retorno'!$C$65=Sim,Mestre!BA124,SUM(BB124:BE124)+(IF(K124=$K$56,AQ124*MOE_IRRF_LR,0)))</f>
        <v>5775.8816299502814</v>
      </c>
      <c r="BG124" s="174">
        <f>IF(AA124&gt;0,0,IF(Z124=$Z$82,AG124*1,(IF(Z124=$Z$81,AG124*1,0))))</f>
        <v>0</v>
      </c>
      <c r="BH124" s="174">
        <f>IF(AA124&gt;0,0,IF(Z124=$Z$83,AG124*1,IF(Z124=$Z$81,AG124*1,0)))</f>
        <v>0</v>
      </c>
      <c r="BI124" s="174">
        <f>IF(AA124&gt;0,0,IF(Z124=$Z$84,AG124*1,IF(Z124=$Z$93,AG124*2,IF(Z124=$Z$100,AG124,IF(Z124=$Z$81,AG124*2,IF(Z124=$Z$80,AG124*1,IF(Z124=$Z$79,AG124*3,IF(Z124=$Z$78,AG124*2,0))))))))</f>
        <v>0</v>
      </c>
      <c r="BJ124" s="174">
        <f>IF(AA124&gt;0,0,IF(Z124=$Z$85,AG124,IF(Z124=$Z$93,AG124,IF(Z124=$Z$100,AG124,IF(Z124=$Z$81,AG124*1,IF(Z124=$Z$80,AG124*2,IF(Z124=$Z$79,AG124*2,IF(Z124=$Z$78,AG124*2,0))))))))</f>
        <v>0</v>
      </c>
      <c r="BK124" s="174">
        <f>IF(AA124&gt;0,0,IF(Z124=$Z$92,AG124,0))</f>
        <v>0</v>
      </c>
      <c r="BL124" s="174">
        <f>IF(AA124&gt;0,0,IF(Z124=$Z$91,AG124,0))</f>
        <v>0</v>
      </c>
      <c r="BM124" s="174">
        <f>IF(AA124&gt;0,0,IF(Z124=$Z$86,AG124,0))</f>
        <v>0</v>
      </c>
      <c r="BN124" s="174">
        <f>IF(AA124&gt;0,0,IF(Z124=$Z$87,AG124,0))</f>
        <v>0</v>
      </c>
      <c r="BO124" s="174">
        <f>IF(AA124&gt;0,0,IF(Z124=$Z$88,AG124,0))</f>
        <v>0</v>
      </c>
      <c r="BP124" s="174">
        <f>IF(AA124&gt;0,0,IF(Z124=$Z$89,AG124,0))</f>
        <v>0</v>
      </c>
      <c r="BQ124" s="174">
        <f>IF(AA124&gt;0,0,IF(Z124=$Z$90,AG124,0))</f>
        <v>0</v>
      </c>
      <c r="BR124" s="174">
        <f>IF(Z124=$Z$82,AA124*AG124,0)</f>
        <v>0</v>
      </c>
      <c r="BS124" s="174">
        <f>IF(Z124=$Z$83,AA124*AG124,0)</f>
        <v>0</v>
      </c>
      <c r="BT124" s="174">
        <f>IF(AA124&lt;1,0,IF(Z124=$Z$84,AA124*AG124,IF(Z124=$Z$93,"ERRO",IF(Z124=$Z$100,"ERRO",0))))</f>
        <v>0</v>
      </c>
      <c r="BU124" s="174">
        <f>IF(AA124&lt;1,0,IF(Z124=$Z$85,AA124*AG124,IF(Z124=$Z$93,"ERRO",IF(Z124=$Z$100,"ERRO",0))))</f>
        <v>0</v>
      </c>
      <c r="BV124" s="174">
        <f>IF(Z124=$Z$92,AA124*AG124,0)</f>
        <v>0</v>
      </c>
      <c r="BW124" s="174">
        <f>IF(Z124=$Z$91,AA124*AG124,0)</f>
        <v>0</v>
      </c>
      <c r="BX124" s="174">
        <f>IF(Z124=$Z$86,AA124*AG124,0)</f>
        <v>0</v>
      </c>
      <c r="BY124" s="174">
        <f>IF(Z124=$Z$87,AA124*AG124,0)</f>
        <v>0</v>
      </c>
      <c r="BZ124" s="174">
        <f>IF(Z124=$Z$88,AA124*AG124,0)</f>
        <v>0</v>
      </c>
      <c r="CA124" s="174">
        <f>IF(Z124=$Z$89,AA124*AG124,0)</f>
        <v>0</v>
      </c>
      <c r="CB124" s="174">
        <f>IF(Z124=$Z$90,AA124*AG124,0)</f>
        <v>0</v>
      </c>
      <c r="CC124" s="175">
        <f>IFERROR(IF(L124=$L$49,AG124*AH124*(1+AI124)*(1-AK124)*(1-AL124),0),0)</f>
        <v>0</v>
      </c>
      <c r="CD124" s="182">
        <f>IF(I124=$CD$97,1,IF(I124=$CD$100,2,IF(K124=$K$66,1,IF(K124=$K$69,1,3))))</f>
        <v>3</v>
      </c>
      <c r="CE124" s="182">
        <f>IF($CD124=1,1.07,IF($CD124=2,1.07,1.3))</f>
        <v>1.3</v>
      </c>
      <c r="CF124" s="184">
        <f t="shared" si="9"/>
        <v>1.74</v>
      </c>
      <c r="CG124" s="182">
        <f>IF($CD124=1,1.42,IF($CD124=2,1.47,2))</f>
        <v>2</v>
      </c>
      <c r="CH124" s="184">
        <f t="shared" si="10"/>
        <v>2.1800000000000002</v>
      </c>
      <c r="CI124" s="182">
        <f>IF($CD124=1,1.7,IF($CD124=2,1.7,2.4))</f>
        <v>2.4</v>
      </c>
      <c r="CJ124" s="185">
        <f t="shared" si="17"/>
        <v>1.274</v>
      </c>
      <c r="CK124" s="185">
        <f t="shared" si="18"/>
        <v>1.6182000000000001</v>
      </c>
      <c r="CL124" s="185">
        <f t="shared" si="19"/>
        <v>1.96</v>
      </c>
      <c r="CM124" s="185">
        <f t="shared" si="20"/>
        <v>2.1146000000000003</v>
      </c>
      <c r="CN124" s="186">
        <f t="shared" si="21"/>
        <v>2.3039999999999998</v>
      </c>
      <c r="CO124" s="184">
        <f t="shared" si="22"/>
        <v>1.2230399999999999</v>
      </c>
      <c r="CP124" s="187">
        <f t="shared" si="11"/>
        <v>5775.8816299502814</v>
      </c>
      <c r="CQ124" s="188">
        <f t="shared" si="12"/>
        <v>152467.45069745471</v>
      </c>
      <c r="CR124" s="189">
        <f t="shared" si="13"/>
        <v>5775.8816299502814</v>
      </c>
      <c r="CS124" s="49"/>
      <c r="CT124" s="49"/>
      <c r="CU124" s="49"/>
      <c r="CV124" s="49"/>
      <c r="CW124" s="49"/>
      <c r="CX124" s="49"/>
      <c r="CY124" s="49"/>
      <c r="CZ124" s="49"/>
      <c r="DA124" s="49"/>
      <c r="DB124" s="49"/>
      <c r="DC124" s="49"/>
      <c r="DD124" s="49"/>
      <c r="DE124" s="49"/>
      <c r="DF124" s="49"/>
      <c r="DG124" s="49"/>
      <c r="DH124" s="49"/>
      <c r="DI124" s="49"/>
      <c r="DJ124" s="49"/>
      <c r="DK124" s="49"/>
      <c r="DL124" s="49"/>
      <c r="DM124" s="49"/>
      <c r="DN124" s="49"/>
      <c r="DO124" s="49"/>
      <c r="DP124" s="49"/>
      <c r="DQ124" s="49"/>
      <c r="DR124" s="49"/>
      <c r="DS124" s="49"/>
      <c r="DT124" s="49"/>
      <c r="DU124" s="49"/>
      <c r="DV124" s="49"/>
      <c r="DW124" s="49"/>
      <c r="DX124" s="49"/>
      <c r="DY124" s="49"/>
      <c r="DZ124" s="49"/>
      <c r="EA124" s="49"/>
      <c r="EB124" s="49"/>
      <c r="EC124" s="49"/>
      <c r="ED124" s="49"/>
      <c r="EE124" s="49"/>
      <c r="EF124" s="49"/>
      <c r="EG124" s="49"/>
      <c r="EH124" s="49"/>
      <c r="EI124" s="49"/>
      <c r="EJ124" s="49"/>
      <c r="EK124" s="49"/>
      <c r="EL124" s="49"/>
      <c r="EM124" s="49"/>
      <c r="EN124" s="49"/>
      <c r="EO124" s="49"/>
      <c r="EP124" s="49"/>
      <c r="EQ124" s="49"/>
      <c r="ER124" s="49"/>
      <c r="ES124" s="49"/>
      <c r="ET124" s="49"/>
      <c r="EU124" s="49"/>
      <c r="EV124" s="49"/>
      <c r="EW124" s="49"/>
      <c r="EX124" s="49"/>
      <c r="EY124" s="49"/>
      <c r="EZ124" s="49"/>
      <c r="FA124" s="49"/>
    </row>
    <row r="125" spans="1:157" s="113" customFormat="1" x14ac:dyDescent="0.25">
      <c r="A125" s="113">
        <f>IF(AND('[1]Cockpit Retorno'!$E$67=Sim,Mestre!M125=Mestre!$M$98),0,1)</f>
        <v>1</v>
      </c>
      <c r="B125" s="113">
        <f>IF(AND('[1]Cockpit Retorno'!$E$67=Sim,Mestre!L125=Mestre!$L$48),0,1)</f>
        <v>0</v>
      </c>
      <c r="C125" s="113">
        <f>IF(AND('[1]Cockpit Retorno'!$E$67=Sim,Mestre!M125=Mestre!$M$97),0,1)</f>
        <v>1</v>
      </c>
      <c r="D125" s="114" t="s">
        <v>259</v>
      </c>
      <c r="E125" s="115"/>
      <c r="F125" s="116" t="s">
        <v>107</v>
      </c>
      <c r="G125" s="149"/>
      <c r="H125" s="153" t="s">
        <v>4</v>
      </c>
      <c r="I125" s="151" t="str">
        <f t="shared" si="1"/>
        <v>Despesas</v>
      </c>
      <c r="J125" s="150" t="s">
        <v>12</v>
      </c>
      <c r="K125" s="152" t="s">
        <v>27</v>
      </c>
      <c r="L125" s="153" t="s">
        <v>15</v>
      </c>
      <c r="M125" s="154" t="s">
        <v>12</v>
      </c>
      <c r="N125" s="155" t="s">
        <v>43</v>
      </c>
      <c r="O125" s="155" t="s">
        <v>275</v>
      </c>
      <c r="P125" s="155" t="s">
        <v>43</v>
      </c>
      <c r="Q125" s="155" t="s">
        <v>43</v>
      </c>
      <c r="R125" s="155" t="s">
        <v>43</v>
      </c>
      <c r="S125" s="156" t="s">
        <v>43</v>
      </c>
      <c r="T125" s="156" t="s">
        <v>43</v>
      </c>
      <c r="U125" s="150" t="s">
        <v>43</v>
      </c>
      <c r="V125" s="150" t="s">
        <v>43</v>
      </c>
      <c r="W125" s="150" t="s">
        <v>43</v>
      </c>
      <c r="X125" s="201" t="s">
        <v>277</v>
      </c>
      <c r="Y125" s="150" t="s">
        <v>43</v>
      </c>
      <c r="Z125" s="150" t="s">
        <v>43</v>
      </c>
      <c r="AA125" s="158">
        <v>0</v>
      </c>
      <c r="AB125" s="155" t="s">
        <v>43</v>
      </c>
      <c r="AC125" s="150" t="s">
        <v>43</v>
      </c>
      <c r="AD125" s="155" t="s">
        <v>43</v>
      </c>
      <c r="AE125" s="155"/>
      <c r="AF125" s="150" t="s">
        <v>43</v>
      </c>
      <c r="AG125" s="159">
        <v>1</v>
      </c>
      <c r="AH125" s="159">
        <v>24632.961014269604</v>
      </c>
      <c r="AI125" s="161">
        <v>0</v>
      </c>
      <c r="AJ125" s="161">
        <v>0</v>
      </c>
      <c r="AK125" s="162"/>
      <c r="AL125" s="163"/>
      <c r="AM125" s="164">
        <f>(((IF(L125=$L$101,1,IF(L125=$L$47,1,0))*(AH125*(1-AK125)))*AG125)*(1-AL125))</f>
        <v>24632.961014269604</v>
      </c>
      <c r="AN125" s="165">
        <f>IF(K125=$K$50,AM125,IF(K125=$K$53,AM125,IF(K125=$K$54,AM125,IF(K125=$K$55,AM125,IF(K125=$K$56,AM125,IF(K125=$K$57,AM125,IF(K125=$K$58,AM125,IF(K125=$K$65,AM125,IF(K125=$K$66,AM125,IF(K125=$K$67,AM125,IF(K125=$K$68,AM125,IF(K125=$K$69,AM125,IF(K125=$K$51,AM125,(AM125*(1+AI125)))))))))))))))</f>
        <v>24632.961014269604</v>
      </c>
      <c r="AO125" s="132">
        <v>1.6</v>
      </c>
      <c r="AP125" s="160">
        <f t="shared" si="2"/>
        <v>39412.737622831366</v>
      </c>
      <c r="AQ125" s="167">
        <f t="shared" si="3"/>
        <v>34149.770132018493</v>
      </c>
      <c r="AR125" s="160">
        <f t="shared" si="4"/>
        <v>39412.737622831366</v>
      </c>
      <c r="AS125" s="183">
        <f t="shared" si="5"/>
        <v>1.3357429300983872</v>
      </c>
      <c r="AT125" s="169" t="str">
        <f>K125</f>
        <v>LOG</v>
      </c>
      <c r="AU125" s="169" t="str">
        <f>I125</f>
        <v>Despesas</v>
      </c>
      <c r="AV125" s="170"/>
      <c r="AW125" s="171">
        <f>IF(K125=$K$50,0,IF(K125=$K$53,0,IF(K125=$K$54,0,IF(K125=$K$55,0,IF(K125=$K$56,0,IF(K125=$K$57,0,IF(K125=$K$58,0,IF(K125=$K$65,0,IF(K125=$K$66,0,IF(K125=$K$67,0,IF(K125=$K$68,0,IF(K125=$K$69,0,IF(K125=$K$51,0,1))))))))))))*AM125*AI125)</f>
        <v>0</v>
      </c>
      <c r="AX125" s="172">
        <f>IF(K125=$K$50,0,IF(K125=$K$53,0,IF(K125=$K$54,0,IF(K125=$K$55,0,IF(K125=$K$56,0,IF(K125=$K$57,0,IF(K125=$K$58,0,IF(K125=$K$65,0,IF(K125=$K$66,0,IF(K125=$K$67,0,IF(K125=$K$68,0,IF(K125=$K$69,0,IF(K125=$K$51,0,1))))))))))))*AM125*AJ125*$AX$94)</f>
        <v>0</v>
      </c>
      <c r="AY125" s="172">
        <f>IF(K125=$K$53,0,IF(K125=$K$54,0,IF(K125=$K$55,0,IF(K125=$K$56,0,IF(K125=$K$58,0,IF(K125=$K$50,0,IF(K125=$K$65,0,IF(K125=$K$57,0,IF(K125=$K$51,0,AM125*$AY$102)))))))))</f>
        <v>0</v>
      </c>
      <c r="AZ125" s="172">
        <f>IF(K125=$K$53,0,IF(K125=$K$54,0,IF(K125=$K$55,0,IF(K125=$K$56,0,IF(K125=$K$58,0,IF(K125=$K$50,0,IF(K125=$K$65,0,IF(K125=$K$57,0,IF(K125=$K$51,0,AM125*$AZ$102)))))))))</f>
        <v>0</v>
      </c>
      <c r="BA125" s="172">
        <f t="shared" si="6"/>
        <v>0</v>
      </c>
      <c r="BB125" s="173">
        <f>IF($BA$97=1,AQ125*$BB$102,IF(K125=$K$50,0,IF(K125=$K$53,0,IF(K125=$K$54,0,IF(K125=$K$55,0,IF(K125=$K$56,0,IF(K125=$K$57,0,IF(K125=$K$58,0,IF(K125=$K$65,0,IF(K125=$K$66,0,IF(K125=$K$67,0,IF(K125=$K$68,0,IF(K125=$K$69,0,IF(K125=$K$51,0,1)))))))))))*AQ125*$BB$102)))</f>
        <v>0</v>
      </c>
      <c r="BC125" s="172">
        <f t="shared" si="7"/>
        <v>221.97350585812023</v>
      </c>
      <c r="BD125" s="172">
        <f t="shared" si="8"/>
        <v>1024.4931039605547</v>
      </c>
      <c r="BE125" s="172">
        <f>IF($BE$95=I125,$BE$97,IF(I125=$BE$96,$BE$97,1))*($BE$102*AQ125)*$AZ$97</f>
        <v>0</v>
      </c>
      <c r="BF125" s="172">
        <f>IF('[1]Cockpit Retorno'!$C$65=Sim,Mestre!BA125,SUM(BB125:BE125)+(IF(K125=$K$56,AQ125*MOE_IRRF_LR,0)))</f>
        <v>1246.4666098186749</v>
      </c>
      <c r="BG125" s="174">
        <f>IF(AA125&gt;0,0,IF(Z125=$Z$82,AG125*1,(IF(Z125=$Z$81,AG125*1,0))))</f>
        <v>0</v>
      </c>
      <c r="BH125" s="174">
        <f>IF(AA125&gt;0,0,IF(Z125=$Z$83,AG125*1,IF(Z125=$Z$81,AG125*1,0)))</f>
        <v>0</v>
      </c>
      <c r="BI125" s="174">
        <f>IF(AA125&gt;0,0,IF(Z125=$Z$84,AG125*1,IF(Z125=$Z$93,AG125*2,IF(Z125=$Z$100,AG125,IF(Z125=$Z$81,AG125*2,IF(Z125=$Z$80,AG125*1,IF(Z125=$Z$79,AG125*3,IF(Z125=$Z$78,AG125*2,0))))))))</f>
        <v>0</v>
      </c>
      <c r="BJ125" s="174">
        <f>IF(AA125&gt;0,0,IF(Z125=$Z$85,AG125,IF(Z125=$Z$93,AG125,IF(Z125=$Z$100,AG125,IF(Z125=$Z$81,AG125*1,IF(Z125=$Z$80,AG125*2,IF(Z125=$Z$79,AG125*2,IF(Z125=$Z$78,AG125*2,0))))))))</f>
        <v>0</v>
      </c>
      <c r="BK125" s="174">
        <f>IF(AA125&gt;0,0,IF(Z125=$Z$92,AG125,0))</f>
        <v>0</v>
      </c>
      <c r="BL125" s="174">
        <f>IF(AA125&gt;0,0,IF(Z125=$Z$91,AG125,0))</f>
        <v>0</v>
      </c>
      <c r="BM125" s="174">
        <f>IF(AA125&gt;0,0,IF(Z125=$Z$86,AG125,0))</f>
        <v>0</v>
      </c>
      <c r="BN125" s="174">
        <f>IF(AA125&gt;0,0,IF(Z125=$Z$87,AG125,0))</f>
        <v>0</v>
      </c>
      <c r="BO125" s="174">
        <f>IF(AA125&gt;0,0,IF(Z125=$Z$88,AG125,0))</f>
        <v>0</v>
      </c>
      <c r="BP125" s="174">
        <f>IF(AA125&gt;0,0,IF(Z125=$Z$89,AG125,0))</f>
        <v>0</v>
      </c>
      <c r="BQ125" s="174">
        <f>IF(AA125&gt;0,0,IF(Z125=$Z$90,AG125,0))</f>
        <v>0</v>
      </c>
      <c r="BR125" s="174">
        <f>IF(Z125=$Z$82,AA125*AG125,0)</f>
        <v>0</v>
      </c>
      <c r="BS125" s="174">
        <f>IF(Z125=$Z$83,AA125*AG125,0)</f>
        <v>0</v>
      </c>
      <c r="BT125" s="174">
        <f>IF(AA125&lt;1,0,IF(Z125=$Z$84,AA125*AG125,IF(Z125=$Z$93,"ERRO",IF(Z125=$Z$100,"ERRO",0))))</f>
        <v>0</v>
      </c>
      <c r="BU125" s="174">
        <f>IF(AA125&lt;1,0,IF(Z125=$Z$85,AA125*AG125,IF(Z125=$Z$93,"ERRO",IF(Z125=$Z$100,"ERRO",0))))</f>
        <v>0</v>
      </c>
      <c r="BV125" s="174">
        <f>IF(Z125=$Z$92,AA125*AG125,0)</f>
        <v>0</v>
      </c>
      <c r="BW125" s="174">
        <f>IF(Z125=$Z$91,AA125*AG125,0)</f>
        <v>0</v>
      </c>
      <c r="BX125" s="174">
        <f>IF(Z125=$Z$86,AA125*AG125,0)</f>
        <v>0</v>
      </c>
      <c r="BY125" s="174">
        <f>IF(Z125=$Z$87,AA125*AG125,0)</f>
        <v>0</v>
      </c>
      <c r="BZ125" s="174">
        <f>IF(Z125=$Z$88,AA125*AG125,0)</f>
        <v>0</v>
      </c>
      <c r="CA125" s="174">
        <f>IF(Z125=$Z$89,AA125*AG125,0)</f>
        <v>0</v>
      </c>
      <c r="CB125" s="174">
        <f>IF(Z125=$Z$90,AA125*AG125,0)</f>
        <v>0</v>
      </c>
      <c r="CC125" s="175">
        <f>IFERROR(IF(L125=$L$49,AG125*AH125*(1+AI125)*(1-AK125)*(1-AL125),0),0)</f>
        <v>0</v>
      </c>
      <c r="CD125" s="143">
        <f>IF(I125=$CD$97,1,IF(I125=$CD$100,2,IF(K125=$K$66,1,IF(K125=$K$69,1,3))))</f>
        <v>2</v>
      </c>
      <c r="CE125" s="143">
        <f t="shared" si="14"/>
        <v>1.07</v>
      </c>
      <c r="CF125" s="144">
        <f t="shared" si="9"/>
        <v>1.2788999999999999</v>
      </c>
      <c r="CG125" s="143">
        <f t="shared" si="15"/>
        <v>1.47</v>
      </c>
      <c r="CH125" s="144">
        <f t="shared" si="10"/>
        <v>1.6023000000000001</v>
      </c>
      <c r="CI125" s="143">
        <f t="shared" si="16"/>
        <v>1.7</v>
      </c>
      <c r="CJ125" s="144">
        <f t="shared" si="17"/>
        <v>1.0486</v>
      </c>
      <c r="CK125" s="144">
        <f t="shared" si="18"/>
        <v>1.1893769999999999</v>
      </c>
      <c r="CL125" s="144">
        <f t="shared" si="19"/>
        <v>1.4405999999999999</v>
      </c>
      <c r="CM125" s="144">
        <f t="shared" si="20"/>
        <v>1.5542309999999999</v>
      </c>
      <c r="CN125" s="143">
        <f t="shared" si="21"/>
        <v>1.6319999999999999</v>
      </c>
      <c r="CO125" s="145">
        <v>1.3</v>
      </c>
      <c r="CP125" s="146">
        <f t="shared" si="11"/>
        <v>1246.4666098186749</v>
      </c>
      <c r="CQ125" s="147">
        <f t="shared" si="12"/>
        <v>32903.303522199822</v>
      </c>
      <c r="CR125" s="190">
        <f t="shared" si="13"/>
        <v>1246.4666098186749</v>
      </c>
      <c r="CS125" s="49"/>
      <c r="CT125" s="49"/>
      <c r="CU125" s="49"/>
      <c r="CV125" s="49"/>
      <c r="CW125" s="49"/>
      <c r="CX125" s="49"/>
      <c r="CY125" s="49"/>
      <c r="CZ125" s="49"/>
      <c r="DA125" s="49"/>
      <c r="DB125" s="49"/>
      <c r="DC125" s="49"/>
      <c r="DD125" s="49"/>
      <c r="DE125" s="49"/>
      <c r="DF125" s="49"/>
      <c r="DG125" s="49"/>
      <c r="DH125" s="49"/>
      <c r="DI125" s="49"/>
      <c r="DJ125" s="49"/>
      <c r="DK125" s="49"/>
      <c r="DL125" s="49"/>
      <c r="DM125" s="49"/>
      <c r="DN125" s="49"/>
      <c r="DO125" s="49"/>
      <c r="DP125" s="49"/>
      <c r="DQ125" s="49"/>
      <c r="DR125" s="49"/>
      <c r="DS125" s="49"/>
      <c r="DT125" s="49"/>
      <c r="DU125" s="49"/>
      <c r="DV125" s="49"/>
      <c r="DW125" s="49"/>
      <c r="DX125" s="49"/>
      <c r="DY125" s="49"/>
      <c r="DZ125" s="49"/>
      <c r="EA125" s="49"/>
      <c r="EB125" s="49"/>
      <c r="EC125" s="49"/>
      <c r="ED125" s="49"/>
      <c r="EE125" s="49"/>
      <c r="EF125" s="49"/>
      <c r="EG125" s="49"/>
      <c r="EH125" s="49"/>
      <c r="EI125" s="49"/>
      <c r="EJ125" s="49"/>
      <c r="EK125" s="49"/>
      <c r="EL125" s="49"/>
      <c r="EM125" s="49"/>
      <c r="EN125" s="49"/>
      <c r="EO125" s="49"/>
      <c r="EP125" s="49"/>
      <c r="EQ125" s="49"/>
      <c r="ER125" s="49"/>
      <c r="ES125" s="49"/>
      <c r="ET125" s="49"/>
      <c r="EU125" s="49"/>
      <c r="EV125" s="49"/>
      <c r="EW125" s="49"/>
      <c r="EX125" s="49"/>
      <c r="EY125" s="49"/>
      <c r="EZ125" s="49"/>
      <c r="FA125" s="49"/>
    </row>
    <row r="126" spans="1:157" s="182" customFormat="1" x14ac:dyDescent="0.25">
      <c r="A126" s="113">
        <f>IF(AND('[1]Cockpit Retorno'!$E$67=Sim,Mestre!M126=Mestre!$M$98),0,1)</f>
        <v>1</v>
      </c>
      <c r="B126" s="113">
        <f>IF(AND('[1]Cockpit Retorno'!$E$67=Sim,Mestre!L126=Mestre!$L$48),0,1)</f>
        <v>0</v>
      </c>
      <c r="C126" s="113">
        <f>IF(AND('[1]Cockpit Retorno'!$E$67=Sim,Mestre!M126=Mestre!$M$97),0,1)</f>
        <v>1</v>
      </c>
      <c r="D126" s="148" t="s">
        <v>274</v>
      </c>
      <c r="E126" s="115"/>
      <c r="F126" s="116" t="s">
        <v>107</v>
      </c>
      <c r="G126" s="149"/>
      <c r="H126" s="150" t="s">
        <v>55</v>
      </c>
      <c r="I126" s="151" t="str">
        <f t="shared" si="1"/>
        <v>Serviços</v>
      </c>
      <c r="J126" s="150" t="s">
        <v>12</v>
      </c>
      <c r="K126" s="152" t="s">
        <v>55</v>
      </c>
      <c r="L126" s="153" t="s">
        <v>15</v>
      </c>
      <c r="M126" s="154" t="s">
        <v>12</v>
      </c>
      <c r="N126" s="155" t="s">
        <v>43</v>
      </c>
      <c r="O126" s="155" t="s">
        <v>275</v>
      </c>
      <c r="P126" s="155" t="s">
        <v>43</v>
      </c>
      <c r="Q126" s="155" t="s">
        <v>43</v>
      </c>
      <c r="R126" s="155" t="s">
        <v>43</v>
      </c>
      <c r="S126" s="156" t="s">
        <v>43</v>
      </c>
      <c r="T126" s="156" t="s">
        <v>43</v>
      </c>
      <c r="U126" s="150" t="s">
        <v>43</v>
      </c>
      <c r="V126" s="150" t="s">
        <v>43</v>
      </c>
      <c r="W126" s="150" t="s">
        <v>43</v>
      </c>
      <c r="X126" s="157" t="s">
        <v>278</v>
      </c>
      <c r="Y126" s="150" t="s">
        <v>43</v>
      </c>
      <c r="Z126" s="150" t="s">
        <v>43</v>
      </c>
      <c r="AA126" s="158">
        <v>0</v>
      </c>
      <c r="AB126" s="155" t="s">
        <v>43</v>
      </c>
      <c r="AC126" s="150" t="s">
        <v>43</v>
      </c>
      <c r="AD126" s="155" t="s">
        <v>43</v>
      </c>
      <c r="AE126" s="155"/>
      <c r="AF126" s="150" t="s">
        <v>43</v>
      </c>
      <c r="AG126" s="159">
        <f>ROUNDUP('[1]Avulso HH'!W9,0)</f>
        <v>271</v>
      </c>
      <c r="AH126" s="159">
        <v>155.78852745398913</v>
      </c>
      <c r="AI126" s="161">
        <v>0</v>
      </c>
      <c r="AJ126" s="161">
        <v>0</v>
      </c>
      <c r="AK126" s="162"/>
      <c r="AL126" s="163"/>
      <c r="AM126" s="164">
        <f>(((IF(L126=$L$101,1,IF(L126=$L$47,1,0))*(AH126*(1-AK126)))*AG126)*(1-AL126))</f>
        <v>42218.690940031054</v>
      </c>
      <c r="AN126" s="165">
        <f>IF(K126=$K$50,AM126,IF(K126=$K$53,AM126,IF(K126=$K$54,AM126,IF(K126=$K$55,AM126,IF(K126=$K$56,AM126,IF(K126=$K$57,AM126,IF(K126=$K$58,AM126,IF(K126=$K$65,AM126,IF(K126=$K$66,AM126,IF(K126=$K$67,AM126,IF(K126=$K$68,AM126,IF(K126=$K$69,AM126,IF(K126=$K$51,AM126,(AM126*(1+AI126)))))))))))))))</f>
        <v>42218.690940031054</v>
      </c>
      <c r="AO126" s="166">
        <v>1.9</v>
      </c>
      <c r="AP126" s="160">
        <f t="shared" si="2"/>
        <v>80215.512786059</v>
      </c>
      <c r="AQ126" s="167">
        <f t="shared" ref="AQ126:AQ131" si="23">AP126*Fator_Venda</f>
        <v>69503.959579784045</v>
      </c>
      <c r="AR126" s="160">
        <f t="shared" si="4"/>
        <v>80215.512786059</v>
      </c>
      <c r="AS126" s="168">
        <f t="shared" si="5"/>
        <v>1.5861947294918346</v>
      </c>
      <c r="AT126" s="169" t="str">
        <f>K126</f>
        <v>MOC</v>
      </c>
      <c r="AU126" s="169" t="str">
        <f>I126</f>
        <v>Serviços</v>
      </c>
      <c r="AV126" s="170"/>
      <c r="AW126" s="171">
        <f>IF(K126=$K$50,0,IF(K126=$K$53,0,IF(K126=$K$54,0,IF(K126=$K$55,0,IF(K126=$K$56,0,IF(K126=$K$57,0,IF(K126=$K$58,0,IF(K126=$K$65,0,IF(K126=$K$66,0,IF(K126=$K$67,0,IF(K126=$K$68,0,IF(K126=$K$69,0,IF(K126=$K$51,0,1))))))))))))*AM126*AI126)</f>
        <v>0</v>
      </c>
      <c r="AX126" s="172">
        <f>IF(K126=$K$50,0,IF(K126=$K$53,0,IF(K126=$K$54,0,IF(K126=$K$55,0,IF(K126=$K$56,0,IF(K126=$K$57,0,IF(K126=$K$58,0,IF(K126=$K$65,0,IF(K126=$K$66,0,IF(K126=$K$67,0,IF(K126=$K$68,0,IF(K126=$K$69,0,IF(K126=$K$51,0,1))))))))))))*AM126*AJ126*$AX$94)</f>
        <v>0</v>
      </c>
      <c r="AY126" s="172">
        <f>IF(K126=$K$53,0,IF(K126=$K$54,0,IF(K126=$K$55,0,IF(K126=$K$56,0,IF(K126=$K$58,0,IF(K126=$K$50,0,IF(K126=$K$65,0,IF(K126=$K$57,0,IF(K126=$K$51,0,AM126*$AY$102)))))))))</f>
        <v>0</v>
      </c>
      <c r="AZ126" s="172">
        <f>IF(K126=$K$53,0,IF(K126=$K$54,0,IF(K126=$K$55,0,IF(K126=$K$56,0,IF(K126=$K$58,0,IF(K126=$K$50,0,IF(K126=$K$65,0,IF(K126=$K$57,0,IF(K126=$K$51,0,AM126*$AZ$102)))))))))</f>
        <v>0</v>
      </c>
      <c r="BA126" s="172">
        <f t="shared" si="6"/>
        <v>0</v>
      </c>
      <c r="BB126" s="173">
        <f>IF($BA$97=1,AQ126*$BB$102,IF(K126=$K$50,0,IF(K126=$K$53,0,IF(K126=$K$54,0,IF(K126=$K$55,0,IF(K126=$K$56,0,IF(K126=$K$57,0,IF(K126=$K$58,0,IF(K126=$K$65,0,IF(K126=$K$66,0,IF(K126=$K$67,0,IF(K126=$K$68,0,IF(K126=$K$69,0,IF(K126=$K$51,0,1)))))))))))*AQ126*$BB$102)))</f>
        <v>0</v>
      </c>
      <c r="BC126" s="172">
        <f t="shared" si="7"/>
        <v>451.77573726859634</v>
      </c>
      <c r="BD126" s="172">
        <f t="shared" si="8"/>
        <v>2085.1187873935214</v>
      </c>
      <c r="BE126" s="172">
        <f>IF($BE$95=I126,$BE$97,IF(I126=$BE$96,$BE$97,1))*($BE$102*AQ126)*$AZ$97</f>
        <v>0</v>
      </c>
      <c r="BF126" s="172">
        <f>IF('[1]Cockpit Retorno'!$C$65=Sim,Mestre!BA126,SUM(BB126:BE126)+(IF(K126=$K$56,AQ126*MOE_IRRF_LR,0)))</f>
        <v>2536.8945246621179</v>
      </c>
      <c r="BG126" s="174">
        <f>IF(AA126&gt;0,0,IF(Z126=$Z$82,AG126*1,(IF(Z126=$Z$81,AG126*1,0))))</f>
        <v>0</v>
      </c>
      <c r="BH126" s="174">
        <f>IF(AA126&gt;0,0,IF(Z126=$Z$83,AG126*1,IF(Z126=$Z$81,AG126*1,0)))</f>
        <v>0</v>
      </c>
      <c r="BI126" s="174">
        <f>IF(AA126&gt;0,0,IF(Z126=$Z$84,AG126*1,IF(Z126=$Z$93,AG126*2,IF(Z126=$Z$100,AG126,IF(Z126=$Z$81,AG126*2,IF(Z126=$Z$80,AG126*1,IF(Z126=$Z$79,AG126*3,IF(Z126=$Z$78,AG126*2,0))))))))</f>
        <v>0</v>
      </c>
      <c r="BJ126" s="174">
        <f>IF(AA126&gt;0,0,IF(Z126=$Z$85,AG126,IF(Z126=$Z$93,AG126,IF(Z126=$Z$100,AG126,IF(Z126=$Z$81,AG126*1,IF(Z126=$Z$80,AG126*2,IF(Z126=$Z$79,AG126*2,IF(Z126=$Z$78,AG126*2,0))))))))</f>
        <v>0</v>
      </c>
      <c r="BK126" s="174">
        <f>IF(AA126&gt;0,0,IF(Z126=$Z$92,AG126,0))</f>
        <v>0</v>
      </c>
      <c r="BL126" s="174">
        <f>IF(AA126&gt;0,0,IF(Z126=$Z$91,AG126,0))</f>
        <v>0</v>
      </c>
      <c r="BM126" s="174">
        <f>IF(AA126&gt;0,0,IF(Z126=$Z$86,AG126,0))</f>
        <v>0</v>
      </c>
      <c r="BN126" s="174">
        <f>IF(AA126&gt;0,0,IF(Z126=$Z$87,AG126,0))</f>
        <v>0</v>
      </c>
      <c r="BO126" s="174">
        <f>IF(AA126&gt;0,0,IF(Z126=$Z$88,AG126,0))</f>
        <v>0</v>
      </c>
      <c r="BP126" s="174">
        <f>IF(AA126&gt;0,0,IF(Z126=$Z$89,AG126,0))</f>
        <v>0</v>
      </c>
      <c r="BQ126" s="174">
        <f>IF(AA126&gt;0,0,IF(Z126=$Z$90,AG126,0))</f>
        <v>0</v>
      </c>
      <c r="BR126" s="174">
        <f>IF(Z126=$Z$82,AA126*AG126,0)</f>
        <v>0</v>
      </c>
      <c r="BS126" s="174">
        <f>IF(Z126=$Z$83,AA126*AG126,0)</f>
        <v>0</v>
      </c>
      <c r="BT126" s="174">
        <f>IF(AA126&lt;1,0,IF(Z126=$Z$84,AA126*AG126,IF(Z126=$Z$93,"ERRO",IF(Z126=$Z$100,"ERRO",0))))</f>
        <v>0</v>
      </c>
      <c r="BU126" s="174">
        <f>IF(AA126&lt;1,0,IF(Z126=$Z$85,AA126*AG126,IF(Z126=$Z$93,"ERRO",IF(Z126=$Z$100,"ERRO",0))))</f>
        <v>0</v>
      </c>
      <c r="BV126" s="174">
        <f>IF(Z126=$Z$92,AA126*AG126,0)</f>
        <v>0</v>
      </c>
      <c r="BW126" s="174">
        <f>IF(Z126=$Z$91,AA126*AG126,0)</f>
        <v>0</v>
      </c>
      <c r="BX126" s="174">
        <f>IF(Z126=$Z$86,AA126*AG126,0)</f>
        <v>0</v>
      </c>
      <c r="BY126" s="174">
        <f>IF(Z126=$Z$87,AA126*AG126,0)</f>
        <v>0</v>
      </c>
      <c r="BZ126" s="174">
        <f>IF(Z126=$Z$88,AA126*AG126,0)</f>
        <v>0</v>
      </c>
      <c r="CA126" s="174">
        <f>IF(Z126=$Z$89,AA126*AG126,0)</f>
        <v>0</v>
      </c>
      <c r="CB126" s="174">
        <f>IF(Z126=$Z$90,AA126*AG126,0)</f>
        <v>0</v>
      </c>
      <c r="CC126" s="175">
        <f>IFERROR(IF(L126=$L$49,AG126*AH126*(1+AI126)*(1-AK126)*(1-AL126),0),0)</f>
        <v>0</v>
      </c>
      <c r="CD126" s="182">
        <f>IF(I126=$CD$97,1,IF(I126=$CD$100,2,IF(K126=$K$66,1,IF(K126=$K$69,1,3))))</f>
        <v>3</v>
      </c>
      <c r="CE126" s="182">
        <f t="shared" si="14"/>
        <v>1.3</v>
      </c>
      <c r="CF126" s="184">
        <f t="shared" si="9"/>
        <v>1.74</v>
      </c>
      <c r="CG126" s="182">
        <f t="shared" si="15"/>
        <v>2</v>
      </c>
      <c r="CH126" s="184">
        <f t="shared" si="10"/>
        <v>2.1800000000000002</v>
      </c>
      <c r="CI126" s="182">
        <f t="shared" si="16"/>
        <v>2.4</v>
      </c>
      <c r="CJ126" s="185">
        <f t="shared" si="17"/>
        <v>1.274</v>
      </c>
      <c r="CK126" s="185">
        <f t="shared" si="18"/>
        <v>1.6182000000000001</v>
      </c>
      <c r="CL126" s="185">
        <f t="shared" si="19"/>
        <v>1.96</v>
      </c>
      <c r="CM126" s="185">
        <f t="shared" si="20"/>
        <v>2.1146000000000003</v>
      </c>
      <c r="CN126" s="186">
        <f t="shared" si="21"/>
        <v>2.3039999999999998</v>
      </c>
      <c r="CO126" s="184">
        <f>CJ126*$CO$102</f>
        <v>1.2230399999999999</v>
      </c>
      <c r="CP126" s="187">
        <f t="shared" si="11"/>
        <v>2536.8945246621179</v>
      </c>
      <c r="CQ126" s="188">
        <f t="shared" si="12"/>
        <v>66967.06505512193</v>
      </c>
      <c r="CR126" s="189">
        <f t="shared" si="13"/>
        <v>2536.8945246621179</v>
      </c>
      <c r="CS126" s="49"/>
      <c r="CT126" s="49"/>
      <c r="CU126" s="49"/>
      <c r="CV126" s="49"/>
      <c r="CW126" s="49"/>
      <c r="CX126" s="49"/>
      <c r="CY126" s="49"/>
      <c r="CZ126" s="49"/>
      <c r="DA126" s="49"/>
      <c r="DB126" s="49"/>
      <c r="DC126" s="49"/>
      <c r="DD126" s="49"/>
      <c r="DE126" s="49"/>
      <c r="DF126" s="49"/>
      <c r="DG126" s="49"/>
      <c r="DH126" s="49"/>
      <c r="DI126" s="49"/>
      <c r="DJ126" s="49"/>
      <c r="DK126" s="49"/>
      <c r="DL126" s="49"/>
      <c r="DM126" s="49"/>
      <c r="DN126" s="49"/>
      <c r="DO126" s="49"/>
      <c r="DP126" s="49"/>
      <c r="DQ126" s="49"/>
      <c r="DR126" s="49"/>
      <c r="DS126" s="49"/>
      <c r="DT126" s="49"/>
      <c r="DU126" s="49"/>
      <c r="DV126" s="49"/>
      <c r="DW126" s="49"/>
      <c r="DX126" s="49"/>
      <c r="DY126" s="49"/>
      <c r="DZ126" s="49"/>
      <c r="EA126" s="49"/>
      <c r="EB126" s="49"/>
      <c r="EC126" s="49"/>
      <c r="ED126" s="49"/>
      <c r="EE126" s="49"/>
      <c r="EF126" s="49"/>
      <c r="EG126" s="49"/>
      <c r="EH126" s="49"/>
      <c r="EI126" s="49"/>
      <c r="EJ126" s="49"/>
      <c r="EK126" s="49"/>
      <c r="EL126" s="49"/>
      <c r="EM126" s="49"/>
      <c r="EN126" s="49"/>
      <c r="EO126" s="49"/>
      <c r="EP126" s="49"/>
      <c r="EQ126" s="49"/>
      <c r="ER126" s="49"/>
      <c r="ES126" s="49"/>
      <c r="ET126" s="49"/>
      <c r="EU126" s="49"/>
      <c r="EV126" s="49"/>
      <c r="EW126" s="49"/>
      <c r="EX126" s="49"/>
      <c r="EY126" s="49"/>
      <c r="EZ126" s="49"/>
      <c r="FA126" s="49"/>
    </row>
    <row r="127" spans="1:157" s="113" customFormat="1" x14ac:dyDescent="0.25">
      <c r="A127" s="113">
        <f>IF(AND('[1]Cockpit Retorno'!$E$67=Sim,Mestre!M127=Mestre!$M$98),0,1)</f>
        <v>1</v>
      </c>
      <c r="B127" s="113">
        <f>IF(AND('[1]Cockpit Retorno'!$E$67=Sim,Mestre!L127=Mestre!$L$48),0,1)</f>
        <v>0</v>
      </c>
      <c r="C127" s="113">
        <f>IF(AND('[1]Cockpit Retorno'!$E$67=Sim,Mestre!M127=Mestre!$M$97),0,1)</f>
        <v>1</v>
      </c>
      <c r="D127" s="114" t="s">
        <v>259</v>
      </c>
      <c r="E127" s="115"/>
      <c r="F127" s="116" t="s">
        <v>107</v>
      </c>
      <c r="G127" s="149"/>
      <c r="H127" s="153" t="s">
        <v>4</v>
      </c>
      <c r="I127" s="151" t="str">
        <f t="shared" si="1"/>
        <v>Despesas</v>
      </c>
      <c r="J127" s="150" t="s">
        <v>12</v>
      </c>
      <c r="K127" s="152" t="s">
        <v>27</v>
      </c>
      <c r="L127" s="153" t="s">
        <v>15</v>
      </c>
      <c r="M127" s="154" t="s">
        <v>12</v>
      </c>
      <c r="N127" s="155" t="s">
        <v>43</v>
      </c>
      <c r="O127" s="155" t="s">
        <v>275</v>
      </c>
      <c r="P127" s="155" t="s">
        <v>43</v>
      </c>
      <c r="Q127" s="155" t="s">
        <v>43</v>
      </c>
      <c r="R127" s="155" t="s">
        <v>43</v>
      </c>
      <c r="S127" s="156" t="s">
        <v>43</v>
      </c>
      <c r="T127" s="156" t="s">
        <v>43</v>
      </c>
      <c r="U127" s="150" t="s">
        <v>43</v>
      </c>
      <c r="V127" s="150" t="s">
        <v>43</v>
      </c>
      <c r="W127" s="150" t="s">
        <v>43</v>
      </c>
      <c r="X127" s="201" t="s">
        <v>279</v>
      </c>
      <c r="Y127" s="150" t="s">
        <v>43</v>
      </c>
      <c r="Z127" s="150" t="s">
        <v>43</v>
      </c>
      <c r="AA127" s="158">
        <v>0</v>
      </c>
      <c r="AB127" s="155" t="s">
        <v>43</v>
      </c>
      <c r="AC127" s="150" t="s">
        <v>43</v>
      </c>
      <c r="AD127" s="155" t="s">
        <v>43</v>
      </c>
      <c r="AE127" s="155"/>
      <c r="AF127" s="150" t="s">
        <v>43</v>
      </c>
      <c r="AG127" s="159">
        <v>1</v>
      </c>
      <c r="AH127" s="159">
        <v>8403.2264337169945</v>
      </c>
      <c r="AI127" s="161">
        <v>0</v>
      </c>
      <c r="AJ127" s="161">
        <v>0</v>
      </c>
      <c r="AK127" s="162"/>
      <c r="AL127" s="163"/>
      <c r="AM127" s="164">
        <f>(((IF(L127=$L$101,1,IF(L127=$L$47,1,0))*(AH127*(1-AK127)))*AG127)*(1-AL127))</f>
        <v>8403.2264337169945</v>
      </c>
      <c r="AN127" s="165">
        <f>IF(K127=$K$50,AM127,IF(K127=$K$53,AM127,IF(K127=$K$54,AM127,IF(K127=$K$55,AM127,IF(K127=$K$56,AM127,IF(K127=$K$57,AM127,IF(K127=$K$58,AM127,IF(K127=$K$65,AM127,IF(K127=$K$66,AM127,IF(K127=$K$67,AM127,IF(K127=$K$68,AM127,IF(K127=$K$69,AM127,IF(K127=$K$51,AM127,(AM127*(1+AI127)))))))))))))))</f>
        <v>8403.2264337169945</v>
      </c>
      <c r="AO127" s="132">
        <v>1.6</v>
      </c>
      <c r="AP127" s="160">
        <f t="shared" si="2"/>
        <v>13445.162293947193</v>
      </c>
      <c r="AQ127" s="167">
        <f t="shared" si="23"/>
        <v>11649.766786562905</v>
      </c>
      <c r="AR127" s="160">
        <f t="shared" si="4"/>
        <v>13445.162293947193</v>
      </c>
      <c r="AS127" s="183">
        <f t="shared" si="5"/>
        <v>1.3357429300983872</v>
      </c>
      <c r="AT127" s="169" t="str">
        <f>K127</f>
        <v>LOG</v>
      </c>
      <c r="AU127" s="169" t="str">
        <f>I127</f>
        <v>Despesas</v>
      </c>
      <c r="AV127" s="170"/>
      <c r="AW127" s="171">
        <f>IF(K127=$K$50,0,IF(K127=$K$53,0,IF(K127=$K$54,0,IF(K127=$K$55,0,IF(K127=$K$56,0,IF(K127=$K$57,0,IF(K127=$K$58,0,IF(K127=$K$65,0,IF(K127=$K$66,0,IF(K127=$K$67,0,IF(K127=$K$68,0,IF(K127=$K$69,0,IF(K127=$K$51,0,1))))))))))))*AM127*AI127)</f>
        <v>0</v>
      </c>
      <c r="AX127" s="172">
        <f>IF(K127=$K$50,0,IF(K127=$K$53,0,IF(K127=$K$54,0,IF(K127=$K$55,0,IF(K127=$K$56,0,IF(K127=$K$57,0,IF(K127=$K$58,0,IF(K127=$K$65,0,IF(K127=$K$66,0,IF(K127=$K$67,0,IF(K127=$K$68,0,IF(K127=$K$69,0,IF(K127=$K$51,0,1))))))))))))*AM127*AJ127*$AX$94)</f>
        <v>0</v>
      </c>
      <c r="AY127" s="172">
        <f>IF(K127=$K$53,0,IF(K127=$K$54,0,IF(K127=$K$55,0,IF(K127=$K$56,0,IF(K127=$K$58,0,IF(K127=$K$50,0,IF(K127=$K$65,0,IF(K127=$K$57,0,IF(K127=$K$51,0,AM127*$AY$102)))))))))</f>
        <v>0</v>
      </c>
      <c r="AZ127" s="172">
        <f>IF(K127=$K$53,0,IF(K127=$K$54,0,IF(K127=$K$55,0,IF(K127=$K$56,0,IF(K127=$K$58,0,IF(K127=$K$50,0,IF(K127=$K$65,0,IF(K127=$K$57,0,IF(K127=$K$51,0,AM127*$AZ$102)))))))))</f>
        <v>0</v>
      </c>
      <c r="BA127" s="172">
        <f t="shared" si="6"/>
        <v>0</v>
      </c>
      <c r="BB127" s="173">
        <f>IF($BA$97=1,AQ127*$BB$102,IF(K127=$K$50,0,IF(K127=$K$53,0,IF(K127=$K$54,0,IF(K127=$K$55,0,IF(K127=$K$56,0,IF(K127=$K$57,0,IF(K127=$K$58,0,IF(K127=$K$65,0,IF(K127=$K$66,0,IF(K127=$K$67,0,IF(K127=$K$68,0,IF(K127=$K$69,0,IF(K127=$K$51,0,1)))))))))))*AQ127*$BB$102)))</f>
        <v>0</v>
      </c>
      <c r="BC127" s="172">
        <f t="shared" si="7"/>
        <v>75.72348411265888</v>
      </c>
      <c r="BD127" s="172">
        <f t="shared" si="8"/>
        <v>349.49300359688715</v>
      </c>
      <c r="BE127" s="172">
        <f>IF($BE$95=I127,$BE$97,IF(I127=$BE$96,$BE$97,1))*($BE$102*AQ127)*$AZ$97</f>
        <v>0</v>
      </c>
      <c r="BF127" s="172">
        <f>IF('[1]Cockpit Retorno'!$C$65=Sim,Mestre!BA127,SUM(BB127:BE127)+(IF(K127=$K$56,AQ127*MOE_IRRF_LR,0)))</f>
        <v>425.21648770954602</v>
      </c>
      <c r="BG127" s="174">
        <f>IF(AA127&gt;0,0,IF(Z127=$Z$82,AG127*1,(IF(Z127=$Z$81,AG127*1,0))))</f>
        <v>0</v>
      </c>
      <c r="BH127" s="174">
        <f>IF(AA127&gt;0,0,IF(Z127=$Z$83,AG127*1,IF(Z127=$Z$81,AG127*1,0)))</f>
        <v>0</v>
      </c>
      <c r="BI127" s="174">
        <f>IF(AA127&gt;0,0,IF(Z127=$Z$84,AG127*1,IF(Z127=$Z$93,AG127*2,IF(Z127=$Z$100,AG127,IF(Z127=$Z$81,AG127*2,IF(Z127=$Z$80,AG127*1,IF(Z127=$Z$79,AG127*3,IF(Z127=$Z$78,AG127*2,0))))))))</f>
        <v>0</v>
      </c>
      <c r="BJ127" s="174">
        <f>IF(AA127&gt;0,0,IF(Z127=$Z$85,AG127,IF(Z127=$Z$93,AG127,IF(Z127=$Z$100,AG127,IF(Z127=$Z$81,AG127*1,IF(Z127=$Z$80,AG127*2,IF(Z127=$Z$79,AG127*2,IF(Z127=$Z$78,AG127*2,0))))))))</f>
        <v>0</v>
      </c>
      <c r="BK127" s="174">
        <f>IF(AA127&gt;0,0,IF(Z127=$Z$92,AG127,0))</f>
        <v>0</v>
      </c>
      <c r="BL127" s="174">
        <f>IF(AA127&gt;0,0,IF(Z127=$Z$91,AG127,0))</f>
        <v>0</v>
      </c>
      <c r="BM127" s="174">
        <f>IF(AA127&gt;0,0,IF(Z127=$Z$86,AG127,0))</f>
        <v>0</v>
      </c>
      <c r="BN127" s="174">
        <f>IF(AA127&gt;0,0,IF(Z127=$Z$87,AG127,0))</f>
        <v>0</v>
      </c>
      <c r="BO127" s="174">
        <f>IF(AA127&gt;0,0,IF(Z127=$Z$88,AG127,0))</f>
        <v>0</v>
      </c>
      <c r="BP127" s="174">
        <f>IF(AA127&gt;0,0,IF(Z127=$Z$89,AG127,0))</f>
        <v>0</v>
      </c>
      <c r="BQ127" s="174">
        <f>IF(AA127&gt;0,0,IF(Z127=$Z$90,AG127,0))</f>
        <v>0</v>
      </c>
      <c r="BR127" s="174">
        <f>IF(Z127=$Z$82,AA127*AG127,0)</f>
        <v>0</v>
      </c>
      <c r="BS127" s="174">
        <f>IF(Z127=$Z$83,AA127*AG127,0)</f>
        <v>0</v>
      </c>
      <c r="BT127" s="174">
        <f>IF(AA127&lt;1,0,IF(Z127=$Z$84,AA127*AG127,IF(Z127=$Z$93,"ERRO",IF(Z127=$Z$100,"ERRO",0))))</f>
        <v>0</v>
      </c>
      <c r="BU127" s="174">
        <f>IF(AA127&lt;1,0,IF(Z127=$Z$85,AA127*AG127,IF(Z127=$Z$93,"ERRO",IF(Z127=$Z$100,"ERRO",0))))</f>
        <v>0</v>
      </c>
      <c r="BV127" s="174">
        <f>IF(Z127=$Z$92,AA127*AG127,0)</f>
        <v>0</v>
      </c>
      <c r="BW127" s="174">
        <f>IF(Z127=$Z$91,AA127*AG127,0)</f>
        <v>0</v>
      </c>
      <c r="BX127" s="174">
        <f>IF(Z127=$Z$86,AA127*AG127,0)</f>
        <v>0</v>
      </c>
      <c r="BY127" s="174">
        <f>IF(Z127=$Z$87,AA127*AG127,0)</f>
        <v>0</v>
      </c>
      <c r="BZ127" s="174">
        <f>IF(Z127=$Z$88,AA127*AG127,0)</f>
        <v>0</v>
      </c>
      <c r="CA127" s="174">
        <f>IF(Z127=$Z$89,AA127*AG127,0)</f>
        <v>0</v>
      </c>
      <c r="CB127" s="174">
        <f>IF(Z127=$Z$90,AA127*AG127,0)</f>
        <v>0</v>
      </c>
      <c r="CC127" s="175">
        <f>IFERROR(IF(L127=$L$49,AG127*AH127*(1+AI127)*(1-AK127)*(1-AL127),0),0)</f>
        <v>0</v>
      </c>
      <c r="CD127" s="143">
        <f>IF(I127=$CD$97,1,IF(I127=$CD$100,2,IF(K127=$K$66,1,IF(K127=$K$69,1,3))))</f>
        <v>2</v>
      </c>
      <c r="CE127" s="143">
        <f t="shared" si="14"/>
        <v>1.07</v>
      </c>
      <c r="CF127" s="144">
        <f t="shared" si="9"/>
        <v>1.2788999999999999</v>
      </c>
      <c r="CG127" s="143">
        <f t="shared" si="15"/>
        <v>1.47</v>
      </c>
      <c r="CH127" s="144">
        <f t="shared" si="10"/>
        <v>1.6023000000000001</v>
      </c>
      <c r="CI127" s="143">
        <f t="shared" si="16"/>
        <v>1.7</v>
      </c>
      <c r="CJ127" s="144">
        <f t="shared" si="17"/>
        <v>1.0486</v>
      </c>
      <c r="CK127" s="144">
        <f t="shared" si="18"/>
        <v>1.1893769999999999</v>
      </c>
      <c r="CL127" s="144">
        <f t="shared" si="19"/>
        <v>1.4405999999999999</v>
      </c>
      <c r="CM127" s="144">
        <f t="shared" si="20"/>
        <v>1.5542309999999999</v>
      </c>
      <c r="CN127" s="143">
        <f t="shared" si="21"/>
        <v>1.6319999999999999</v>
      </c>
      <c r="CO127" s="145">
        <v>1.3</v>
      </c>
      <c r="CP127" s="146">
        <f t="shared" si="11"/>
        <v>425.21648770954602</v>
      </c>
      <c r="CQ127" s="147">
        <f t="shared" si="12"/>
        <v>11224.550298853359</v>
      </c>
      <c r="CR127" s="190">
        <f t="shared" si="13"/>
        <v>425.21648770954602</v>
      </c>
      <c r="CS127" s="49"/>
      <c r="CT127" s="49"/>
      <c r="CU127" s="49"/>
      <c r="CV127" s="49"/>
      <c r="CW127" s="49"/>
      <c r="CX127" s="49"/>
      <c r="CY127" s="49"/>
      <c r="CZ127" s="49"/>
      <c r="DA127" s="49"/>
      <c r="DB127" s="49"/>
      <c r="DC127" s="49"/>
      <c r="DD127" s="49"/>
      <c r="DE127" s="49"/>
      <c r="DF127" s="49"/>
      <c r="DG127" s="49"/>
      <c r="DH127" s="49"/>
      <c r="DI127" s="49"/>
      <c r="DJ127" s="49"/>
      <c r="DK127" s="49"/>
      <c r="DL127" s="49"/>
      <c r="DM127" s="49"/>
      <c r="DN127" s="49"/>
      <c r="DO127" s="49"/>
      <c r="DP127" s="49"/>
      <c r="DQ127" s="49"/>
      <c r="DR127" s="49"/>
      <c r="DS127" s="49"/>
      <c r="DT127" s="49"/>
      <c r="DU127" s="49"/>
      <c r="DV127" s="49"/>
      <c r="DW127" s="49"/>
      <c r="DX127" s="49"/>
      <c r="DY127" s="49"/>
      <c r="DZ127" s="49"/>
      <c r="EA127" s="49"/>
      <c r="EB127" s="49"/>
      <c r="EC127" s="49"/>
      <c r="ED127" s="49"/>
      <c r="EE127" s="49"/>
      <c r="EF127" s="49"/>
      <c r="EG127" s="49"/>
      <c r="EH127" s="49"/>
      <c r="EI127" s="49"/>
      <c r="EJ127" s="49"/>
      <c r="EK127" s="49"/>
      <c r="EL127" s="49"/>
      <c r="EM127" s="49"/>
      <c r="EN127" s="49"/>
      <c r="EO127" s="49"/>
      <c r="EP127" s="49"/>
      <c r="EQ127" s="49"/>
      <c r="ER127" s="49"/>
      <c r="ES127" s="49"/>
      <c r="ET127" s="49"/>
      <c r="EU127" s="49"/>
      <c r="EV127" s="49"/>
      <c r="EW127" s="49"/>
      <c r="EX127" s="49"/>
      <c r="EY127" s="49"/>
      <c r="EZ127" s="49"/>
      <c r="FA127" s="49"/>
    </row>
    <row r="128" spans="1:157" s="182" customFormat="1" x14ac:dyDescent="0.25">
      <c r="A128" s="113">
        <f>IF(AND('[1]Cockpit Retorno'!$E$67=Sim,Mestre!M128=Mestre!$M$98),0,1)</f>
        <v>1</v>
      </c>
      <c r="B128" s="113">
        <f>IF(AND('[1]Cockpit Retorno'!$E$67=Sim,Mestre!L128=Mestre!$L$48),0,1)</f>
        <v>0</v>
      </c>
      <c r="C128" s="113">
        <f>IF(AND('[1]Cockpit Retorno'!$E$67=Sim,Mestre!M128=Mestre!$M$97),0,1)</f>
        <v>1</v>
      </c>
      <c r="D128" s="148" t="s">
        <v>274</v>
      </c>
      <c r="E128" s="115"/>
      <c r="F128" s="116" t="s">
        <v>107</v>
      </c>
      <c r="G128" s="149"/>
      <c r="H128" s="150" t="s">
        <v>70</v>
      </c>
      <c r="I128" s="151" t="str">
        <f t="shared" si="1"/>
        <v>Serviços</v>
      </c>
      <c r="J128" s="150" t="s">
        <v>12</v>
      </c>
      <c r="K128" s="152" t="s">
        <v>55</v>
      </c>
      <c r="L128" s="153" t="s">
        <v>15</v>
      </c>
      <c r="M128" s="154" t="s">
        <v>12</v>
      </c>
      <c r="N128" s="155" t="s">
        <v>43</v>
      </c>
      <c r="O128" s="155" t="s">
        <v>275</v>
      </c>
      <c r="P128" s="155" t="s">
        <v>43</v>
      </c>
      <c r="Q128" s="155" t="s">
        <v>43</v>
      </c>
      <c r="R128" s="155" t="s">
        <v>43</v>
      </c>
      <c r="S128" s="156" t="s">
        <v>43</v>
      </c>
      <c r="T128" s="156" t="s">
        <v>43</v>
      </c>
      <c r="U128" s="150" t="s">
        <v>43</v>
      </c>
      <c r="V128" s="150" t="s">
        <v>43</v>
      </c>
      <c r="W128" s="150" t="s">
        <v>43</v>
      </c>
      <c r="X128" s="157" t="s">
        <v>280</v>
      </c>
      <c r="Y128" s="150" t="s">
        <v>43</v>
      </c>
      <c r="Z128" s="150" t="s">
        <v>43</v>
      </c>
      <c r="AA128" s="158">
        <v>0</v>
      </c>
      <c r="AB128" s="155" t="s">
        <v>43</v>
      </c>
      <c r="AC128" s="150" t="s">
        <v>43</v>
      </c>
      <c r="AD128" s="155" t="s">
        <v>43</v>
      </c>
      <c r="AE128" s="155"/>
      <c r="AF128" s="150" t="s">
        <v>43</v>
      </c>
      <c r="AG128" s="159">
        <f>'[1]Avulso HH'!C253</f>
        <v>810</v>
      </c>
      <c r="AH128" s="159">
        <v>30.486724963129632</v>
      </c>
      <c r="AI128" s="161">
        <v>0</v>
      </c>
      <c r="AJ128" s="161">
        <v>0</v>
      </c>
      <c r="AK128" s="162"/>
      <c r="AL128" s="163"/>
      <c r="AM128" s="164">
        <f>(((IF(L128=$L$101,1,IF(L128=$L$47,1,0))*(AH128*(1-AK128)))*AG128)*(1-AL128))</f>
        <v>24694.247220135003</v>
      </c>
      <c r="AN128" s="165">
        <f>IF(K128=$K$50,AM128,IF(K128=$K$53,AM128,IF(K128=$K$54,AM128,IF(K128=$K$55,AM128,IF(K128=$K$56,AM128,IF(K128=$K$57,AM128,IF(K128=$K$58,AM128,IF(K128=$K$65,AM128,IF(K128=$K$66,AM128,IF(K128=$K$67,AM128,IF(K128=$K$68,AM128,IF(K128=$K$69,AM128,IF(K128=$K$51,AM128,(AM128*(1+AI128)))))))))))))))</f>
        <v>24694.247220135003</v>
      </c>
      <c r="AO128" s="166">
        <v>1.9</v>
      </c>
      <c r="AP128" s="160">
        <f t="shared" si="2"/>
        <v>46919.069718256505</v>
      </c>
      <c r="AQ128" s="167">
        <f t="shared" si="23"/>
        <v>40653.746537982908</v>
      </c>
      <c r="AR128" s="160">
        <f t="shared" si="4"/>
        <v>46919.069718256505</v>
      </c>
      <c r="AS128" s="168">
        <f t="shared" si="5"/>
        <v>1.5861947294918348</v>
      </c>
      <c r="AT128" s="169" t="str">
        <f>K128</f>
        <v>MOC</v>
      </c>
      <c r="AU128" s="169" t="str">
        <f>I128</f>
        <v>Serviços</v>
      </c>
      <c r="AV128" s="170"/>
      <c r="AW128" s="171">
        <f>IF(K128=$K$50,0,IF(K128=$K$53,0,IF(K128=$K$54,0,IF(K128=$K$55,0,IF(K128=$K$56,0,IF(K128=$K$57,0,IF(K128=$K$58,0,IF(K128=$K$65,0,IF(K128=$K$66,0,IF(K128=$K$67,0,IF(K128=$K$68,0,IF(K128=$K$69,0,IF(K128=$K$51,0,1))))))))))))*AM128*AI128)</f>
        <v>0</v>
      </c>
      <c r="AX128" s="172">
        <f>IF(K128=$K$50,0,IF(K128=$K$53,0,IF(K128=$K$54,0,IF(K128=$K$55,0,IF(K128=$K$56,0,IF(K128=$K$57,0,IF(K128=$K$58,0,IF(K128=$K$65,0,IF(K128=$K$66,0,IF(K128=$K$67,0,IF(K128=$K$68,0,IF(K128=$K$69,0,IF(K128=$K$51,0,1))))))))))))*AM128*AJ128*$AX$94)</f>
        <v>0</v>
      </c>
      <c r="AY128" s="172">
        <f>IF(K128=$K$53,0,IF(K128=$K$54,0,IF(K128=$K$55,0,IF(K128=$K$56,0,IF(K128=$K$58,0,IF(K128=$K$50,0,IF(K128=$K$65,0,IF(K128=$K$57,0,IF(K128=$K$51,0,AM128*$AY$102)))))))))</f>
        <v>0</v>
      </c>
      <c r="AZ128" s="172">
        <f>IF(K128=$K$53,0,IF(K128=$K$54,0,IF(K128=$K$55,0,IF(K128=$K$56,0,IF(K128=$K$58,0,IF(K128=$K$50,0,IF(K128=$K$65,0,IF(K128=$K$57,0,IF(K128=$K$51,0,AM128*$AZ$102)))))))))</f>
        <v>0</v>
      </c>
      <c r="BA128" s="172">
        <f t="shared" si="6"/>
        <v>0</v>
      </c>
      <c r="BB128" s="173">
        <f>IF($BA$97=1,AQ128*$BB$102,IF(K128=$K$50,0,IF(K128=$K$53,0,IF(K128=$K$54,0,IF(K128=$K$55,0,IF(K128=$K$56,0,IF(K128=$K$57,0,IF(K128=$K$58,0,IF(K128=$K$65,0,IF(K128=$K$66,0,IF(K128=$K$67,0,IF(K128=$K$68,0,IF(K128=$K$69,0,IF(K128=$K$51,0,1)))))))))))*AQ128*$BB$102)))</f>
        <v>0</v>
      </c>
      <c r="BC128" s="172">
        <f t="shared" si="7"/>
        <v>264.24935249688895</v>
      </c>
      <c r="BD128" s="172">
        <f t="shared" si="8"/>
        <v>1219.6123961394871</v>
      </c>
      <c r="BE128" s="172">
        <f>IF($BE$95=I128,$BE$97,IF(I128=$BE$96,$BE$97,1))*($BE$102*AQ128)*$AZ$97</f>
        <v>0</v>
      </c>
      <c r="BF128" s="172">
        <f>IF('[1]Cockpit Retorno'!$C$65=Sim,Mestre!BA128,SUM(BB128:BE128)+(IF(K128=$K$56,AQ128*MOE_IRRF_LR,0)))</f>
        <v>1483.861748636376</v>
      </c>
      <c r="BG128" s="174">
        <f>IF(AA128&gt;0,0,IF(Z128=$Z$82,AG128*1,(IF(Z128=$Z$81,AG128*1,0))))</f>
        <v>0</v>
      </c>
      <c r="BH128" s="174">
        <f>IF(AA128&gt;0,0,IF(Z128=$Z$83,AG128*1,IF(Z128=$Z$81,AG128*1,0)))</f>
        <v>0</v>
      </c>
      <c r="BI128" s="174">
        <f>IF(AA128&gt;0,0,IF(Z128=$Z$84,AG128*1,IF(Z128=$Z$93,AG128*2,IF(Z128=$Z$100,AG128,IF(Z128=$Z$81,AG128*2,IF(Z128=$Z$80,AG128*1,IF(Z128=$Z$79,AG128*3,IF(Z128=$Z$78,AG128*2,0))))))))</f>
        <v>0</v>
      </c>
      <c r="BJ128" s="174">
        <f>IF(AA128&gt;0,0,IF(Z128=$Z$85,AG128,IF(Z128=$Z$93,AG128,IF(Z128=$Z$100,AG128,IF(Z128=$Z$81,AG128*1,IF(Z128=$Z$80,AG128*2,IF(Z128=$Z$79,AG128*2,IF(Z128=$Z$78,AG128*2,0))))))))</f>
        <v>0</v>
      </c>
      <c r="BK128" s="174">
        <f>IF(AA128&gt;0,0,IF(Z128=$Z$92,AG128,0))</f>
        <v>0</v>
      </c>
      <c r="BL128" s="174">
        <f>IF(AA128&gt;0,0,IF(Z128=$Z$91,AG128,0))</f>
        <v>0</v>
      </c>
      <c r="BM128" s="174">
        <f>IF(AA128&gt;0,0,IF(Z128=$Z$86,AG128,0))</f>
        <v>0</v>
      </c>
      <c r="BN128" s="174">
        <f>IF(AA128&gt;0,0,IF(Z128=$Z$87,AG128,0))</f>
        <v>0</v>
      </c>
      <c r="BO128" s="174">
        <f>IF(AA128&gt;0,0,IF(Z128=$Z$88,AG128,0))</f>
        <v>0</v>
      </c>
      <c r="BP128" s="174">
        <f>IF(AA128&gt;0,0,IF(Z128=$Z$89,AG128,0))</f>
        <v>0</v>
      </c>
      <c r="BQ128" s="174">
        <f>IF(AA128&gt;0,0,IF(Z128=$Z$90,AG128,0))</f>
        <v>0</v>
      </c>
      <c r="BR128" s="174">
        <f>IF(Z128=$Z$82,AA128*AG128,0)</f>
        <v>0</v>
      </c>
      <c r="BS128" s="174">
        <f>IF(Z128=$Z$83,AA128*AG128,0)</f>
        <v>0</v>
      </c>
      <c r="BT128" s="174">
        <f>IF(AA128&lt;1,0,IF(Z128=$Z$84,AA128*AG128,IF(Z128=$Z$93,"ERRO",IF(Z128=$Z$100,"ERRO",0))))</f>
        <v>0</v>
      </c>
      <c r="BU128" s="174">
        <f>IF(AA128&lt;1,0,IF(Z128=$Z$85,AA128*AG128,IF(Z128=$Z$93,"ERRO",IF(Z128=$Z$100,"ERRO",0))))</f>
        <v>0</v>
      </c>
      <c r="BV128" s="174">
        <f>IF(Z128=$Z$92,AA128*AG128,0)</f>
        <v>0</v>
      </c>
      <c r="BW128" s="174">
        <f>IF(Z128=$Z$91,AA128*AG128,0)</f>
        <v>0</v>
      </c>
      <c r="BX128" s="174">
        <f>IF(Z128=$Z$86,AA128*AG128,0)</f>
        <v>0</v>
      </c>
      <c r="BY128" s="174">
        <f>IF(Z128=$Z$87,AA128*AG128,0)</f>
        <v>0</v>
      </c>
      <c r="BZ128" s="174">
        <f>IF(Z128=$Z$88,AA128*AG128,0)</f>
        <v>0</v>
      </c>
      <c r="CA128" s="174">
        <f>IF(Z128=$Z$89,AA128*AG128,0)</f>
        <v>0</v>
      </c>
      <c r="CB128" s="174">
        <f>IF(Z128=$Z$90,AA128*AG128,0)</f>
        <v>0</v>
      </c>
      <c r="CC128" s="175">
        <f>IFERROR(IF(L128=$L$49,AG128*AH128*(1+AI128)*(1-AK128)*(1-AL128),0),0)</f>
        <v>0</v>
      </c>
      <c r="CD128" s="182">
        <f>IF(I128=$CD$97,1,IF(I128=$CD$100,2,IF(K128=$K$66,1,IF(K128=$K$69,1,3))))</f>
        <v>3</v>
      </c>
      <c r="CE128" s="182">
        <f t="shared" si="14"/>
        <v>1.3</v>
      </c>
      <c r="CF128" s="184">
        <f t="shared" si="9"/>
        <v>1.74</v>
      </c>
      <c r="CG128" s="182">
        <f t="shared" si="15"/>
        <v>2</v>
      </c>
      <c r="CH128" s="184">
        <f t="shared" si="10"/>
        <v>2.1800000000000002</v>
      </c>
      <c r="CI128" s="182">
        <f t="shared" si="16"/>
        <v>2.4</v>
      </c>
      <c r="CJ128" s="185">
        <f t="shared" si="17"/>
        <v>1.274</v>
      </c>
      <c r="CK128" s="185">
        <f t="shared" si="18"/>
        <v>1.6182000000000001</v>
      </c>
      <c r="CL128" s="185">
        <f t="shared" si="19"/>
        <v>1.96</v>
      </c>
      <c r="CM128" s="185">
        <f t="shared" si="20"/>
        <v>2.1146000000000003</v>
      </c>
      <c r="CN128" s="186">
        <f t="shared" si="21"/>
        <v>2.3039999999999998</v>
      </c>
      <c r="CO128" s="184">
        <f>CJ128*$CO$102</f>
        <v>1.2230399999999999</v>
      </c>
      <c r="CP128" s="187">
        <f t="shared" si="11"/>
        <v>1483.861748636376</v>
      </c>
      <c r="CQ128" s="188">
        <f t="shared" si="12"/>
        <v>39169.884789346535</v>
      </c>
      <c r="CR128" s="189">
        <f t="shared" si="13"/>
        <v>1483.861748636376</v>
      </c>
      <c r="CS128" s="49"/>
      <c r="CT128" s="49"/>
      <c r="CU128" s="49"/>
      <c r="CV128" s="49"/>
      <c r="CW128" s="49"/>
      <c r="CX128" s="49"/>
      <c r="CY128" s="49"/>
      <c r="CZ128" s="49"/>
      <c r="DA128" s="49"/>
      <c r="DB128" s="49"/>
      <c r="DC128" s="49"/>
      <c r="DD128" s="49"/>
      <c r="DE128" s="49"/>
      <c r="DF128" s="49"/>
      <c r="DG128" s="49"/>
      <c r="DH128" s="49"/>
      <c r="DI128" s="49"/>
      <c r="DJ128" s="49"/>
      <c r="DK128" s="49"/>
      <c r="DL128" s="49"/>
      <c r="DM128" s="49"/>
      <c r="DN128" s="49"/>
      <c r="DO128" s="49"/>
      <c r="DP128" s="49"/>
      <c r="DQ128" s="49"/>
      <c r="DR128" s="49"/>
      <c r="DS128" s="49"/>
      <c r="DT128" s="49"/>
      <c r="DU128" s="49"/>
      <c r="DV128" s="49"/>
      <c r="DW128" s="49"/>
      <c r="DX128" s="49"/>
      <c r="DY128" s="49"/>
      <c r="DZ128" s="49"/>
      <c r="EA128" s="49"/>
      <c r="EB128" s="49"/>
      <c r="EC128" s="49"/>
      <c r="ED128" s="49"/>
      <c r="EE128" s="49"/>
      <c r="EF128" s="49"/>
      <c r="EG128" s="49"/>
      <c r="EH128" s="49"/>
      <c r="EI128" s="49"/>
      <c r="EJ128" s="49"/>
      <c r="EK128" s="49"/>
      <c r="EL128" s="49"/>
      <c r="EM128" s="49"/>
      <c r="EN128" s="49"/>
      <c r="EO128" s="49"/>
      <c r="EP128" s="49"/>
      <c r="EQ128" s="49"/>
      <c r="ER128" s="49"/>
      <c r="ES128" s="49"/>
      <c r="ET128" s="49"/>
      <c r="EU128" s="49"/>
      <c r="EV128" s="49"/>
      <c r="EW128" s="49"/>
      <c r="EX128" s="49"/>
      <c r="EY128" s="49"/>
      <c r="EZ128" s="49"/>
      <c r="FA128" s="49"/>
    </row>
    <row r="129" spans="1:157" s="113" customFormat="1" x14ac:dyDescent="0.25">
      <c r="A129" s="113">
        <f>IF(AND('[1]Cockpit Retorno'!$E$67=Sim,Mestre!M129=Mestre!$M$98),0,1)</f>
        <v>1</v>
      </c>
      <c r="B129" s="113">
        <f>IF(AND('[1]Cockpit Retorno'!$E$67=Sim,Mestre!L129=Mestre!$L$48),0,1)</f>
        <v>0</v>
      </c>
      <c r="C129" s="113">
        <f>IF(AND('[1]Cockpit Retorno'!$E$67=Sim,Mestre!M129=Mestre!$M$97),0,1)</f>
        <v>1</v>
      </c>
      <c r="D129" s="114" t="s">
        <v>259</v>
      </c>
      <c r="E129" s="115"/>
      <c r="F129" s="116" t="s">
        <v>107</v>
      </c>
      <c r="G129" s="149"/>
      <c r="H129" s="153" t="s">
        <v>5</v>
      </c>
      <c r="I129" s="151" t="str">
        <f t="shared" si="1"/>
        <v>Despesas</v>
      </c>
      <c r="J129" s="150" t="s">
        <v>12</v>
      </c>
      <c r="K129" s="152" t="s">
        <v>27</v>
      </c>
      <c r="L129" s="153" t="s">
        <v>15</v>
      </c>
      <c r="M129" s="154" t="s">
        <v>12</v>
      </c>
      <c r="N129" s="155" t="s">
        <v>43</v>
      </c>
      <c r="O129" s="155" t="s">
        <v>275</v>
      </c>
      <c r="P129" s="155" t="s">
        <v>43</v>
      </c>
      <c r="Q129" s="155" t="s">
        <v>43</v>
      </c>
      <c r="R129" s="155" t="s">
        <v>43</v>
      </c>
      <c r="S129" s="156" t="s">
        <v>43</v>
      </c>
      <c r="T129" s="156" t="s">
        <v>43</v>
      </c>
      <c r="U129" s="150" t="s">
        <v>43</v>
      </c>
      <c r="V129" s="150" t="s">
        <v>43</v>
      </c>
      <c r="W129" s="150" t="s">
        <v>43</v>
      </c>
      <c r="X129" s="201" t="s">
        <v>281</v>
      </c>
      <c r="Y129" s="150" t="s">
        <v>43</v>
      </c>
      <c r="Z129" s="150" t="s">
        <v>43</v>
      </c>
      <c r="AA129" s="158">
        <v>0</v>
      </c>
      <c r="AB129" s="155" t="s">
        <v>43</v>
      </c>
      <c r="AC129" s="150" t="s">
        <v>43</v>
      </c>
      <c r="AD129" s="155" t="s">
        <v>43</v>
      </c>
      <c r="AE129" s="155"/>
      <c r="AF129" s="150" t="s">
        <v>43</v>
      </c>
      <c r="AG129" s="159">
        <v>1</v>
      </c>
      <c r="AH129" s="159">
        <v>16793.009999999998</v>
      </c>
      <c r="AI129" s="161">
        <v>0</v>
      </c>
      <c r="AJ129" s="161">
        <v>0</v>
      </c>
      <c r="AK129" s="162"/>
      <c r="AL129" s="163"/>
      <c r="AM129" s="164">
        <f>(((IF(L129=$L$101,1,IF(L129=$L$47,1,0))*(AH129*(1-AK129)))*AG129)*(1-AL129))</f>
        <v>16793.009999999998</v>
      </c>
      <c r="AN129" s="165">
        <f>IF(K129=$K$50,AM129,IF(K129=$K$53,AM129,IF(K129=$K$54,AM129,IF(K129=$K$55,AM129,IF(K129=$K$56,AM129,IF(K129=$K$57,AM129,IF(K129=$K$58,AM129,IF(K129=$K$65,AM129,IF(K129=$K$66,AM129,IF(K129=$K$67,AM129,IF(K129=$K$68,AM129,IF(K129=$K$69,AM129,IF(K129=$K$51,AM129,(AM129*(1+AI129)))))))))))))))</f>
        <v>16793.009999999998</v>
      </c>
      <c r="AO129" s="132">
        <v>1.6</v>
      </c>
      <c r="AP129" s="160">
        <f t="shared" si="2"/>
        <v>26868.815999999999</v>
      </c>
      <c r="AQ129" s="167">
        <f t="shared" si="23"/>
        <v>23280.897127733799</v>
      </c>
      <c r="AR129" s="160">
        <f t="shared" si="4"/>
        <v>26868.815999999999</v>
      </c>
      <c r="AS129" s="183">
        <f t="shared" si="5"/>
        <v>1.3357429300983872</v>
      </c>
      <c r="AT129" s="169" t="str">
        <f>K129</f>
        <v>LOG</v>
      </c>
      <c r="AU129" s="169" t="str">
        <f>I129</f>
        <v>Despesas</v>
      </c>
      <c r="AV129" s="170"/>
      <c r="AW129" s="171">
        <f>IF(K129=$K$50,0,IF(K129=$K$53,0,IF(K129=$K$54,0,IF(K129=$K$55,0,IF(K129=$K$56,0,IF(K129=$K$57,0,IF(K129=$K$58,0,IF(K129=$K$65,0,IF(K129=$K$66,0,IF(K129=$K$67,0,IF(K129=$K$68,0,IF(K129=$K$69,0,IF(K129=$K$51,0,1))))))))))))*AM129*AI129)</f>
        <v>0</v>
      </c>
      <c r="AX129" s="172">
        <f>IF(K129=$K$50,0,IF(K129=$K$53,0,IF(K129=$K$54,0,IF(K129=$K$55,0,IF(K129=$K$56,0,IF(K129=$K$57,0,IF(K129=$K$58,0,IF(K129=$K$65,0,IF(K129=$K$66,0,IF(K129=$K$67,0,IF(K129=$K$68,0,IF(K129=$K$69,0,IF(K129=$K$51,0,1))))))))))))*AM129*AJ129*$AX$94)</f>
        <v>0</v>
      </c>
      <c r="AY129" s="172">
        <f>IF(K129=$K$53,0,IF(K129=$K$54,0,IF(K129=$K$55,0,IF(K129=$K$56,0,IF(K129=$K$58,0,IF(K129=$K$50,0,IF(K129=$K$65,0,IF(K129=$K$57,0,IF(K129=$K$51,0,AM129*$AY$102)))))))))</f>
        <v>0</v>
      </c>
      <c r="AZ129" s="172">
        <f>IF(K129=$K$53,0,IF(K129=$K$54,0,IF(K129=$K$55,0,IF(K129=$K$56,0,IF(K129=$K$58,0,IF(K129=$K$50,0,IF(K129=$K$65,0,IF(K129=$K$57,0,IF(K129=$K$51,0,AM129*$AZ$102)))))))))</f>
        <v>0</v>
      </c>
      <c r="BA129" s="172">
        <f t="shared" si="6"/>
        <v>0</v>
      </c>
      <c r="BB129" s="173">
        <f>IF($BA$97=1,AQ129*$BB$102,IF(K129=$K$50,0,IF(K129=$K$53,0,IF(K129=$K$54,0,IF(K129=$K$55,0,IF(K129=$K$56,0,IF(K129=$K$57,0,IF(K129=$K$58,0,IF(K129=$K$65,0,IF(K129=$K$66,0,IF(K129=$K$67,0,IF(K129=$K$68,0,IF(K129=$K$69,0,IF(K129=$K$51,0,1)))))))))))*AQ129*$BB$102)))</f>
        <v>0</v>
      </c>
      <c r="BC129" s="172">
        <f t="shared" si="7"/>
        <v>151.32583133026969</v>
      </c>
      <c r="BD129" s="172">
        <f t="shared" si="8"/>
        <v>698.42691383201395</v>
      </c>
      <c r="BE129" s="172">
        <f>IF($BE$95=I129,$BE$97,IF(I129=$BE$96,$BE$97,1))*($BE$102*AQ129)*$AZ$97</f>
        <v>0</v>
      </c>
      <c r="BF129" s="172">
        <f>IF('[1]Cockpit Retorno'!$C$65=Sim,Mestre!BA129,SUM(BB129:BE129)+(IF(K129=$K$56,AQ129*MOE_IRRF_LR,0)))</f>
        <v>849.75274516228365</v>
      </c>
      <c r="BG129" s="174">
        <f>IF(AA129&gt;0,0,IF(Z129=$Z$82,AG129*1,(IF(Z129=$Z$81,AG129*1,0))))</f>
        <v>0</v>
      </c>
      <c r="BH129" s="174">
        <f>IF(AA129&gt;0,0,IF(Z129=$Z$83,AG129*1,IF(Z129=$Z$81,AG129*1,0)))</f>
        <v>0</v>
      </c>
      <c r="BI129" s="174">
        <f>IF(AA129&gt;0,0,IF(Z129=$Z$84,AG129*1,IF(Z129=$Z$93,AG129*2,IF(Z129=$Z$100,AG129,IF(Z129=$Z$81,AG129*2,IF(Z129=$Z$80,AG129*1,IF(Z129=$Z$79,AG129*3,IF(Z129=$Z$78,AG129*2,0))))))))</f>
        <v>0</v>
      </c>
      <c r="BJ129" s="174">
        <f>IF(AA129&gt;0,0,IF(Z129=$Z$85,AG129,IF(Z129=$Z$93,AG129,IF(Z129=$Z$100,AG129,IF(Z129=$Z$81,AG129*1,IF(Z129=$Z$80,AG129*2,IF(Z129=$Z$79,AG129*2,IF(Z129=$Z$78,AG129*2,0))))))))</f>
        <v>0</v>
      </c>
      <c r="BK129" s="174">
        <f>IF(AA129&gt;0,0,IF(Z129=$Z$92,AG129,0))</f>
        <v>0</v>
      </c>
      <c r="BL129" s="174">
        <f>IF(AA129&gt;0,0,IF(Z129=$Z$91,AG129,0))</f>
        <v>0</v>
      </c>
      <c r="BM129" s="174">
        <f>IF(AA129&gt;0,0,IF(Z129=$Z$86,AG129,0))</f>
        <v>0</v>
      </c>
      <c r="BN129" s="174">
        <f>IF(AA129&gt;0,0,IF(Z129=$Z$87,AG129,0))</f>
        <v>0</v>
      </c>
      <c r="BO129" s="174">
        <f>IF(AA129&gt;0,0,IF(Z129=$Z$88,AG129,0))</f>
        <v>0</v>
      </c>
      <c r="BP129" s="174">
        <f>IF(AA129&gt;0,0,IF(Z129=$Z$89,AG129,0))</f>
        <v>0</v>
      </c>
      <c r="BQ129" s="174">
        <f>IF(AA129&gt;0,0,IF(Z129=$Z$90,AG129,0))</f>
        <v>0</v>
      </c>
      <c r="BR129" s="174">
        <f>IF(Z129=$Z$82,AA129*AG129,0)</f>
        <v>0</v>
      </c>
      <c r="BS129" s="174">
        <f>IF(Z129=$Z$83,AA129*AG129,0)</f>
        <v>0</v>
      </c>
      <c r="BT129" s="174">
        <f>IF(AA129&lt;1,0,IF(Z129=$Z$84,AA129*AG129,IF(Z129=$Z$93,"ERRO",IF(Z129=$Z$100,"ERRO",0))))</f>
        <v>0</v>
      </c>
      <c r="BU129" s="174">
        <f>IF(AA129&lt;1,0,IF(Z129=$Z$85,AA129*AG129,IF(Z129=$Z$93,"ERRO",IF(Z129=$Z$100,"ERRO",0))))</f>
        <v>0</v>
      </c>
      <c r="BV129" s="174">
        <f>IF(Z129=$Z$92,AA129*AG129,0)</f>
        <v>0</v>
      </c>
      <c r="BW129" s="174">
        <f>IF(Z129=$Z$91,AA129*AG129,0)</f>
        <v>0</v>
      </c>
      <c r="BX129" s="174">
        <f>IF(Z129=$Z$86,AA129*AG129,0)</f>
        <v>0</v>
      </c>
      <c r="BY129" s="174">
        <f>IF(Z129=$Z$87,AA129*AG129,0)</f>
        <v>0</v>
      </c>
      <c r="BZ129" s="174">
        <f>IF(Z129=$Z$88,AA129*AG129,0)</f>
        <v>0</v>
      </c>
      <c r="CA129" s="174">
        <f>IF(Z129=$Z$89,AA129*AG129,0)</f>
        <v>0</v>
      </c>
      <c r="CB129" s="174">
        <f>IF(Z129=$Z$90,AA129*AG129,0)</f>
        <v>0</v>
      </c>
      <c r="CC129" s="175">
        <f>IFERROR(IF(L129=$L$49,AG129*AH129*(1+AI129)*(1-AK129)*(1-AL129),0),0)</f>
        <v>0</v>
      </c>
      <c r="CD129" s="143">
        <f>IF(I129=$CD$97,1,IF(I129=$CD$100,2,IF(K129=$K$66,1,IF(K129=$K$69,1,3))))</f>
        <v>2</v>
      </c>
      <c r="CE129" s="143">
        <f t="shared" si="14"/>
        <v>1.07</v>
      </c>
      <c r="CF129" s="144">
        <f t="shared" si="9"/>
        <v>1.2788999999999999</v>
      </c>
      <c r="CG129" s="143">
        <f t="shared" si="15"/>
        <v>1.47</v>
      </c>
      <c r="CH129" s="144">
        <f t="shared" si="10"/>
        <v>1.6023000000000001</v>
      </c>
      <c r="CI129" s="143">
        <f t="shared" si="16"/>
        <v>1.7</v>
      </c>
      <c r="CJ129" s="144">
        <f t="shared" si="17"/>
        <v>1.0486</v>
      </c>
      <c r="CK129" s="144">
        <f t="shared" si="18"/>
        <v>1.1893769999999999</v>
      </c>
      <c r="CL129" s="144">
        <f t="shared" si="19"/>
        <v>1.4405999999999999</v>
      </c>
      <c r="CM129" s="144">
        <f t="shared" si="20"/>
        <v>1.5542309999999999</v>
      </c>
      <c r="CN129" s="143">
        <f t="shared" si="21"/>
        <v>1.6319999999999999</v>
      </c>
      <c r="CO129" s="145">
        <v>1.3</v>
      </c>
      <c r="CP129" s="146">
        <f t="shared" si="11"/>
        <v>849.75274516228365</v>
      </c>
      <c r="CQ129" s="147">
        <f t="shared" si="12"/>
        <v>22431.144382571514</v>
      </c>
      <c r="CR129" s="190">
        <f t="shared" si="13"/>
        <v>849.75274516228365</v>
      </c>
      <c r="CS129" s="49"/>
      <c r="CT129" s="49"/>
      <c r="CU129" s="49"/>
      <c r="CV129" s="49"/>
      <c r="CW129" s="49"/>
      <c r="CX129" s="49"/>
      <c r="CY129" s="49"/>
      <c r="CZ129" s="49"/>
      <c r="DA129" s="49"/>
      <c r="DB129" s="49"/>
      <c r="DC129" s="49"/>
      <c r="DD129" s="49"/>
      <c r="DE129" s="49"/>
      <c r="DF129" s="49"/>
      <c r="DG129" s="49"/>
      <c r="DH129" s="49"/>
      <c r="DI129" s="49"/>
      <c r="DJ129" s="49"/>
      <c r="DK129" s="49"/>
      <c r="DL129" s="49"/>
      <c r="DM129" s="49"/>
      <c r="DN129" s="49"/>
      <c r="DO129" s="49"/>
      <c r="DP129" s="49"/>
      <c r="DQ129" s="49"/>
      <c r="DR129" s="49"/>
      <c r="DS129" s="49"/>
      <c r="DT129" s="49"/>
      <c r="DU129" s="49"/>
      <c r="DV129" s="49"/>
      <c r="DW129" s="49"/>
      <c r="DX129" s="49"/>
      <c r="DY129" s="49"/>
      <c r="DZ129" s="49"/>
      <c r="EA129" s="49"/>
      <c r="EB129" s="49"/>
      <c r="EC129" s="49"/>
      <c r="ED129" s="49"/>
      <c r="EE129" s="49"/>
      <c r="EF129" s="49"/>
      <c r="EG129" s="49"/>
      <c r="EH129" s="49"/>
      <c r="EI129" s="49"/>
      <c r="EJ129" s="49"/>
      <c r="EK129" s="49"/>
      <c r="EL129" s="49"/>
      <c r="EM129" s="49"/>
      <c r="EN129" s="49"/>
      <c r="EO129" s="49"/>
      <c r="EP129" s="49"/>
      <c r="EQ129" s="49"/>
      <c r="ER129" s="49"/>
      <c r="ES129" s="49"/>
      <c r="ET129" s="49"/>
      <c r="EU129" s="49"/>
      <c r="EV129" s="49"/>
      <c r="EW129" s="49"/>
      <c r="EX129" s="49"/>
      <c r="EY129" s="49"/>
      <c r="EZ129" s="49"/>
      <c r="FA129" s="49"/>
    </row>
    <row r="130" spans="1:157" s="182" customFormat="1" x14ac:dyDescent="0.25">
      <c r="A130" s="113">
        <f>IF(AND('[1]Cockpit Retorno'!$E$67=Sim,Mestre!M130=Mestre!$M$98),0,1)</f>
        <v>1</v>
      </c>
      <c r="B130" s="113">
        <f>IF(AND('[1]Cockpit Retorno'!$E$67=Sim,Mestre!L130=Mestre!$L$48),0,1)</f>
        <v>0</v>
      </c>
      <c r="C130" s="113">
        <f>IF(AND('[1]Cockpit Retorno'!$E$67=Sim,Mestre!M130=Mestre!$M$97),0,1)</f>
        <v>1</v>
      </c>
      <c r="D130" s="148" t="s">
        <v>274</v>
      </c>
      <c r="E130" s="115"/>
      <c r="F130" s="116" t="s">
        <v>107</v>
      </c>
      <c r="G130" s="149"/>
      <c r="H130" s="150" t="s">
        <v>70</v>
      </c>
      <c r="I130" s="151" t="str">
        <f t="shared" si="1"/>
        <v>Serviços</v>
      </c>
      <c r="J130" s="150" t="s">
        <v>12</v>
      </c>
      <c r="K130" s="152" t="s">
        <v>55</v>
      </c>
      <c r="L130" s="153" t="s">
        <v>15</v>
      </c>
      <c r="M130" s="154" t="s">
        <v>12</v>
      </c>
      <c r="N130" s="155" t="s">
        <v>43</v>
      </c>
      <c r="O130" s="155" t="s">
        <v>275</v>
      </c>
      <c r="P130" s="155" t="s">
        <v>43</v>
      </c>
      <c r="Q130" s="155" t="s">
        <v>43</v>
      </c>
      <c r="R130" s="155" t="s">
        <v>43</v>
      </c>
      <c r="S130" s="156" t="s">
        <v>43</v>
      </c>
      <c r="T130" s="156" t="s">
        <v>43</v>
      </c>
      <c r="U130" s="150" t="s">
        <v>43</v>
      </c>
      <c r="V130" s="150" t="s">
        <v>43</v>
      </c>
      <c r="W130" s="150" t="s">
        <v>43</v>
      </c>
      <c r="X130" s="157" t="s">
        <v>282</v>
      </c>
      <c r="Y130" s="150" t="s">
        <v>43</v>
      </c>
      <c r="Z130" s="150" t="s">
        <v>43</v>
      </c>
      <c r="AA130" s="158">
        <v>0</v>
      </c>
      <c r="AB130" s="155" t="s">
        <v>43</v>
      </c>
      <c r="AC130" s="150" t="s">
        <v>43</v>
      </c>
      <c r="AD130" s="155" t="s">
        <v>43</v>
      </c>
      <c r="AE130" s="155"/>
      <c r="AF130" s="150" t="s">
        <v>43</v>
      </c>
      <c r="AG130" s="159">
        <f>'[1]Avulso HH'!M253</f>
        <v>270</v>
      </c>
      <c r="AH130" s="159">
        <v>30.486724963129632</v>
      </c>
      <c r="AI130" s="161">
        <v>0</v>
      </c>
      <c r="AJ130" s="161">
        <v>0</v>
      </c>
      <c r="AK130" s="162"/>
      <c r="AL130" s="163"/>
      <c r="AM130" s="164">
        <f>(((IF(L130=$L$101,1,IF(L130=$L$47,1,0))*(AH130*(1-AK130)))*AG130)*(1-AL130))</f>
        <v>8231.4157400450003</v>
      </c>
      <c r="AN130" s="165">
        <f>IF(K130=$K$50,AM130,IF(K130=$K$53,AM130,IF(K130=$K$54,AM130,IF(K130=$K$55,AM130,IF(K130=$K$56,AM130,IF(K130=$K$57,AM130,IF(K130=$K$58,AM130,IF(K130=$K$65,AM130,IF(K130=$K$66,AM130,IF(K130=$K$67,AM130,IF(K130=$K$68,AM130,IF(K130=$K$69,AM130,IF(K130=$K$51,AM130,(AM130*(1+AI130)))))))))))))))</f>
        <v>8231.4157400450003</v>
      </c>
      <c r="AO130" s="166">
        <v>1.9</v>
      </c>
      <c r="AP130" s="160">
        <f t="shared" si="2"/>
        <v>15639.689906085499</v>
      </c>
      <c r="AQ130" s="167">
        <f t="shared" si="23"/>
        <v>13551.2488459943</v>
      </c>
      <c r="AR130" s="160">
        <f t="shared" si="4"/>
        <v>15639.689906085499</v>
      </c>
      <c r="AS130" s="168">
        <f t="shared" si="5"/>
        <v>1.5861947294918346</v>
      </c>
      <c r="AT130" s="169" t="str">
        <f>K130</f>
        <v>MOC</v>
      </c>
      <c r="AU130" s="169" t="str">
        <f>I130</f>
        <v>Serviços</v>
      </c>
      <c r="AV130" s="170"/>
      <c r="AW130" s="171">
        <f>IF(K130=$K$50,0,IF(K130=$K$53,0,IF(K130=$K$54,0,IF(K130=$K$55,0,IF(K130=$K$56,0,IF(K130=$K$57,0,IF(K130=$K$58,0,IF(K130=$K$65,0,IF(K130=$K$66,0,IF(K130=$K$67,0,IF(K130=$K$68,0,IF(K130=$K$69,0,IF(K130=$K$51,0,1))))))))))))*AM130*AI130)</f>
        <v>0</v>
      </c>
      <c r="AX130" s="172">
        <f>IF(K130=$K$50,0,IF(K130=$K$53,0,IF(K130=$K$54,0,IF(K130=$K$55,0,IF(K130=$K$56,0,IF(K130=$K$57,0,IF(K130=$K$58,0,IF(K130=$K$65,0,IF(K130=$K$66,0,IF(K130=$K$67,0,IF(K130=$K$68,0,IF(K130=$K$69,0,IF(K130=$K$51,0,1))))))))))))*AM130*AJ130*$AX$94)</f>
        <v>0</v>
      </c>
      <c r="AY130" s="172">
        <f>IF(K130=$K$53,0,IF(K130=$K$54,0,IF(K130=$K$55,0,IF(K130=$K$56,0,IF(K130=$K$58,0,IF(K130=$K$50,0,IF(K130=$K$65,0,IF(K130=$K$57,0,IF(K130=$K$51,0,AM130*$AY$102)))))))))</f>
        <v>0</v>
      </c>
      <c r="AZ130" s="172">
        <f>IF(K130=$K$53,0,IF(K130=$K$54,0,IF(K130=$K$55,0,IF(K130=$K$56,0,IF(K130=$K$58,0,IF(K130=$K$50,0,IF(K130=$K$65,0,IF(K130=$K$57,0,IF(K130=$K$51,0,AM130*$AZ$102)))))))))</f>
        <v>0</v>
      </c>
      <c r="BA130" s="172">
        <f t="shared" si="6"/>
        <v>0</v>
      </c>
      <c r="BB130" s="173">
        <f>IF($BA$97=1,AQ130*$BB$102,IF(K130=$K$50,0,IF(K130=$K$53,0,IF(K130=$K$54,0,IF(K130=$K$55,0,IF(K130=$K$56,0,IF(K130=$K$57,0,IF(K130=$K$58,0,IF(K130=$K$65,0,IF(K130=$K$66,0,IF(K130=$K$67,0,IF(K130=$K$68,0,IF(K130=$K$69,0,IF(K130=$K$51,0,1)))))))))))*AQ130*$BB$102)))</f>
        <v>0</v>
      </c>
      <c r="BC130" s="172">
        <f t="shared" si="7"/>
        <v>88.083117498962949</v>
      </c>
      <c r="BD130" s="172">
        <f t="shared" si="8"/>
        <v>406.53746537982897</v>
      </c>
      <c r="BE130" s="172">
        <f>IF($BE$95=I130,$BE$97,IF(I130=$BE$96,$BE$97,1))*($BE$102*AQ130)*$AZ$97</f>
        <v>0</v>
      </c>
      <c r="BF130" s="172">
        <f>IF('[1]Cockpit Retorno'!$C$65=Sim,Mestre!BA130,SUM(BB130:BE130)+(IF(K130=$K$56,AQ130*MOE_IRRF_LR,0)))</f>
        <v>494.62058287879194</v>
      </c>
      <c r="BG130" s="174">
        <f>IF(AA130&gt;0,0,IF(Z130=$Z$82,AG130*1,(IF(Z130=$Z$81,AG130*1,0))))</f>
        <v>0</v>
      </c>
      <c r="BH130" s="174">
        <f>IF(AA130&gt;0,0,IF(Z130=$Z$83,AG130*1,IF(Z130=$Z$81,AG130*1,0)))</f>
        <v>0</v>
      </c>
      <c r="BI130" s="174">
        <f>IF(AA130&gt;0,0,IF(Z130=$Z$84,AG130*1,IF(Z130=$Z$93,AG130*2,IF(Z130=$Z$100,AG130,IF(Z130=$Z$81,AG130*2,IF(Z130=$Z$80,AG130*1,IF(Z130=$Z$79,AG130*3,IF(Z130=$Z$78,AG130*2,0))))))))</f>
        <v>0</v>
      </c>
      <c r="BJ130" s="174">
        <f>IF(AA130&gt;0,0,IF(Z130=$Z$85,AG130,IF(Z130=$Z$93,AG130,IF(Z130=$Z$100,AG130,IF(Z130=$Z$81,AG130*1,IF(Z130=$Z$80,AG130*2,IF(Z130=$Z$79,AG130*2,IF(Z130=$Z$78,AG130*2,0))))))))</f>
        <v>0</v>
      </c>
      <c r="BK130" s="174">
        <f>IF(AA130&gt;0,0,IF(Z130=$Z$92,AG130,0))</f>
        <v>0</v>
      </c>
      <c r="BL130" s="174">
        <f>IF(AA130&gt;0,0,IF(Z130=$Z$91,AG130,0))</f>
        <v>0</v>
      </c>
      <c r="BM130" s="174">
        <f>IF(AA130&gt;0,0,IF(Z130=$Z$86,AG130,0))</f>
        <v>0</v>
      </c>
      <c r="BN130" s="174">
        <f>IF(AA130&gt;0,0,IF(Z130=$Z$87,AG130,0))</f>
        <v>0</v>
      </c>
      <c r="BO130" s="174">
        <f>IF(AA130&gt;0,0,IF(Z130=$Z$88,AG130,0))</f>
        <v>0</v>
      </c>
      <c r="BP130" s="174">
        <f>IF(AA130&gt;0,0,IF(Z130=$Z$89,AG130,0))</f>
        <v>0</v>
      </c>
      <c r="BQ130" s="174">
        <f>IF(AA130&gt;0,0,IF(Z130=$Z$90,AG130,0))</f>
        <v>0</v>
      </c>
      <c r="BR130" s="174">
        <f>IF(Z130=$Z$82,AA130*AG130,0)</f>
        <v>0</v>
      </c>
      <c r="BS130" s="174">
        <f>IF(Z130=$Z$83,AA130*AG130,0)</f>
        <v>0</v>
      </c>
      <c r="BT130" s="174">
        <f>IF(AA130&lt;1,0,IF(Z130=$Z$84,AA130*AG130,IF(Z130=$Z$93,"ERRO",IF(Z130=$Z$100,"ERRO",0))))</f>
        <v>0</v>
      </c>
      <c r="BU130" s="174">
        <f>IF(AA130&lt;1,0,IF(Z130=$Z$85,AA130*AG130,IF(Z130=$Z$93,"ERRO",IF(Z130=$Z$100,"ERRO",0))))</f>
        <v>0</v>
      </c>
      <c r="BV130" s="174">
        <f>IF(Z130=$Z$92,AA130*AG130,0)</f>
        <v>0</v>
      </c>
      <c r="BW130" s="174">
        <f>IF(Z130=$Z$91,AA130*AG130,0)</f>
        <v>0</v>
      </c>
      <c r="BX130" s="174">
        <f>IF(Z130=$Z$86,AA130*AG130,0)</f>
        <v>0</v>
      </c>
      <c r="BY130" s="174">
        <f>IF(Z130=$Z$87,AA130*AG130,0)</f>
        <v>0</v>
      </c>
      <c r="BZ130" s="174">
        <f>IF(Z130=$Z$88,AA130*AG130,0)</f>
        <v>0</v>
      </c>
      <c r="CA130" s="174">
        <f>IF(Z130=$Z$89,AA130*AG130,0)</f>
        <v>0</v>
      </c>
      <c r="CB130" s="174">
        <f>IF(Z130=$Z$90,AA130*AG130,0)</f>
        <v>0</v>
      </c>
      <c r="CC130" s="175">
        <f>IFERROR(IF(L130=$L$49,AG130*AH130*(1+AI130)*(1-AK130)*(1-AL130),0),0)</f>
        <v>0</v>
      </c>
      <c r="CD130" s="182">
        <f>IF(I130=$CD$97,1,IF(I130=$CD$100,2,IF(K130=$K$66,1,IF(K130=$K$69,1,3))))</f>
        <v>3</v>
      </c>
      <c r="CE130" s="182">
        <f t="shared" si="14"/>
        <v>1.3</v>
      </c>
      <c r="CF130" s="184">
        <f t="shared" si="9"/>
        <v>1.74</v>
      </c>
      <c r="CG130" s="182">
        <f t="shared" si="15"/>
        <v>2</v>
      </c>
      <c r="CH130" s="184">
        <f t="shared" si="10"/>
        <v>2.1800000000000002</v>
      </c>
      <c r="CI130" s="182">
        <f t="shared" si="16"/>
        <v>2.4</v>
      </c>
      <c r="CJ130" s="185">
        <f t="shared" si="17"/>
        <v>1.274</v>
      </c>
      <c r="CK130" s="185">
        <f t="shared" si="18"/>
        <v>1.6182000000000001</v>
      </c>
      <c r="CL130" s="185">
        <f t="shared" si="19"/>
        <v>1.96</v>
      </c>
      <c r="CM130" s="185">
        <f t="shared" si="20"/>
        <v>2.1146000000000003</v>
      </c>
      <c r="CN130" s="186">
        <f t="shared" si="21"/>
        <v>2.3039999999999998</v>
      </c>
      <c r="CO130" s="184">
        <f>CJ130*$CO$102</f>
        <v>1.2230399999999999</v>
      </c>
      <c r="CP130" s="187">
        <f t="shared" si="11"/>
        <v>494.62058287879194</v>
      </c>
      <c r="CQ130" s="188">
        <f t="shared" si="12"/>
        <v>13056.628263115508</v>
      </c>
      <c r="CR130" s="189">
        <f t="shared" si="13"/>
        <v>494.62058287879194</v>
      </c>
      <c r="CS130" s="49"/>
      <c r="CT130" s="49"/>
      <c r="CU130" s="49"/>
      <c r="CV130" s="49"/>
      <c r="CW130" s="49"/>
      <c r="CX130" s="49"/>
      <c r="CY130" s="49"/>
      <c r="CZ130" s="49"/>
      <c r="DA130" s="49"/>
      <c r="DB130" s="49"/>
      <c r="DC130" s="49"/>
      <c r="DD130" s="49"/>
      <c r="DE130" s="49"/>
      <c r="DF130" s="49"/>
      <c r="DG130" s="49"/>
      <c r="DH130" s="49"/>
      <c r="DI130" s="49"/>
      <c r="DJ130" s="49"/>
      <c r="DK130" s="49"/>
      <c r="DL130" s="49"/>
      <c r="DM130" s="49"/>
      <c r="DN130" s="49"/>
      <c r="DO130" s="49"/>
      <c r="DP130" s="49"/>
      <c r="DQ130" s="49"/>
      <c r="DR130" s="49"/>
      <c r="DS130" s="49"/>
      <c r="DT130" s="49"/>
      <c r="DU130" s="49"/>
      <c r="DV130" s="49"/>
      <c r="DW130" s="49"/>
      <c r="DX130" s="49"/>
      <c r="DY130" s="49"/>
      <c r="DZ130" s="49"/>
      <c r="EA130" s="49"/>
      <c r="EB130" s="49"/>
      <c r="EC130" s="49"/>
      <c r="ED130" s="49"/>
      <c r="EE130" s="49"/>
      <c r="EF130" s="49"/>
      <c r="EG130" s="49"/>
      <c r="EH130" s="49"/>
      <c r="EI130" s="49"/>
      <c r="EJ130" s="49"/>
      <c r="EK130" s="49"/>
      <c r="EL130" s="49"/>
      <c r="EM130" s="49"/>
      <c r="EN130" s="49"/>
      <c r="EO130" s="49"/>
      <c r="EP130" s="49"/>
      <c r="EQ130" s="49"/>
      <c r="ER130" s="49"/>
      <c r="ES130" s="49"/>
      <c r="ET130" s="49"/>
      <c r="EU130" s="49"/>
      <c r="EV130" s="49"/>
      <c r="EW130" s="49"/>
      <c r="EX130" s="49"/>
      <c r="EY130" s="49"/>
      <c r="EZ130" s="49"/>
      <c r="FA130" s="49"/>
    </row>
    <row r="131" spans="1:157" s="113" customFormat="1" x14ac:dyDescent="0.25">
      <c r="A131" s="113">
        <f>IF(AND('[1]Cockpit Retorno'!$E$67=Sim,Mestre!M131=Mestre!$M$98),0,1)</f>
        <v>1</v>
      </c>
      <c r="B131" s="113">
        <f>IF(AND('[1]Cockpit Retorno'!$E$67=Sim,Mestre!L131=Mestre!$L$48),0,1)</f>
        <v>0</v>
      </c>
      <c r="C131" s="113">
        <f>IF(AND('[1]Cockpit Retorno'!$E$67=Sim,Mestre!M131=Mestre!$M$97),0,1)</f>
        <v>1</v>
      </c>
      <c r="D131" s="114" t="s">
        <v>259</v>
      </c>
      <c r="E131" s="115"/>
      <c r="F131" s="116" t="s">
        <v>107</v>
      </c>
      <c r="G131" s="149"/>
      <c r="H131" s="153" t="s">
        <v>5</v>
      </c>
      <c r="I131" s="151" t="str">
        <f t="shared" si="1"/>
        <v>Despesas</v>
      </c>
      <c r="J131" s="150" t="s">
        <v>12</v>
      </c>
      <c r="K131" s="152" t="s">
        <v>27</v>
      </c>
      <c r="L131" s="153" t="s">
        <v>15</v>
      </c>
      <c r="M131" s="154" t="s">
        <v>12</v>
      </c>
      <c r="N131" s="155" t="s">
        <v>43</v>
      </c>
      <c r="O131" s="155" t="s">
        <v>275</v>
      </c>
      <c r="P131" s="155" t="s">
        <v>43</v>
      </c>
      <c r="Q131" s="155" t="s">
        <v>43</v>
      </c>
      <c r="R131" s="155" t="s">
        <v>43</v>
      </c>
      <c r="S131" s="156" t="s">
        <v>43</v>
      </c>
      <c r="T131" s="156" t="s">
        <v>43</v>
      </c>
      <c r="U131" s="150" t="s">
        <v>43</v>
      </c>
      <c r="V131" s="150" t="s">
        <v>43</v>
      </c>
      <c r="W131" s="150" t="s">
        <v>43</v>
      </c>
      <c r="X131" s="201" t="s">
        <v>283</v>
      </c>
      <c r="Y131" s="150" t="s">
        <v>43</v>
      </c>
      <c r="Z131" s="150" t="s">
        <v>43</v>
      </c>
      <c r="AA131" s="158">
        <v>0</v>
      </c>
      <c r="AB131" s="155" t="s">
        <v>43</v>
      </c>
      <c r="AC131" s="150" t="s">
        <v>43</v>
      </c>
      <c r="AD131" s="155" t="s">
        <v>43</v>
      </c>
      <c r="AE131" s="155"/>
      <c r="AF131" s="150" t="s">
        <v>43</v>
      </c>
      <c r="AG131" s="159">
        <v>1</v>
      </c>
      <c r="AH131" s="159">
        <v>5746.47</v>
      </c>
      <c r="AI131" s="161">
        <v>0</v>
      </c>
      <c r="AJ131" s="161">
        <v>0</v>
      </c>
      <c r="AK131" s="162"/>
      <c r="AL131" s="163"/>
      <c r="AM131" s="164">
        <f>(((IF(L131=$L$101,1,IF(L131=$L$47,1,0))*(AH131*(1-AK131)))*AG131)*(1-AL131))</f>
        <v>5746.47</v>
      </c>
      <c r="AN131" s="165">
        <f>IF(K131=$K$50,AM131,IF(K131=$K$53,AM131,IF(K131=$K$54,AM131,IF(K131=$K$55,AM131,IF(K131=$K$56,AM131,IF(K131=$K$57,AM131,IF(K131=$K$58,AM131,IF(K131=$K$65,AM131,IF(K131=$K$66,AM131,IF(K131=$K$67,AM131,IF(K131=$K$68,AM131,IF(K131=$K$69,AM131,IF(K131=$K$51,AM131,(AM131*(1+AI131)))))))))))))))</f>
        <v>5746.47</v>
      </c>
      <c r="AO131" s="132">
        <v>1.6</v>
      </c>
      <c r="AP131" s="160">
        <f t="shared" si="2"/>
        <v>9194.3520000000008</v>
      </c>
      <c r="AQ131" s="167">
        <f t="shared" si="23"/>
        <v>7966.5871048494855</v>
      </c>
      <c r="AR131" s="160">
        <f t="shared" si="4"/>
        <v>9194.3520000000008</v>
      </c>
      <c r="AS131" s="183">
        <f t="shared" si="5"/>
        <v>1.3357429300983872</v>
      </c>
      <c r="AT131" s="169" t="str">
        <f>K131</f>
        <v>LOG</v>
      </c>
      <c r="AU131" s="169" t="str">
        <f>I131</f>
        <v>Despesas</v>
      </c>
      <c r="AV131" s="170"/>
      <c r="AW131" s="171">
        <f>IF(K131=$K$50,0,IF(K131=$K$53,0,IF(K131=$K$54,0,IF(K131=$K$55,0,IF(K131=$K$56,0,IF(K131=$K$57,0,IF(K131=$K$58,0,IF(K131=$K$65,0,IF(K131=$K$66,0,IF(K131=$K$67,0,IF(K131=$K$68,0,IF(K131=$K$69,0,IF(K131=$K$51,0,1))))))))))))*AM131*AI131)</f>
        <v>0</v>
      </c>
      <c r="AX131" s="172">
        <f>IF(K131=$K$50,0,IF(K131=$K$53,0,IF(K131=$K$54,0,IF(K131=$K$55,0,IF(K131=$K$56,0,IF(K131=$K$57,0,IF(K131=$K$58,0,IF(K131=$K$65,0,IF(K131=$K$66,0,IF(K131=$K$67,0,IF(K131=$K$68,0,IF(K131=$K$69,0,IF(K131=$K$51,0,1))))))))))))*AM131*AJ131*$AX$94)</f>
        <v>0</v>
      </c>
      <c r="AY131" s="172">
        <f>IF(K131=$K$53,0,IF(K131=$K$54,0,IF(K131=$K$55,0,IF(K131=$K$56,0,IF(K131=$K$58,0,IF(K131=$K$50,0,IF(K131=$K$65,0,IF(K131=$K$57,0,IF(K131=$K$51,0,AM131*$AY$102)))))))))</f>
        <v>0</v>
      </c>
      <c r="AZ131" s="172">
        <f>IF(K131=$K$53,0,IF(K131=$K$54,0,IF(K131=$K$55,0,IF(K131=$K$56,0,IF(K131=$K$58,0,IF(K131=$K$50,0,IF(K131=$K$65,0,IF(K131=$K$57,0,IF(K131=$K$51,0,AM131*$AZ$102)))))))))</f>
        <v>0</v>
      </c>
      <c r="BA131" s="172">
        <f t="shared" si="6"/>
        <v>0</v>
      </c>
      <c r="BB131" s="173">
        <f>IF($BA$97=1,AQ131*$BB$102,IF(K131=$K$50,0,IF(K131=$K$53,0,IF(K131=$K$54,0,IF(K131=$K$55,0,IF(K131=$K$56,0,IF(K131=$K$57,0,IF(K131=$K$58,0,IF(K131=$K$65,0,IF(K131=$K$66,0,IF(K131=$K$67,0,IF(K131=$K$68,0,IF(K131=$K$69,0,IF(K131=$K$51,0,1)))))))))))*AQ131*$BB$102)))</f>
        <v>0</v>
      </c>
      <c r="BC131" s="172">
        <f t="shared" si="7"/>
        <v>51.78281618152166</v>
      </c>
      <c r="BD131" s="172">
        <f t="shared" si="8"/>
        <v>238.99761314548456</v>
      </c>
      <c r="BE131" s="172">
        <f>IF($BE$95=I131,$BE$97,IF(I131=$BE$96,$BE$97,1))*($BE$102*AQ131)*$AZ$97</f>
        <v>0</v>
      </c>
      <c r="BF131" s="172">
        <f>IF('[1]Cockpit Retorno'!$C$65=Sim,Mestre!BA131,SUM(BB131:BE131)+(IF(K131=$K$56,AQ131*MOE_IRRF_LR,0)))</f>
        <v>290.78042932700623</v>
      </c>
      <c r="BG131" s="174">
        <f>IF(AA131&gt;0,0,IF(Z131=$Z$82,AG131*1,(IF(Z131=$Z$81,AG131*1,0))))</f>
        <v>0</v>
      </c>
      <c r="BH131" s="174">
        <f>IF(AA131&gt;0,0,IF(Z131=$Z$83,AG131*1,IF(Z131=$Z$81,AG131*1,0)))</f>
        <v>0</v>
      </c>
      <c r="BI131" s="174">
        <f>IF(AA131&gt;0,0,IF(Z131=$Z$84,AG131*1,IF(Z131=$Z$93,AG131*2,IF(Z131=$Z$100,AG131,IF(Z131=$Z$81,AG131*2,IF(Z131=$Z$80,AG131*1,IF(Z131=$Z$79,AG131*3,IF(Z131=$Z$78,AG131*2,0))))))))</f>
        <v>0</v>
      </c>
      <c r="BJ131" s="174">
        <f>IF(AA131&gt;0,0,IF(Z131=$Z$85,AG131,IF(Z131=$Z$93,AG131,IF(Z131=$Z$100,AG131,IF(Z131=$Z$81,AG131*1,IF(Z131=$Z$80,AG131*2,IF(Z131=$Z$79,AG131*2,IF(Z131=$Z$78,AG131*2,0))))))))</f>
        <v>0</v>
      </c>
      <c r="BK131" s="174">
        <f>IF(AA131&gt;0,0,IF(Z131=$Z$92,AG131,0))</f>
        <v>0</v>
      </c>
      <c r="BL131" s="174">
        <f>IF(AA131&gt;0,0,IF(Z131=$Z$91,AG131,0))</f>
        <v>0</v>
      </c>
      <c r="BM131" s="174">
        <f>IF(AA131&gt;0,0,IF(Z131=$Z$86,AG131,0))</f>
        <v>0</v>
      </c>
      <c r="BN131" s="174">
        <f>IF(AA131&gt;0,0,IF(Z131=$Z$87,AG131,0))</f>
        <v>0</v>
      </c>
      <c r="BO131" s="174">
        <f>IF(AA131&gt;0,0,IF(Z131=$Z$88,AG131,0))</f>
        <v>0</v>
      </c>
      <c r="BP131" s="174">
        <f>IF(AA131&gt;0,0,IF(Z131=$Z$89,AG131,0))</f>
        <v>0</v>
      </c>
      <c r="BQ131" s="174">
        <f>IF(AA131&gt;0,0,IF(Z131=$Z$90,AG131,0))</f>
        <v>0</v>
      </c>
      <c r="BR131" s="174">
        <f>IF(Z131=$Z$82,AA131*AG131,0)</f>
        <v>0</v>
      </c>
      <c r="BS131" s="174">
        <f>IF(Z131=$Z$83,AA131*AG131,0)</f>
        <v>0</v>
      </c>
      <c r="BT131" s="174">
        <f>IF(AA131&lt;1,0,IF(Z131=$Z$84,AA131*AG131,IF(Z131=$Z$93,"ERRO",IF(Z131=$Z$100,"ERRO",0))))</f>
        <v>0</v>
      </c>
      <c r="BU131" s="174">
        <f>IF(AA131&lt;1,0,IF(Z131=$Z$85,AA131*AG131,IF(Z131=$Z$93,"ERRO",IF(Z131=$Z$100,"ERRO",0))))</f>
        <v>0</v>
      </c>
      <c r="BV131" s="174">
        <f>IF(Z131=$Z$92,AA131*AG131,0)</f>
        <v>0</v>
      </c>
      <c r="BW131" s="174">
        <f>IF(Z131=$Z$91,AA131*AG131,0)</f>
        <v>0</v>
      </c>
      <c r="BX131" s="174">
        <f>IF(Z131=$Z$86,AA131*AG131,0)</f>
        <v>0</v>
      </c>
      <c r="BY131" s="174">
        <f>IF(Z131=$Z$87,AA131*AG131,0)</f>
        <v>0</v>
      </c>
      <c r="BZ131" s="174">
        <f>IF(Z131=$Z$88,AA131*AG131,0)</f>
        <v>0</v>
      </c>
      <c r="CA131" s="174">
        <f>IF(Z131=$Z$89,AA131*AG131,0)</f>
        <v>0</v>
      </c>
      <c r="CB131" s="174">
        <f>IF(Z131=$Z$90,AA131*AG131,0)</f>
        <v>0</v>
      </c>
      <c r="CC131" s="175">
        <f>IFERROR(IF(L131=$L$49,AG131*AH131*(1+AI131)*(1-AK131)*(1-AL131),0),0)</f>
        <v>0</v>
      </c>
      <c r="CD131" s="143">
        <f>IF(I131=$CD$97,1,IF(I131=$CD$100,2,IF(K131=$K$66,1,IF(K131=$K$69,1,3))))</f>
        <v>2</v>
      </c>
      <c r="CE131" s="143">
        <f t="shared" si="14"/>
        <v>1.07</v>
      </c>
      <c r="CF131" s="144">
        <f t="shared" si="9"/>
        <v>1.2788999999999999</v>
      </c>
      <c r="CG131" s="143">
        <f t="shared" si="15"/>
        <v>1.47</v>
      </c>
      <c r="CH131" s="144">
        <f t="shared" si="10"/>
        <v>1.6023000000000001</v>
      </c>
      <c r="CI131" s="143">
        <f t="shared" si="16"/>
        <v>1.7</v>
      </c>
      <c r="CJ131" s="144">
        <f t="shared" si="17"/>
        <v>1.0486</v>
      </c>
      <c r="CK131" s="144">
        <f t="shared" si="18"/>
        <v>1.1893769999999999</v>
      </c>
      <c r="CL131" s="144">
        <f t="shared" si="19"/>
        <v>1.4405999999999999</v>
      </c>
      <c r="CM131" s="144">
        <f t="shared" si="20"/>
        <v>1.5542309999999999</v>
      </c>
      <c r="CN131" s="143">
        <f t="shared" si="21"/>
        <v>1.6319999999999999</v>
      </c>
      <c r="CO131" s="145">
        <v>1.3</v>
      </c>
      <c r="CP131" s="146">
        <f t="shared" si="11"/>
        <v>290.78042932700623</v>
      </c>
      <c r="CQ131" s="147">
        <f t="shared" si="12"/>
        <v>7675.8066755224791</v>
      </c>
      <c r="CR131" s="190">
        <f t="shared" si="13"/>
        <v>290.78042932700623</v>
      </c>
      <c r="CS131" s="49"/>
      <c r="CT131" s="49"/>
      <c r="CU131" s="49"/>
      <c r="CV131" s="49"/>
      <c r="CW131" s="49"/>
      <c r="CX131" s="49"/>
      <c r="CY131" s="49"/>
      <c r="CZ131" s="49"/>
      <c r="DA131" s="49"/>
      <c r="DB131" s="49"/>
      <c r="DC131" s="49"/>
      <c r="DD131" s="49"/>
      <c r="DE131" s="49"/>
      <c r="DF131" s="49"/>
      <c r="DG131" s="49"/>
      <c r="DH131" s="49"/>
      <c r="DI131" s="49"/>
      <c r="DJ131" s="49"/>
      <c r="DK131" s="49"/>
      <c r="DL131" s="49"/>
      <c r="DM131" s="49"/>
      <c r="DN131" s="49"/>
      <c r="DO131" s="49"/>
      <c r="DP131" s="49"/>
      <c r="DQ131" s="49"/>
      <c r="DR131" s="49"/>
      <c r="DS131" s="49"/>
      <c r="DT131" s="49"/>
      <c r="DU131" s="49"/>
      <c r="DV131" s="49"/>
      <c r="DW131" s="49"/>
      <c r="DX131" s="49"/>
      <c r="DY131" s="49"/>
      <c r="DZ131" s="49"/>
      <c r="EA131" s="49"/>
      <c r="EB131" s="49"/>
      <c r="EC131" s="49"/>
      <c r="ED131" s="49"/>
      <c r="EE131" s="49"/>
      <c r="EF131" s="49"/>
      <c r="EG131" s="49"/>
      <c r="EH131" s="49"/>
      <c r="EI131" s="49"/>
      <c r="EJ131" s="49"/>
      <c r="EK131" s="49"/>
      <c r="EL131" s="49"/>
      <c r="EM131" s="49"/>
      <c r="EN131" s="49"/>
      <c r="EO131" s="49"/>
      <c r="EP131" s="49"/>
      <c r="EQ131" s="49"/>
      <c r="ER131" s="49"/>
      <c r="ES131" s="49"/>
      <c r="ET131" s="49"/>
      <c r="EU131" s="49"/>
      <c r="EV131" s="49"/>
      <c r="EW131" s="49"/>
      <c r="EX131" s="49"/>
      <c r="EY131" s="49"/>
      <c r="EZ131" s="49"/>
      <c r="FA131" s="49"/>
    </row>
    <row r="132" spans="1:157" s="182" customFormat="1" x14ac:dyDescent="0.25">
      <c r="A132" s="113">
        <f>IF(AND('[1]Cockpit Retorno'!$E$67=Sim,Mestre!M132=Mestre!$M$98),0,1)</f>
        <v>1</v>
      </c>
      <c r="B132" s="113">
        <f>IF(AND('[1]Cockpit Retorno'!$E$67=Sim,Mestre!L132=Mestre!$L$48),0,1)</f>
        <v>0</v>
      </c>
      <c r="C132" s="113">
        <f>IF(AND('[1]Cockpit Retorno'!$E$67=Sim,Mestre!M132=Mestre!$M$97),0,1)</f>
        <v>1</v>
      </c>
      <c r="D132" s="148" t="s">
        <v>274</v>
      </c>
      <c r="E132" s="115"/>
      <c r="F132" s="116" t="s">
        <v>107</v>
      </c>
      <c r="G132" s="149"/>
      <c r="H132" s="150" t="s">
        <v>60</v>
      </c>
      <c r="I132" s="151" t="str">
        <f t="shared" si="1"/>
        <v>Serviços</v>
      </c>
      <c r="J132" s="150" t="s">
        <v>12</v>
      </c>
      <c r="K132" s="152" t="s">
        <v>60</v>
      </c>
      <c r="L132" s="153" t="s">
        <v>15</v>
      </c>
      <c r="M132" s="154" t="s">
        <v>12</v>
      </c>
      <c r="N132" s="155" t="s">
        <v>43</v>
      </c>
      <c r="O132" s="155" t="s">
        <v>284</v>
      </c>
      <c r="P132" s="155" t="s">
        <v>43</v>
      </c>
      <c r="Q132" s="155" t="s">
        <v>43</v>
      </c>
      <c r="R132" s="155" t="s">
        <v>43</v>
      </c>
      <c r="S132" s="156" t="s">
        <v>43</v>
      </c>
      <c r="T132" s="156" t="s">
        <v>43</v>
      </c>
      <c r="U132" s="150" t="s">
        <v>43</v>
      </c>
      <c r="V132" s="150" t="s">
        <v>43</v>
      </c>
      <c r="W132" s="150" t="s">
        <v>43</v>
      </c>
      <c r="X132" s="157" t="s">
        <v>285</v>
      </c>
      <c r="Y132" s="150" t="s">
        <v>43</v>
      </c>
      <c r="Z132" s="150" t="s">
        <v>43</v>
      </c>
      <c r="AA132" s="158">
        <v>0</v>
      </c>
      <c r="AB132" s="155" t="s">
        <v>43</v>
      </c>
      <c r="AC132" s="150" t="s">
        <v>43</v>
      </c>
      <c r="AD132" s="155" t="s">
        <v>43</v>
      </c>
      <c r="AE132" s="155"/>
      <c r="AF132" s="150" t="s">
        <v>43</v>
      </c>
      <c r="AG132" s="159">
        <f>ROUNDUP([1]PHEA!F27,0)</f>
        <v>181</v>
      </c>
      <c r="AH132" s="159">
        <v>78.681074471711682</v>
      </c>
      <c r="AI132" s="161">
        <v>0</v>
      </c>
      <c r="AJ132" s="161">
        <v>0</v>
      </c>
      <c r="AK132" s="162"/>
      <c r="AL132" s="163"/>
      <c r="AM132" s="164">
        <f>(((IF(L132=$L$101,1,IF(L132=$L$47,1,0))*(AH132*(1-AK132)))*AG132)*(1-AL132))</f>
        <v>14241.274479379814</v>
      </c>
      <c r="AN132" s="165">
        <f>IF(K132=$K$50,AM132,IF(K132=$K$53,AM132,IF(K132=$K$54,AM132,IF(K132=$K$55,AM132,IF(K132=$K$56,AM132,IF(K132=$K$57,AM132,IF(K132=$K$58,AM132,IF(K132=$K$65,AM132,IF(K132=$K$66,AM132,IF(K132=$K$67,AM132,IF(K132=$K$68,AM132,IF(K132=$K$69,AM132,IF(K132=$K$51,AM132,(AM132*(1+AI132)))))))))))))))</f>
        <v>14241.274479379814</v>
      </c>
      <c r="AO132" s="166">
        <v>1.9</v>
      </c>
      <c r="AP132" s="160">
        <f t="shared" si="2"/>
        <v>27058.421510821645</v>
      </c>
      <c r="AQ132" s="167">
        <f t="shared" ref="AQ132:AQ197" si="24">AP132*Fator_Venda</f>
        <v>23445.183726454416</v>
      </c>
      <c r="AR132" s="160">
        <f t="shared" si="4"/>
        <v>27058.421510821645</v>
      </c>
      <c r="AS132" s="168">
        <f t="shared" si="5"/>
        <v>1.5615004680051945</v>
      </c>
      <c r="AT132" s="169" t="str">
        <f>K132</f>
        <v>MOE</v>
      </c>
      <c r="AU132" s="169" t="str">
        <f>I132</f>
        <v>Serviços</v>
      </c>
      <c r="AV132" s="170"/>
      <c r="AW132" s="171">
        <f>IF(K132=$K$50,0,IF(K132=$K$53,0,IF(K132=$K$54,0,IF(K132=$K$55,0,IF(K132=$K$56,0,IF(K132=$K$57,0,IF(K132=$K$58,0,IF(K132=$K$65,0,IF(K132=$K$66,0,IF(K132=$K$67,0,IF(K132=$K$68,0,IF(K132=$K$69,0,IF(K132=$K$51,0,1))))))))))))*AM132*AI132)</f>
        <v>0</v>
      </c>
      <c r="AX132" s="172">
        <f>IF(K132=$K$50,0,IF(K132=$K$53,0,IF(K132=$K$54,0,IF(K132=$K$55,0,IF(K132=$K$56,0,IF(K132=$K$57,0,IF(K132=$K$58,0,IF(K132=$K$65,0,IF(K132=$K$66,0,IF(K132=$K$67,0,IF(K132=$K$68,0,IF(K132=$K$69,0,IF(K132=$K$51,0,1))))))))))))*AM132*AJ132*$AX$94)</f>
        <v>0</v>
      </c>
      <c r="AY132" s="172">
        <f>IF(K132=$K$53,0,IF(K132=$K$54,0,IF(K132=$K$55,0,IF(K132=$K$56,0,IF(K132=$K$58,0,IF(K132=$K$50,0,IF(K132=$K$65,0,IF(K132=$K$57,0,IF(K132=$K$51,0,AM132*$AY$102)))))))))</f>
        <v>0</v>
      </c>
      <c r="AZ132" s="172">
        <f>IF(K132=$K$53,0,IF(K132=$K$54,0,IF(K132=$K$55,0,IF(K132=$K$56,0,IF(K132=$K$58,0,IF(K132=$K$50,0,IF(K132=$K$65,0,IF(K132=$K$57,0,IF(K132=$K$51,0,AM132*$AZ$102)))))))))</f>
        <v>0</v>
      </c>
      <c r="BA132" s="172">
        <f t="shared" si="6"/>
        <v>0</v>
      </c>
      <c r="BB132" s="173">
        <f>IF($BA$97=1,AQ132*$BB$102,IF(K132=$K$50,0,IF(K132=$K$53,0,IF(K132=$K$54,0,IF(K132=$K$55,0,IF(K132=$K$56,0,IF(K132=$K$57,0,IF(K132=$K$58,0,IF(K132=$K$65,0,IF(K132=$K$66,0,IF(K132=$K$67,0,IF(K132=$K$68,0,IF(K132=$K$69,0,IF(K132=$K$51,0,1)))))))))))*AQ132*$BB$102)))</f>
        <v>0</v>
      </c>
      <c r="BC132" s="172">
        <f t="shared" si="7"/>
        <v>152.39369422195372</v>
      </c>
      <c r="BD132" s="172">
        <f t="shared" si="8"/>
        <v>703.35551179363245</v>
      </c>
      <c r="BE132" s="172">
        <f>IF($BE$95=I132,$BE$97,IF(I132=$BE$96,$BE$97,1))*($BE$102*AQ132)*$AZ$97</f>
        <v>0</v>
      </c>
      <c r="BF132" s="172">
        <f>IF('[1]Cockpit Retorno'!$C$65=Sim,Mestre!BA132,SUM(BB132:BE132)+(IF(K132=$K$56,AQ132*MOE_IRRF_LR,0)))</f>
        <v>1207.4269619124025</v>
      </c>
      <c r="BG132" s="174">
        <f>IF(AA132&gt;0,0,IF(Z132=$Z$82,AG132*1,(IF(Z132=$Z$81,AG132*1,0))))</f>
        <v>0</v>
      </c>
      <c r="BH132" s="174">
        <f>IF(AA132&gt;0,0,IF(Z132=$Z$83,AG132*1,IF(Z132=$Z$81,AG132*1,0)))</f>
        <v>0</v>
      </c>
      <c r="BI132" s="174">
        <f>IF(AA132&gt;0,0,IF(Z132=$Z$84,AG132*1,IF(Z132=$Z$93,AG132*2,IF(Z132=$Z$100,AG132,IF(Z132=$Z$81,AG132*2,IF(Z132=$Z$80,AG132*1,IF(Z132=$Z$79,AG132*3,IF(Z132=$Z$78,AG132*2,0))))))))</f>
        <v>0</v>
      </c>
      <c r="BJ132" s="174">
        <f>IF(AA132&gt;0,0,IF(Z132=$Z$85,AG132,IF(Z132=$Z$93,AG132,IF(Z132=$Z$100,AG132,IF(Z132=$Z$81,AG132*1,IF(Z132=$Z$80,AG132*2,IF(Z132=$Z$79,AG132*2,IF(Z132=$Z$78,AG132*2,0))))))))</f>
        <v>0</v>
      </c>
      <c r="BK132" s="174">
        <f>IF(AA132&gt;0,0,IF(Z132=$Z$92,AG132,0))</f>
        <v>0</v>
      </c>
      <c r="BL132" s="174">
        <f>IF(AA132&gt;0,0,IF(Z132=$Z$91,AG132,0))</f>
        <v>0</v>
      </c>
      <c r="BM132" s="174">
        <f>IF(AA132&gt;0,0,IF(Z132=$Z$86,AG132,0))</f>
        <v>0</v>
      </c>
      <c r="BN132" s="174">
        <f>IF(AA132&gt;0,0,IF(Z132=$Z$87,AG132,0))</f>
        <v>0</v>
      </c>
      <c r="BO132" s="174">
        <f>IF(AA132&gt;0,0,IF(Z132=$Z$88,AG132,0))</f>
        <v>0</v>
      </c>
      <c r="BP132" s="174">
        <f>IF(AA132&gt;0,0,IF(Z132=$Z$89,AG132,0))</f>
        <v>0</v>
      </c>
      <c r="BQ132" s="174">
        <f>IF(AA132&gt;0,0,IF(Z132=$Z$90,AG132,0))</f>
        <v>0</v>
      </c>
      <c r="BR132" s="174">
        <f>IF(Z132=$Z$82,AA132*AG132,0)</f>
        <v>0</v>
      </c>
      <c r="BS132" s="174">
        <f>IF(Z132=$Z$83,AA132*AG132,0)</f>
        <v>0</v>
      </c>
      <c r="BT132" s="174">
        <f>IF(AA132&lt;1,0,IF(Z132=$Z$84,AA132*AG132,IF(Z132=$Z$93,"ERRO",IF(Z132=$Z$100,"ERRO",0))))</f>
        <v>0</v>
      </c>
      <c r="BU132" s="174">
        <f>IF(AA132&lt;1,0,IF(Z132=$Z$85,AA132*AG132,IF(Z132=$Z$93,"ERRO",IF(Z132=$Z$100,"ERRO",0))))</f>
        <v>0</v>
      </c>
      <c r="BV132" s="174">
        <f>IF(Z132=$Z$92,AA132*AG132,0)</f>
        <v>0</v>
      </c>
      <c r="BW132" s="174">
        <f>IF(Z132=$Z$91,AA132*AG132,0)</f>
        <v>0</v>
      </c>
      <c r="BX132" s="174">
        <f>IF(Z132=$Z$86,AA132*AG132,0)</f>
        <v>0</v>
      </c>
      <c r="BY132" s="174">
        <f>IF(Z132=$Z$87,AA132*AG132,0)</f>
        <v>0</v>
      </c>
      <c r="BZ132" s="174">
        <f>IF(Z132=$Z$88,AA132*AG132,0)</f>
        <v>0</v>
      </c>
      <c r="CA132" s="174">
        <f>IF(Z132=$Z$89,AA132*AG132,0)</f>
        <v>0</v>
      </c>
      <c r="CB132" s="174">
        <f>IF(Z132=$Z$90,AA132*AG132,0)</f>
        <v>0</v>
      </c>
      <c r="CC132" s="175">
        <f>IFERROR(IF(L132=$L$49,AG132*AH132*(1+AI132)*(1-AK132)*(1-AL132),0),0)</f>
        <v>0</v>
      </c>
      <c r="CD132" s="182">
        <f>IF(I132=$CD$97,1,IF(I132=$CD$100,2,IF(K132=$K$66,1,IF(K132=$K$69,1,3))))</f>
        <v>3</v>
      </c>
      <c r="CE132" s="182">
        <f t="shared" si="14"/>
        <v>1.3</v>
      </c>
      <c r="CF132" s="184">
        <f t="shared" si="9"/>
        <v>1.74</v>
      </c>
      <c r="CG132" s="182">
        <f t="shared" si="15"/>
        <v>2</v>
      </c>
      <c r="CH132" s="184">
        <f t="shared" si="10"/>
        <v>2.1800000000000002</v>
      </c>
      <c r="CI132" s="182">
        <f t="shared" si="16"/>
        <v>2.4</v>
      </c>
      <c r="CJ132" s="185">
        <f t="shared" si="17"/>
        <v>1.274</v>
      </c>
      <c r="CK132" s="185">
        <f t="shared" si="18"/>
        <v>1.6182000000000001</v>
      </c>
      <c r="CL132" s="185">
        <f t="shared" si="19"/>
        <v>1.96</v>
      </c>
      <c r="CM132" s="185">
        <f t="shared" si="20"/>
        <v>2.1146000000000003</v>
      </c>
      <c r="CN132" s="186">
        <f t="shared" si="21"/>
        <v>2.3039999999999998</v>
      </c>
      <c r="CO132" s="184">
        <v>1.3</v>
      </c>
      <c r="CP132" s="187">
        <f t="shared" si="11"/>
        <v>1207.4269619124025</v>
      </c>
      <c r="CQ132" s="188">
        <f t="shared" si="12"/>
        <v>22237.756764542013</v>
      </c>
      <c r="CR132" s="189">
        <f t="shared" si="13"/>
        <v>855.7492060155862</v>
      </c>
      <c r="CS132" s="49"/>
      <c r="CT132" s="49"/>
      <c r="CU132" s="49"/>
      <c r="CV132" s="49"/>
      <c r="CW132" s="49"/>
      <c r="CX132" s="49"/>
      <c r="CY132" s="49"/>
      <c r="CZ132" s="49"/>
      <c r="DA132" s="49"/>
      <c r="DB132" s="49"/>
      <c r="DC132" s="49"/>
      <c r="DD132" s="49"/>
      <c r="DE132" s="49"/>
      <c r="DF132" s="49"/>
      <c r="DG132" s="49"/>
      <c r="DH132" s="49"/>
      <c r="DI132" s="49"/>
      <c r="DJ132" s="49"/>
      <c r="DK132" s="49"/>
      <c r="DL132" s="49"/>
      <c r="DM132" s="49"/>
      <c r="DN132" s="49"/>
      <c r="DO132" s="49"/>
      <c r="DP132" s="49"/>
      <c r="DQ132" s="49"/>
      <c r="DR132" s="49"/>
      <c r="DS132" s="49"/>
      <c r="DT132" s="49"/>
      <c r="DU132" s="49"/>
      <c r="DV132" s="49"/>
      <c r="DW132" s="49"/>
      <c r="DX132" s="49"/>
      <c r="DY132" s="49"/>
      <c r="DZ132" s="49"/>
      <c r="EA132" s="49"/>
      <c r="EB132" s="49"/>
      <c r="EC132" s="49"/>
      <c r="ED132" s="49"/>
      <c r="EE132" s="49"/>
      <c r="EF132" s="49"/>
      <c r="EG132" s="49"/>
      <c r="EH132" s="49"/>
      <c r="EI132" s="49"/>
      <c r="EJ132" s="49"/>
      <c r="EK132" s="49"/>
      <c r="EL132" s="49"/>
      <c r="EM132" s="49"/>
      <c r="EN132" s="49"/>
      <c r="EO132" s="49"/>
      <c r="EP132" s="49"/>
      <c r="EQ132" s="49"/>
      <c r="ER132" s="49"/>
      <c r="ES132" s="49"/>
      <c r="ET132" s="49"/>
      <c r="EU132" s="49"/>
      <c r="EV132" s="49"/>
      <c r="EW132" s="49"/>
      <c r="EX132" s="49"/>
      <c r="EY132" s="49"/>
      <c r="EZ132" s="49"/>
      <c r="FA132" s="49"/>
    </row>
    <row r="133" spans="1:157" s="182" customFormat="1" x14ac:dyDescent="0.25">
      <c r="A133" s="113">
        <f>IF(AND('[1]Cockpit Retorno'!$E$67=Sim,Mestre!M133=Mestre!$M$98),0,1)</f>
        <v>1</v>
      </c>
      <c r="B133" s="113">
        <f>IF(AND('[1]Cockpit Retorno'!$E$67=Sim,Mestre!L133=Mestre!$L$48),0,1)</f>
        <v>0</v>
      </c>
      <c r="C133" s="113">
        <f>IF(AND('[1]Cockpit Retorno'!$E$67=Sim,Mestre!M133=Mestre!$M$97),0,1)</f>
        <v>1</v>
      </c>
      <c r="D133" s="148" t="s">
        <v>260</v>
      </c>
      <c r="E133" s="115"/>
      <c r="F133" s="116" t="s">
        <v>107</v>
      </c>
      <c r="G133" s="149"/>
      <c r="H133" s="150" t="s">
        <v>70</v>
      </c>
      <c r="I133" s="151" t="str">
        <f t="shared" si="1"/>
        <v>Serviços</v>
      </c>
      <c r="J133" s="150" t="s">
        <v>12</v>
      </c>
      <c r="K133" s="152" t="s">
        <v>70</v>
      </c>
      <c r="L133" s="153" t="s">
        <v>15</v>
      </c>
      <c r="M133" s="154" t="s">
        <v>12</v>
      </c>
      <c r="N133" s="155" t="s">
        <v>43</v>
      </c>
      <c r="O133" s="155" t="s">
        <v>261</v>
      </c>
      <c r="P133" s="155" t="s">
        <v>43</v>
      </c>
      <c r="Q133" s="155" t="s">
        <v>43</v>
      </c>
      <c r="R133" s="155" t="s">
        <v>43</v>
      </c>
      <c r="S133" s="156" t="s">
        <v>43</v>
      </c>
      <c r="T133" s="156" t="s">
        <v>43</v>
      </c>
      <c r="U133" s="150" t="s">
        <v>43</v>
      </c>
      <c r="V133" s="150" t="s">
        <v>43</v>
      </c>
      <c r="W133" s="150" t="s">
        <v>43</v>
      </c>
      <c r="X133" s="157" t="s">
        <v>286</v>
      </c>
      <c r="Y133" s="150" t="s">
        <v>43</v>
      </c>
      <c r="Z133" s="150" t="s">
        <v>43</v>
      </c>
      <c r="AA133" s="158">
        <v>0</v>
      </c>
      <c r="AB133" s="155" t="s">
        <v>43</v>
      </c>
      <c r="AC133" s="150" t="s">
        <v>43</v>
      </c>
      <c r="AD133" s="155" t="s">
        <v>43</v>
      </c>
      <c r="AE133" s="155"/>
      <c r="AF133" s="150" t="s">
        <v>43</v>
      </c>
      <c r="AG133" s="159">
        <f>ROUNDUP('[1]Avulso HH'!AG9,0)+30</f>
        <v>120</v>
      </c>
      <c r="AH133" s="160">
        <v>44.279955374332054</v>
      </c>
      <c r="AI133" s="161">
        <v>0</v>
      </c>
      <c r="AJ133" s="161">
        <v>0</v>
      </c>
      <c r="AK133" s="162"/>
      <c r="AL133" s="163"/>
      <c r="AM133" s="164">
        <f>(((IF(L133=$L$101,1,IF(L133=$L$47,1,0))*(AH133*(1-AK133)))*AG133)*(1-AL133))</f>
        <v>5313.5946449198464</v>
      </c>
      <c r="AN133" s="165">
        <f>IF(K133=$K$50,AM133,IF(K133=$K$53,AM133,IF(K133=$K$54,AM133,IF(K133=$K$55,AM133,IF(K133=$K$56,AM133,IF(K133=$K$57,AM133,IF(K133=$K$58,AM133,IF(K133=$K$65,AM133,IF(K133=$K$66,AM133,IF(K133=$K$67,AM133,IF(K133=$K$68,AM133,IF(K133=$K$69,AM133,IF(K133=$K$51,AM133,(AM133*(1+AI133)))))))))))))))</f>
        <v>5313.5946449198464</v>
      </c>
      <c r="AO133" s="166">
        <v>1.9</v>
      </c>
      <c r="AP133" s="160">
        <f t="shared" si="2"/>
        <v>10095.829825347708</v>
      </c>
      <c r="AQ133" s="167">
        <f t="shared" si="24"/>
        <v>8747.6863730440018</v>
      </c>
      <c r="AR133" s="160">
        <f t="shared" si="4"/>
        <v>10095.829825347708</v>
      </c>
      <c r="AS133" s="183">
        <f t="shared" si="5"/>
        <v>1.5861947294918344</v>
      </c>
      <c r="AT133" s="169" t="str">
        <f>K133</f>
        <v>MOD</v>
      </c>
      <c r="AU133" s="169" t="str">
        <f>I133</f>
        <v>Serviços</v>
      </c>
      <c r="AV133" s="170"/>
      <c r="AW133" s="171">
        <f>IF(K133=$K$50,0,IF(K133=$K$53,0,IF(K133=$K$54,0,IF(K133=$K$55,0,IF(K133=$K$56,0,IF(K133=$K$57,0,IF(K133=$K$58,0,IF(K133=$K$65,0,IF(K133=$K$66,0,IF(K133=$K$67,0,IF(K133=$K$68,0,IF(K133=$K$69,0,IF(K133=$K$51,0,1))))))))))))*AM133*AI133)</f>
        <v>0</v>
      </c>
      <c r="AX133" s="172">
        <f>IF(K133=$K$50,0,IF(K133=$K$53,0,IF(K133=$K$54,0,IF(K133=$K$55,0,IF(K133=$K$56,0,IF(K133=$K$57,0,IF(K133=$K$58,0,IF(K133=$K$65,0,IF(K133=$K$66,0,IF(K133=$K$67,0,IF(K133=$K$68,0,IF(K133=$K$69,0,IF(K133=$K$51,0,1))))))))))))*AM133*AJ133*$AX$94)</f>
        <v>0</v>
      </c>
      <c r="AY133" s="172">
        <f>IF(K133=$K$53,0,IF(K133=$K$54,0,IF(K133=$K$55,0,IF(K133=$K$56,0,IF(K133=$K$58,0,IF(K133=$K$50,0,IF(K133=$K$65,0,IF(K133=$K$57,0,IF(K133=$K$51,0,AM133*$AY$102)))))))))</f>
        <v>0</v>
      </c>
      <c r="AZ133" s="172">
        <f>IF(K133=$K$53,0,IF(K133=$K$54,0,IF(K133=$K$55,0,IF(K133=$K$56,0,IF(K133=$K$58,0,IF(K133=$K$50,0,IF(K133=$K$65,0,IF(K133=$K$57,0,IF(K133=$K$51,0,AM133*$AZ$102)))))))))</f>
        <v>0</v>
      </c>
      <c r="BA133" s="172">
        <f t="shared" si="6"/>
        <v>0</v>
      </c>
      <c r="BB133" s="173">
        <f>IF($BA$97=1,AQ133*$BB$102,IF(K133=$K$50,0,IF(K133=$K$53,0,IF(K133=$K$54,0,IF(K133=$K$55,0,IF(K133=$K$56,0,IF(K133=$K$57,0,IF(K133=$K$58,0,IF(K133=$K$65,0,IF(K133=$K$66,0,IF(K133=$K$67,0,IF(K133=$K$68,0,IF(K133=$K$69,0,IF(K133=$K$51,0,1)))))))))))*AQ133*$BB$102)))</f>
        <v>0</v>
      </c>
      <c r="BC133" s="172">
        <f t="shared" si="7"/>
        <v>56.859961424786015</v>
      </c>
      <c r="BD133" s="172">
        <f t="shared" si="8"/>
        <v>262.43059119132005</v>
      </c>
      <c r="BE133" s="172">
        <f>IF($BE$95=I133,$BE$97,IF(I133=$BE$96,$BE$97,1))*($BE$102*AQ133)*$AZ$97</f>
        <v>0</v>
      </c>
      <c r="BF133" s="172">
        <f>IF('[1]Cockpit Retorno'!$C$65=Sim,Mestre!BA133,SUM(BB133:BE133)+(IF(K133=$K$56,AQ133*MOE_IRRF_LR,0)))</f>
        <v>319.29055261610608</v>
      </c>
      <c r="BG133" s="174">
        <f>IF(AA133&gt;0,0,IF(Z133=$Z$82,AG133*1,(IF(Z133=$Z$81,AG133*1,0))))</f>
        <v>0</v>
      </c>
      <c r="BH133" s="174">
        <f>IF(AA133&gt;0,0,IF(Z133=$Z$83,AG133*1,IF(Z133=$Z$81,AG133*1,0)))</f>
        <v>0</v>
      </c>
      <c r="BI133" s="174">
        <f>IF(AA133&gt;0,0,IF(Z133=$Z$84,AG133*1,IF(Z133=$Z$93,AG133*2,IF(Z133=$Z$100,AG133,IF(Z133=$Z$81,AG133*2,IF(Z133=$Z$80,AG133*1,IF(Z133=$Z$79,AG133*3,IF(Z133=$Z$78,AG133*2,0))))))))</f>
        <v>0</v>
      </c>
      <c r="BJ133" s="174">
        <f>IF(AA133&gt;0,0,IF(Z133=$Z$85,AG133,IF(Z133=$Z$93,AG133,IF(Z133=$Z$100,AG133,IF(Z133=$Z$81,AG133*1,IF(Z133=$Z$80,AG133*2,IF(Z133=$Z$79,AG133*2,IF(Z133=$Z$78,AG133*2,0))))))))</f>
        <v>0</v>
      </c>
      <c r="BK133" s="174">
        <f>IF(AA133&gt;0,0,IF(Z133=$Z$92,AG133,0))</f>
        <v>0</v>
      </c>
      <c r="BL133" s="174">
        <f>IF(AA133&gt;0,0,IF(Z133=$Z$91,AG133,0))</f>
        <v>0</v>
      </c>
      <c r="BM133" s="174">
        <f>IF(AA133&gt;0,0,IF(Z133=$Z$86,AG133,0))</f>
        <v>0</v>
      </c>
      <c r="BN133" s="174">
        <f>IF(AA133&gt;0,0,IF(Z133=$Z$87,AG133,0))</f>
        <v>0</v>
      </c>
      <c r="BO133" s="174">
        <f>IF(AA133&gt;0,0,IF(Z133=$Z$88,AG133,0))</f>
        <v>0</v>
      </c>
      <c r="BP133" s="174">
        <f>IF(AA133&gt;0,0,IF(Z133=$Z$89,AG133,0))</f>
        <v>0</v>
      </c>
      <c r="BQ133" s="174">
        <f>IF(AA133&gt;0,0,IF(Z133=$Z$90,AG133,0))</f>
        <v>0</v>
      </c>
      <c r="BR133" s="174">
        <f>IF(Z133=$Z$82,AA133*AG133,0)</f>
        <v>0</v>
      </c>
      <c r="BS133" s="174">
        <f>IF(Z133=$Z$83,AA133*AG133,0)</f>
        <v>0</v>
      </c>
      <c r="BT133" s="174">
        <f>IF(AA133&lt;1,0,IF(Z133=$Z$84,AA133*AG133,IF(Z133=$Z$93,"ERRO",IF(Z133=$Z$100,"ERRO",0))))</f>
        <v>0</v>
      </c>
      <c r="BU133" s="174">
        <f>IF(AA133&lt;1,0,IF(Z133=$Z$85,AA133*AG133,IF(Z133=$Z$93,"ERRO",IF(Z133=$Z$100,"ERRO",0))))</f>
        <v>0</v>
      </c>
      <c r="BV133" s="174">
        <f>IF(Z133=$Z$92,AA133*AG133,0)</f>
        <v>0</v>
      </c>
      <c r="BW133" s="174">
        <f>IF(Z133=$Z$91,AA133*AG133,0)</f>
        <v>0</v>
      </c>
      <c r="BX133" s="174">
        <f>IF(Z133=$Z$86,AA133*AG133,0)</f>
        <v>0</v>
      </c>
      <c r="BY133" s="174">
        <f>IF(Z133=$Z$87,AA133*AG133,0)</f>
        <v>0</v>
      </c>
      <c r="BZ133" s="174">
        <f>IF(Z133=$Z$88,AA133*AG133,0)</f>
        <v>0</v>
      </c>
      <c r="CA133" s="174">
        <f>IF(Z133=$Z$89,AA133*AG133,0)</f>
        <v>0</v>
      </c>
      <c r="CB133" s="174">
        <f>IF(Z133=$Z$90,AA133*AG133,0)</f>
        <v>0</v>
      </c>
      <c r="CC133" s="175">
        <f>IFERROR(IF(L133=$L$49,AG133*AH133*(1+AI133)*(1-AK133)*(1-AL133),0),0)</f>
        <v>0</v>
      </c>
      <c r="CD133" s="182">
        <f>IF(I133=$CD$97,1,IF(I133=$CD$100,2,IF(K133=$K$66,1,IF(K133=$K$69,1,3))))</f>
        <v>3</v>
      </c>
      <c r="CE133" s="182">
        <f t="shared" si="14"/>
        <v>1.3</v>
      </c>
      <c r="CF133" s="184">
        <f t="shared" si="9"/>
        <v>1.74</v>
      </c>
      <c r="CG133" s="182">
        <f t="shared" si="15"/>
        <v>2</v>
      </c>
      <c r="CH133" s="184">
        <f t="shared" si="10"/>
        <v>2.1800000000000002</v>
      </c>
      <c r="CI133" s="182">
        <f t="shared" si="16"/>
        <v>2.4</v>
      </c>
      <c r="CJ133" s="185">
        <f>CE133*$CJ$102-0.05</f>
        <v>1.224</v>
      </c>
      <c r="CK133" s="185">
        <f>CF133*$CK$102-0.05</f>
        <v>1.5682</v>
      </c>
      <c r="CL133" s="185">
        <f>CG133*$CL$102-0.05</f>
        <v>1.91</v>
      </c>
      <c r="CM133" s="185">
        <f>CH133*$CM$102-0.05</f>
        <v>2.0646000000000004</v>
      </c>
      <c r="CN133" s="186">
        <f>CI133*$CN$102-0.05</f>
        <v>2.254</v>
      </c>
      <c r="CO133" s="184">
        <v>1.3</v>
      </c>
      <c r="CP133" s="187">
        <f t="shared" si="11"/>
        <v>319.29055261610608</v>
      </c>
      <c r="CQ133" s="188">
        <f t="shared" si="12"/>
        <v>8428.3958204278952</v>
      </c>
      <c r="CR133" s="189">
        <f>BC133+BD133</f>
        <v>319.29055261610608</v>
      </c>
      <c r="CS133" s="49"/>
      <c r="CT133" s="49"/>
      <c r="CU133" s="49"/>
      <c r="CV133" s="49"/>
      <c r="CW133" s="49"/>
      <c r="CX133" s="49"/>
      <c r="CY133" s="49"/>
      <c r="CZ133" s="49"/>
      <c r="DA133" s="49"/>
      <c r="DB133" s="49"/>
      <c r="DC133" s="49"/>
      <c r="DD133" s="49"/>
      <c r="DE133" s="49"/>
      <c r="DF133" s="49"/>
      <c r="DG133" s="49"/>
      <c r="DH133" s="49"/>
      <c r="DI133" s="49"/>
      <c r="DJ133" s="49"/>
      <c r="DK133" s="49"/>
      <c r="DL133" s="49"/>
      <c r="DM133" s="49"/>
      <c r="DN133" s="49"/>
      <c r="DO133" s="49"/>
      <c r="DP133" s="49"/>
      <c r="DQ133" s="49"/>
      <c r="DR133" s="49"/>
      <c r="DS133" s="49"/>
      <c r="DT133" s="49"/>
      <c r="DU133" s="49"/>
      <c r="DV133" s="49"/>
      <c r="DW133" s="49"/>
      <c r="DX133" s="49"/>
      <c r="DY133" s="49"/>
      <c r="DZ133" s="49"/>
      <c r="EA133" s="49"/>
      <c r="EB133" s="49"/>
      <c r="EC133" s="49"/>
      <c r="ED133" s="49"/>
      <c r="EE133" s="49"/>
      <c r="EF133" s="49"/>
      <c r="EG133" s="49"/>
      <c r="EH133" s="49"/>
      <c r="EI133" s="49"/>
      <c r="EJ133" s="49"/>
      <c r="EK133" s="49"/>
      <c r="EL133" s="49"/>
      <c r="EM133" s="49"/>
      <c r="EN133" s="49"/>
      <c r="EO133" s="49"/>
      <c r="EP133" s="49"/>
      <c r="EQ133" s="49"/>
      <c r="ER133" s="49"/>
      <c r="ES133" s="49"/>
      <c r="ET133" s="49"/>
      <c r="EU133" s="49"/>
      <c r="EV133" s="49"/>
      <c r="EW133" s="49"/>
      <c r="EX133" s="49"/>
      <c r="EY133" s="49"/>
      <c r="EZ133" s="49"/>
      <c r="FA133" s="49"/>
    </row>
    <row r="134" spans="1:157" s="113" customFormat="1" x14ac:dyDescent="0.25">
      <c r="A134" s="113">
        <f>IF(AND('[1]Cockpit Retorno'!$E$67=Sim,Mestre!M134=Mestre!$M$98),0,1)</f>
        <v>1</v>
      </c>
      <c r="B134" s="113">
        <f>IF(AND('[1]Cockpit Retorno'!$E$67=Sim,Mestre!L134=Mestre!$L$48),0,1)</f>
        <v>0</v>
      </c>
      <c r="C134" s="113">
        <f>IF(AND('[1]Cockpit Retorno'!$E$67=Sim,Mestre!M134=Mestre!$M$97),0,1)</f>
        <v>1</v>
      </c>
      <c r="D134" s="114" t="s">
        <v>259</v>
      </c>
      <c r="E134" s="115"/>
      <c r="F134" s="116" t="s">
        <v>107</v>
      </c>
      <c r="G134" s="149"/>
      <c r="H134" s="153" t="s">
        <v>5</v>
      </c>
      <c r="I134" s="151" t="str">
        <f t="shared" si="1"/>
        <v>Despesas</v>
      </c>
      <c r="J134" s="150" t="s">
        <v>12</v>
      </c>
      <c r="K134" s="152" t="s">
        <v>27</v>
      </c>
      <c r="L134" s="153" t="s">
        <v>15</v>
      </c>
      <c r="M134" s="154" t="s">
        <v>12</v>
      </c>
      <c r="N134" s="155" t="s">
        <v>43</v>
      </c>
      <c r="O134" s="155" t="s">
        <v>261</v>
      </c>
      <c r="P134" s="155" t="s">
        <v>43</v>
      </c>
      <c r="Q134" s="155" t="s">
        <v>43</v>
      </c>
      <c r="R134" s="155" t="s">
        <v>43</v>
      </c>
      <c r="S134" s="156" t="s">
        <v>43</v>
      </c>
      <c r="T134" s="156" t="s">
        <v>43</v>
      </c>
      <c r="U134" s="150" t="s">
        <v>43</v>
      </c>
      <c r="V134" s="150" t="s">
        <v>43</v>
      </c>
      <c r="W134" s="150" t="s">
        <v>43</v>
      </c>
      <c r="X134" s="201" t="s">
        <v>287</v>
      </c>
      <c r="Y134" s="150" t="s">
        <v>43</v>
      </c>
      <c r="Z134" s="150" t="s">
        <v>43</v>
      </c>
      <c r="AA134" s="158">
        <v>0</v>
      </c>
      <c r="AB134" s="155" t="s">
        <v>43</v>
      </c>
      <c r="AC134" s="150" t="s">
        <v>43</v>
      </c>
      <c r="AD134" s="155" t="s">
        <v>43</v>
      </c>
      <c r="AE134" s="155"/>
      <c r="AF134" s="150" t="s">
        <v>43</v>
      </c>
      <c r="AG134" s="159">
        <v>1</v>
      </c>
      <c r="AH134" s="159">
        <v>3320.1000000000004</v>
      </c>
      <c r="AI134" s="161">
        <v>0</v>
      </c>
      <c r="AJ134" s="161">
        <v>0</v>
      </c>
      <c r="AK134" s="162"/>
      <c r="AL134" s="163"/>
      <c r="AM134" s="164">
        <f>(((IF(L134=$L$101,1,IF(L134=$L$47,1,0))*(AH134*(1-AK134)))*AG134)*(1-AL134))</f>
        <v>3320.1000000000004</v>
      </c>
      <c r="AN134" s="165">
        <f>IF(K134=$K$50,AM134,IF(K134=$K$53,AM134,IF(K134=$K$54,AM134,IF(K134=$K$55,AM134,IF(K134=$K$56,AM134,IF(K134=$K$57,AM134,IF(K134=$K$58,AM134,IF(K134=$K$65,AM134,IF(K134=$K$66,AM134,IF(K134=$K$67,AM134,IF(K134=$K$68,AM134,IF(K134=$K$69,AM134,IF(K134=$K$51,AM134,(AM134*(1+AI134)))))))))))))))</f>
        <v>3320.1000000000004</v>
      </c>
      <c r="AO134" s="132">
        <v>1.6</v>
      </c>
      <c r="AP134" s="160">
        <f t="shared" si="2"/>
        <v>5312.1600000000008</v>
      </c>
      <c r="AQ134" s="167">
        <f t="shared" si="24"/>
        <v>4602.8023894339967</v>
      </c>
      <c r="AR134" s="160">
        <f t="shared" si="4"/>
        <v>5312.1600000000008</v>
      </c>
      <c r="AS134" s="183">
        <f t="shared" si="5"/>
        <v>1.3357429300983872</v>
      </c>
      <c r="AT134" s="169" t="str">
        <f>K134</f>
        <v>LOG</v>
      </c>
      <c r="AU134" s="169" t="str">
        <f>I134</f>
        <v>Despesas</v>
      </c>
      <c r="AV134" s="170"/>
      <c r="AW134" s="171">
        <f>IF(K134=$K$50,0,IF(K134=$K$53,0,IF(K134=$K$54,0,IF(K134=$K$55,0,IF(K134=$K$56,0,IF(K134=$K$57,0,IF(K134=$K$58,0,IF(K134=$K$65,0,IF(K134=$K$66,0,IF(K134=$K$67,0,IF(K134=$K$68,0,IF(K134=$K$69,0,IF(K134=$K$51,0,1))))))))))))*AM134*AI134)</f>
        <v>0</v>
      </c>
      <c r="AX134" s="172">
        <f>IF(K134=$K$50,0,IF(K134=$K$53,0,IF(K134=$K$54,0,IF(K134=$K$55,0,IF(K134=$K$56,0,IF(K134=$K$57,0,IF(K134=$K$58,0,IF(K134=$K$65,0,IF(K134=$K$66,0,IF(K134=$K$67,0,IF(K134=$K$68,0,IF(K134=$K$69,0,IF(K134=$K$51,0,1))))))))))))*AM134*AJ134*$AX$94)</f>
        <v>0</v>
      </c>
      <c r="AY134" s="172">
        <f>IF(K134=$K$53,0,IF(K134=$K$54,0,IF(K134=$K$55,0,IF(K134=$K$56,0,IF(K134=$K$58,0,IF(K134=$K$50,0,IF(K134=$K$65,0,IF(K134=$K$57,0,IF(K134=$K$51,0,AM134*$AY$102)))))))))</f>
        <v>0</v>
      </c>
      <c r="AZ134" s="172">
        <f>IF(K134=$K$53,0,IF(K134=$K$54,0,IF(K134=$K$55,0,IF(K134=$K$56,0,IF(K134=$K$58,0,IF(K134=$K$50,0,IF(K134=$K$65,0,IF(K134=$K$57,0,IF(K134=$K$51,0,AM134*$AZ$102)))))))))</f>
        <v>0</v>
      </c>
      <c r="BA134" s="172">
        <f t="shared" si="6"/>
        <v>0</v>
      </c>
      <c r="BB134" s="173">
        <f>IF($BA$97=1,AQ134*$BB$102,IF(K134=$K$50,0,IF(K134=$K$53,0,IF(K134=$K$54,0,IF(K134=$K$55,0,IF(K134=$K$56,0,IF(K134=$K$57,0,IF(K134=$K$58,0,IF(K134=$K$65,0,IF(K134=$K$66,0,IF(K134=$K$67,0,IF(K134=$K$68,0,IF(K134=$K$69,0,IF(K134=$K$51,0,1)))))))))))*AQ134*$BB$102)))</f>
        <v>0</v>
      </c>
      <c r="BC134" s="172">
        <f t="shared" si="7"/>
        <v>29.918215531320982</v>
      </c>
      <c r="BD134" s="172">
        <f t="shared" si="8"/>
        <v>138.08407168301989</v>
      </c>
      <c r="BE134" s="172">
        <f>IF($BE$95=I134,$BE$97,IF(I134=$BE$96,$BE$97,1))*($BE$102*AQ134)*$AZ$97</f>
        <v>0</v>
      </c>
      <c r="BF134" s="172">
        <f>IF('[1]Cockpit Retorno'!$C$65=Sim,Mestre!BA134,SUM(BB134:BE134)+(IF(K134=$K$56,AQ134*MOE_IRRF_LR,0)))</f>
        <v>168.00228721434087</v>
      </c>
      <c r="BG134" s="174">
        <f>IF(AA134&gt;0,0,IF(Z134=$Z$82,AG134*1,(IF(Z134=$Z$81,AG134*1,0))))</f>
        <v>0</v>
      </c>
      <c r="BH134" s="174">
        <f>IF(AA134&gt;0,0,IF(Z134=$Z$83,AG134*1,IF(Z134=$Z$81,AG134*1,0)))</f>
        <v>0</v>
      </c>
      <c r="BI134" s="174">
        <f>IF(AA134&gt;0,0,IF(Z134=$Z$84,AG134*1,IF(Z134=$Z$93,AG134*2,IF(Z134=$Z$100,AG134,IF(Z134=$Z$81,AG134*2,IF(Z134=$Z$80,AG134*1,IF(Z134=$Z$79,AG134*3,IF(Z134=$Z$78,AG134*2,0))))))))</f>
        <v>0</v>
      </c>
      <c r="BJ134" s="174">
        <f>IF(AA134&gt;0,0,IF(Z134=$Z$85,AG134,IF(Z134=$Z$93,AG134,IF(Z134=$Z$100,AG134,IF(Z134=$Z$81,AG134*1,IF(Z134=$Z$80,AG134*2,IF(Z134=$Z$79,AG134*2,IF(Z134=$Z$78,AG134*2,0))))))))</f>
        <v>0</v>
      </c>
      <c r="BK134" s="174">
        <f>IF(AA134&gt;0,0,IF(Z134=$Z$92,AG134,0))</f>
        <v>0</v>
      </c>
      <c r="BL134" s="174">
        <f>IF(AA134&gt;0,0,IF(Z134=$Z$91,AG134,0))</f>
        <v>0</v>
      </c>
      <c r="BM134" s="174">
        <f>IF(AA134&gt;0,0,IF(Z134=$Z$86,AG134,0))</f>
        <v>0</v>
      </c>
      <c r="BN134" s="174">
        <f>IF(AA134&gt;0,0,IF(Z134=$Z$87,AG134,0))</f>
        <v>0</v>
      </c>
      <c r="BO134" s="174">
        <f>IF(AA134&gt;0,0,IF(Z134=$Z$88,AG134,0))</f>
        <v>0</v>
      </c>
      <c r="BP134" s="174">
        <f>IF(AA134&gt;0,0,IF(Z134=$Z$89,AG134,0))</f>
        <v>0</v>
      </c>
      <c r="BQ134" s="174">
        <f>IF(AA134&gt;0,0,IF(Z134=$Z$90,AG134,0))</f>
        <v>0</v>
      </c>
      <c r="BR134" s="174">
        <f>IF(Z134=$Z$82,AA134*AG134,0)</f>
        <v>0</v>
      </c>
      <c r="BS134" s="174">
        <f>IF(Z134=$Z$83,AA134*AG134,0)</f>
        <v>0</v>
      </c>
      <c r="BT134" s="174">
        <f>IF(AA134&lt;1,0,IF(Z134=$Z$84,AA134*AG134,IF(Z134=$Z$93,"ERRO",IF(Z134=$Z$100,"ERRO",0))))</f>
        <v>0</v>
      </c>
      <c r="BU134" s="174">
        <f>IF(AA134&lt;1,0,IF(Z134=$Z$85,AA134*AG134,IF(Z134=$Z$93,"ERRO",IF(Z134=$Z$100,"ERRO",0))))</f>
        <v>0</v>
      </c>
      <c r="BV134" s="174">
        <f>IF(Z134=$Z$92,AA134*AG134,0)</f>
        <v>0</v>
      </c>
      <c r="BW134" s="174">
        <f>IF(Z134=$Z$91,AA134*AG134,0)</f>
        <v>0</v>
      </c>
      <c r="BX134" s="174">
        <f>IF(Z134=$Z$86,AA134*AG134,0)</f>
        <v>0</v>
      </c>
      <c r="BY134" s="174">
        <f>IF(Z134=$Z$87,AA134*AG134,0)</f>
        <v>0</v>
      </c>
      <c r="BZ134" s="174">
        <f>IF(Z134=$Z$88,AA134*AG134,0)</f>
        <v>0</v>
      </c>
      <c r="CA134" s="174">
        <f>IF(Z134=$Z$89,AA134*AG134,0)</f>
        <v>0</v>
      </c>
      <c r="CB134" s="174">
        <f>IF(Z134=$Z$90,AA134*AG134,0)</f>
        <v>0</v>
      </c>
      <c r="CC134" s="175">
        <f>IFERROR(IF(L134=$L$49,AG134*AH134*(1+AI134)*(1-AK134)*(1-AL134),0),0)</f>
        <v>0</v>
      </c>
      <c r="CD134" s="143">
        <f>IF(I134=$CD$97,1,IF(I134=$CD$100,2,IF(K134=$K$66,1,IF(K134=$K$69,1,3))))</f>
        <v>2</v>
      </c>
      <c r="CE134" s="143">
        <f t="shared" si="14"/>
        <v>1.07</v>
      </c>
      <c r="CF134" s="144">
        <f t="shared" si="9"/>
        <v>1.2788999999999999</v>
      </c>
      <c r="CG134" s="143">
        <f t="shared" si="15"/>
        <v>1.47</v>
      </c>
      <c r="CH134" s="144">
        <f t="shared" si="10"/>
        <v>1.6023000000000001</v>
      </c>
      <c r="CI134" s="143">
        <f t="shared" si="16"/>
        <v>1.7</v>
      </c>
      <c r="CJ134" s="144">
        <f>CE134*$CJ$102</f>
        <v>1.0486</v>
      </c>
      <c r="CK134" s="144">
        <f>CF134*$CK$102</f>
        <v>1.1893769999999999</v>
      </c>
      <c r="CL134" s="144">
        <f>CG134*$CL$102</f>
        <v>1.4405999999999999</v>
      </c>
      <c r="CM134" s="144">
        <f>CH134*$CM$102</f>
        <v>1.5542309999999999</v>
      </c>
      <c r="CN134" s="143">
        <f>CI134*$CN$102</f>
        <v>1.6319999999999999</v>
      </c>
      <c r="CO134" s="145">
        <v>1.3</v>
      </c>
      <c r="CP134" s="146">
        <f t="shared" si="11"/>
        <v>168.00228721434087</v>
      </c>
      <c r="CQ134" s="147">
        <f t="shared" si="12"/>
        <v>4434.8001022196559</v>
      </c>
      <c r="CR134" s="190">
        <f>BC134+BD134</f>
        <v>168.00228721434087</v>
      </c>
      <c r="CS134" s="49"/>
      <c r="CT134" s="49"/>
      <c r="CU134" s="49"/>
      <c r="CV134" s="49"/>
      <c r="CW134" s="49"/>
      <c r="CX134" s="49"/>
      <c r="CY134" s="49"/>
      <c r="CZ134" s="49"/>
      <c r="DA134" s="49"/>
      <c r="DB134" s="49"/>
      <c r="DC134" s="49"/>
      <c r="DD134" s="49"/>
      <c r="DE134" s="49"/>
      <c r="DF134" s="49"/>
      <c r="DG134" s="49"/>
      <c r="DH134" s="49"/>
      <c r="DI134" s="49"/>
      <c r="DJ134" s="49"/>
      <c r="DK134" s="49"/>
      <c r="DL134" s="49"/>
      <c r="DM134" s="49"/>
      <c r="DN134" s="49"/>
      <c r="DO134" s="49"/>
      <c r="DP134" s="49"/>
      <c r="DQ134" s="49"/>
      <c r="DR134" s="49"/>
      <c r="DS134" s="49"/>
      <c r="DT134" s="49"/>
      <c r="DU134" s="49"/>
      <c r="DV134" s="49"/>
      <c r="DW134" s="49"/>
      <c r="DX134" s="49"/>
      <c r="DY134" s="49"/>
      <c r="DZ134" s="49"/>
      <c r="EA134" s="49"/>
      <c r="EB134" s="49"/>
      <c r="EC134" s="49"/>
      <c r="ED134" s="49"/>
      <c r="EE134" s="49"/>
      <c r="EF134" s="49"/>
      <c r="EG134" s="49"/>
      <c r="EH134" s="49"/>
      <c r="EI134" s="49"/>
      <c r="EJ134" s="49"/>
      <c r="EK134" s="49"/>
      <c r="EL134" s="49"/>
      <c r="EM134" s="49"/>
      <c r="EN134" s="49"/>
      <c r="EO134" s="49"/>
      <c r="EP134" s="49"/>
      <c r="EQ134" s="49"/>
      <c r="ER134" s="49"/>
      <c r="ES134" s="49"/>
      <c r="ET134" s="49"/>
      <c r="EU134" s="49"/>
      <c r="EV134" s="49"/>
      <c r="EW134" s="49"/>
      <c r="EX134" s="49"/>
      <c r="EY134" s="49"/>
      <c r="EZ134" s="49"/>
      <c r="FA134" s="49"/>
    </row>
    <row r="135" spans="1:157" s="113" customFormat="1" x14ac:dyDescent="0.25">
      <c r="A135" s="113">
        <f>IF(AND('[1]Cockpit Retorno'!$E$67=Sim,Mestre!M135=Mestre!$M$98),0,1)</f>
        <v>1</v>
      </c>
      <c r="B135" s="113">
        <f>IF(AND('[1]Cockpit Retorno'!$E$67=Sim,Mestre!L135=Mestre!$L$48),0,1)</f>
        <v>0</v>
      </c>
      <c r="C135" s="113">
        <f>IF(AND('[1]Cockpit Retorno'!$E$67=Sim,Mestre!M135=Mestre!$M$97),0,1)</f>
        <v>1</v>
      </c>
      <c r="D135" s="114" t="s">
        <v>259</v>
      </c>
      <c r="E135" s="115"/>
      <c r="F135" s="116" t="s">
        <v>107</v>
      </c>
      <c r="G135" s="149"/>
      <c r="H135" s="153" t="s">
        <v>4</v>
      </c>
      <c r="I135" s="151" t="str">
        <f>VLOOKUP(K135,$N$74:$O$95,2)</f>
        <v>Despesas</v>
      </c>
      <c r="J135" s="150" t="s">
        <v>12</v>
      </c>
      <c r="K135" s="152" t="s">
        <v>27</v>
      </c>
      <c r="L135" s="153" t="s">
        <v>15</v>
      </c>
      <c r="M135" s="154" t="s">
        <v>12</v>
      </c>
      <c r="N135" s="155" t="s">
        <v>43</v>
      </c>
      <c r="O135" s="155" t="s">
        <v>261</v>
      </c>
      <c r="P135" s="155" t="s">
        <v>43</v>
      </c>
      <c r="Q135" s="155" t="s">
        <v>43</v>
      </c>
      <c r="R135" s="155" t="s">
        <v>43</v>
      </c>
      <c r="S135" s="156" t="s">
        <v>43</v>
      </c>
      <c r="T135" s="156" t="s">
        <v>43</v>
      </c>
      <c r="U135" s="150" t="s">
        <v>43</v>
      </c>
      <c r="V135" s="150" t="s">
        <v>43</v>
      </c>
      <c r="W135" s="150" t="s">
        <v>43</v>
      </c>
      <c r="X135" s="201" t="s">
        <v>288</v>
      </c>
      <c r="Y135" s="150" t="s">
        <v>43</v>
      </c>
      <c r="Z135" s="150" t="s">
        <v>43</v>
      </c>
      <c r="AA135" s="158">
        <v>0</v>
      </c>
      <c r="AB135" s="155" t="s">
        <v>43</v>
      </c>
      <c r="AC135" s="150" t="s">
        <v>43</v>
      </c>
      <c r="AD135" s="155" t="s">
        <v>43</v>
      </c>
      <c r="AE135" s="155"/>
      <c r="AF135" s="150" t="s">
        <v>43</v>
      </c>
      <c r="AG135" s="159">
        <v>1</v>
      </c>
      <c r="AH135" s="159">
        <v>40401.568031934119</v>
      </c>
      <c r="AI135" s="161">
        <v>0</v>
      </c>
      <c r="AJ135" s="161">
        <v>0</v>
      </c>
      <c r="AK135" s="162"/>
      <c r="AL135" s="163"/>
      <c r="AM135" s="164">
        <f>(((IF(L135=$L$101,1,IF(L135=$L$47,1,0))*(AH135*(1-AK135)))*AG135)*(1-AL135))</f>
        <v>40401.568031934119</v>
      </c>
      <c r="AN135" s="165">
        <f>IF(K135=$K$50,AM135,IF(K135=$K$53,AM135,IF(K135=$K$54,AM135,IF(K135=$K$55,AM135,IF(K135=$K$56,AM135,IF(K135=$K$57,AM135,IF(K135=$K$58,AM135,IF(K135=$K$65,AM135,IF(K135=$K$66,AM135,IF(K135=$K$67,AM135,IF(K135=$K$68,AM135,IF(K135=$K$69,AM135,IF(K135=$K$51,AM135,(AM135*(1+AI135)))))))))))))))</f>
        <v>40401.568031934119</v>
      </c>
      <c r="AO135" s="132">
        <v>1.6</v>
      </c>
      <c r="AP135" s="160">
        <f>AM135*AO135</f>
        <v>64642.508851094593</v>
      </c>
      <c r="AQ135" s="167">
        <f>AP135*Fator_Venda</f>
        <v>56010.491814784647</v>
      </c>
      <c r="AR135" s="160">
        <f>AO135*AN135</f>
        <v>64642.508851094593</v>
      </c>
      <c r="AS135" s="183">
        <f>IFERROR(IF($AX$94=0,(CQ135/AN135),CQ135/AM135),0)</f>
        <v>1.3357429300983872</v>
      </c>
      <c r="AT135" s="169" t="str">
        <f>K135</f>
        <v>LOG</v>
      </c>
      <c r="AU135" s="169" t="str">
        <f>I135</f>
        <v>Despesas</v>
      </c>
      <c r="AV135" s="170"/>
      <c r="AW135" s="171">
        <f>IF(K135=$K$50,0,IF(K135=$K$53,0,IF(K135=$K$54,0,IF(K135=$K$55,0,IF(K135=$K$56,0,IF(K135=$K$57,0,IF(K135=$K$58,0,IF(K135=$K$65,0,IF(K135=$K$66,0,IF(K135=$K$67,0,IF(K135=$K$68,0,IF(K135=$K$69,0,IF(K135=$K$51,0,1))))))))))))*AM135*AI135)</f>
        <v>0</v>
      </c>
      <c r="AX135" s="172">
        <f>IF(K135=$K$50,0,IF(K135=$K$53,0,IF(K135=$K$54,0,IF(K135=$K$55,0,IF(K135=$K$56,0,IF(K135=$K$57,0,IF(K135=$K$58,0,IF(K135=$K$65,0,IF(K135=$K$66,0,IF(K135=$K$67,0,IF(K135=$K$68,0,IF(K135=$K$69,0,IF(K135=$K$51,0,1))))))))))))*AM135*AJ135*$AX$94)</f>
        <v>0</v>
      </c>
      <c r="AY135" s="172">
        <f>IF(K135=$K$53,0,IF(K135=$K$54,0,IF(K135=$K$55,0,IF(K135=$K$56,0,IF(K135=$K$58,0,IF(K135=$K$50,0,IF(K135=$K$65,0,IF(K135=$K$57,0,IF(K135=$K$51,0,AM135*$AY$102)))))))))</f>
        <v>0</v>
      </c>
      <c r="AZ135" s="172">
        <f>IF(K135=$K$53,0,IF(K135=$K$54,0,IF(K135=$K$55,0,IF(K135=$K$56,0,IF(K135=$K$58,0,IF(K135=$K$50,0,IF(K135=$K$65,0,IF(K135=$K$57,0,IF(K135=$K$51,0,AM135*$AZ$102)))))))))</f>
        <v>0</v>
      </c>
      <c r="BA135" s="172">
        <f>AZ135+AY135+AX135</f>
        <v>0</v>
      </c>
      <c r="BB135" s="173">
        <f>IF($BA$97=1,AQ135*$BB$102,IF(K135=$K$50,0,IF(K135=$K$53,0,IF(K135=$K$54,0,IF(K135=$K$55,0,IF(K135=$K$56,0,IF(K135=$K$57,0,IF(K135=$K$58,0,IF(K135=$K$65,0,IF(K135=$K$66,0,IF(K135=$K$67,0,IF(K135=$K$68,0,IF(K135=$K$69,0,IF(K135=$K$51,0,1)))))))))))*AQ135*$BB$102)))</f>
        <v>0</v>
      </c>
      <c r="BC135" s="172">
        <f>AQ135*$BC$102</f>
        <v>364.06819679610027</v>
      </c>
      <c r="BD135" s="172">
        <f>$BD$102*AQ135</f>
        <v>1680.3147544435394</v>
      </c>
      <c r="BE135" s="172">
        <f>IF($BE$95=I135,$BE$97,IF(I135=$BE$96,$BE$97,1))*($BE$102*AQ135)*$AZ$97</f>
        <v>0</v>
      </c>
      <c r="BF135" s="172">
        <f>IF('[1]Cockpit Retorno'!$C$65=Sim,Mestre!BA135,SUM(BB135:BE135)+(IF(K135=$K$56,AQ135*MOE_IRRF_LR,0)))</f>
        <v>2044.3829512396396</v>
      </c>
      <c r="BG135" s="174">
        <f>IF(AA135&gt;0,0,IF(Z135=$Z$82,AG135*1,(IF(Z135=$Z$81,AG135*1,0))))</f>
        <v>0</v>
      </c>
      <c r="BH135" s="174">
        <f>IF(AA135&gt;0,0,IF(Z135=$Z$83,AG135*1,IF(Z135=$Z$81,AG135*1,0)))</f>
        <v>0</v>
      </c>
      <c r="BI135" s="174">
        <f>IF(AA135&gt;0,0,IF(Z135=$Z$84,AG135*1,IF(Z135=$Z$93,AG135*2,IF(Z135=$Z$100,AG135,IF(Z135=$Z$81,AG135*2,IF(Z135=$Z$80,AG135*1,IF(Z135=$Z$79,AG135*3,IF(Z135=$Z$78,AG135*2,0))))))))</f>
        <v>0</v>
      </c>
      <c r="BJ135" s="174">
        <f>IF(AA135&gt;0,0,IF(Z135=$Z$85,AG135,IF(Z135=$Z$93,AG135,IF(Z135=$Z$100,AG135,IF(Z135=$Z$81,AG135*1,IF(Z135=$Z$80,AG135*2,IF(Z135=$Z$79,AG135*2,IF(Z135=$Z$78,AG135*2,0))))))))</f>
        <v>0</v>
      </c>
      <c r="BK135" s="174">
        <f>IF(AA135&gt;0,0,IF(Z135=$Z$92,AG135,0))</f>
        <v>0</v>
      </c>
      <c r="BL135" s="174">
        <f>IF(AA135&gt;0,0,IF(Z135=$Z$91,AG135,0))</f>
        <v>0</v>
      </c>
      <c r="BM135" s="174">
        <f>IF(AA135&gt;0,0,IF(Z135=$Z$86,AG135,0))</f>
        <v>0</v>
      </c>
      <c r="BN135" s="174">
        <f>IF(AA135&gt;0,0,IF(Z135=$Z$87,AG135,0))</f>
        <v>0</v>
      </c>
      <c r="BO135" s="174">
        <f>IF(AA135&gt;0,0,IF(Z135=$Z$88,AG135,0))</f>
        <v>0</v>
      </c>
      <c r="BP135" s="174">
        <f>IF(AA135&gt;0,0,IF(Z135=$Z$89,AG135,0))</f>
        <v>0</v>
      </c>
      <c r="BQ135" s="174">
        <f>IF(AA135&gt;0,0,IF(Z135=$Z$90,AG135,0))</f>
        <v>0</v>
      </c>
      <c r="BR135" s="174">
        <f>IF(Z135=$Z$82,AA135*AG135,0)</f>
        <v>0</v>
      </c>
      <c r="BS135" s="174">
        <f>IF(Z135=$Z$83,AA135*AG135,0)</f>
        <v>0</v>
      </c>
      <c r="BT135" s="174">
        <f>IF(AA135&lt;1,0,IF(Z135=$Z$84,AA135*AG135,IF(Z135=$Z$93,"ERRO",IF(Z135=$Z$100,"ERRO",0))))</f>
        <v>0</v>
      </c>
      <c r="BU135" s="174">
        <f>IF(AA135&lt;1,0,IF(Z135=$Z$85,AA135*AG135,IF(Z135=$Z$93,"ERRO",IF(Z135=$Z$100,"ERRO",0))))</f>
        <v>0</v>
      </c>
      <c r="BV135" s="174">
        <f>IF(Z135=$Z$92,AA135*AG135,0)</f>
        <v>0</v>
      </c>
      <c r="BW135" s="174">
        <f>IF(Z135=$Z$91,AA135*AG135,0)</f>
        <v>0</v>
      </c>
      <c r="BX135" s="174">
        <f>IF(Z135=$Z$86,AA135*AG135,0)</f>
        <v>0</v>
      </c>
      <c r="BY135" s="174">
        <f>IF(Z135=$Z$87,AA135*AG135,0)</f>
        <v>0</v>
      </c>
      <c r="BZ135" s="174">
        <f>IF(Z135=$Z$88,AA135*AG135,0)</f>
        <v>0</v>
      </c>
      <c r="CA135" s="174">
        <f>IF(Z135=$Z$89,AA135*AG135,0)</f>
        <v>0</v>
      </c>
      <c r="CB135" s="174">
        <f>IF(Z135=$Z$90,AA135*AG135,0)</f>
        <v>0</v>
      </c>
      <c r="CC135" s="175">
        <f>IFERROR(IF(L135=$L$49,AG135*AH135*(1+AI135)*(1-AK135)*(1-AL135),0),0)</f>
        <v>0</v>
      </c>
      <c r="CD135" s="143">
        <f>IF(I135=$CD$97,1,IF(I135=$CD$100,2,IF(K135=$K$66,1,IF(K135=$K$69,1,3))))</f>
        <v>2</v>
      </c>
      <c r="CE135" s="143">
        <f t="shared" si="14"/>
        <v>1.07</v>
      </c>
      <c r="CF135" s="144">
        <f>CG135*0.87</f>
        <v>1.2788999999999999</v>
      </c>
      <c r="CG135" s="143">
        <f t="shared" si="15"/>
        <v>1.47</v>
      </c>
      <c r="CH135" s="144">
        <f>CG135*1.09</f>
        <v>1.6023000000000001</v>
      </c>
      <c r="CI135" s="143">
        <f t="shared" si="16"/>
        <v>1.7</v>
      </c>
      <c r="CJ135" s="144">
        <f>CE135*$CJ$102</f>
        <v>1.0486</v>
      </c>
      <c r="CK135" s="144">
        <f>CF135*$CK$102</f>
        <v>1.1893769999999999</v>
      </c>
      <c r="CL135" s="144">
        <f>CG135*$CL$102</f>
        <v>1.4405999999999999</v>
      </c>
      <c r="CM135" s="144">
        <f>CH135*$CM$102</f>
        <v>1.5542309999999999</v>
      </c>
      <c r="CN135" s="143">
        <f>CI135*$CN$102</f>
        <v>1.6319999999999999</v>
      </c>
      <c r="CO135" s="145">
        <v>1.3</v>
      </c>
      <c r="CP135" s="146">
        <f>BF135-BA135</f>
        <v>2044.3829512396396</v>
      </c>
      <c r="CQ135" s="147">
        <f>AQ135-CP135</f>
        <v>53966.108863545007</v>
      </c>
      <c r="CR135" s="190">
        <f>BC135+BD135</f>
        <v>2044.3829512396396</v>
      </c>
      <c r="CS135" s="49"/>
      <c r="CT135" s="49"/>
      <c r="CU135" s="49"/>
      <c r="CV135" s="49"/>
      <c r="CW135" s="49"/>
      <c r="CX135" s="49"/>
      <c r="CY135" s="49"/>
      <c r="CZ135" s="49"/>
      <c r="DA135" s="49"/>
      <c r="DB135" s="49"/>
      <c r="DC135" s="49"/>
      <c r="DD135" s="49"/>
      <c r="DE135" s="49"/>
      <c r="DF135" s="49"/>
      <c r="DG135" s="49"/>
      <c r="DH135" s="49"/>
      <c r="DI135" s="49"/>
      <c r="DJ135" s="49"/>
      <c r="DK135" s="49"/>
      <c r="DL135" s="49"/>
      <c r="DM135" s="49"/>
      <c r="DN135" s="49"/>
      <c r="DO135" s="49"/>
      <c r="DP135" s="49"/>
      <c r="DQ135" s="49"/>
      <c r="DR135" s="49"/>
      <c r="DS135" s="49"/>
      <c r="DT135" s="49"/>
      <c r="DU135" s="49"/>
      <c r="DV135" s="49"/>
      <c r="DW135" s="49"/>
      <c r="DX135" s="49"/>
      <c r="DY135" s="49"/>
      <c r="DZ135" s="49"/>
      <c r="EA135" s="49"/>
      <c r="EB135" s="49"/>
      <c r="EC135" s="49"/>
      <c r="ED135" s="49"/>
      <c r="EE135" s="49"/>
      <c r="EF135" s="49"/>
      <c r="EG135" s="49"/>
      <c r="EH135" s="49"/>
      <c r="EI135" s="49"/>
      <c r="EJ135" s="49"/>
      <c r="EK135" s="49"/>
      <c r="EL135" s="49"/>
      <c r="EM135" s="49"/>
      <c r="EN135" s="49"/>
      <c r="EO135" s="49"/>
      <c r="EP135" s="49"/>
      <c r="EQ135" s="49"/>
      <c r="ER135" s="49"/>
      <c r="ES135" s="49"/>
      <c r="ET135" s="49"/>
      <c r="EU135" s="49"/>
      <c r="EV135" s="49"/>
      <c r="EW135" s="49"/>
      <c r="EX135" s="49"/>
      <c r="EY135" s="49"/>
      <c r="EZ135" s="49"/>
      <c r="FA135" s="49"/>
    </row>
    <row r="136" spans="1:157" s="210" customFormat="1" x14ac:dyDescent="0.25">
      <c r="A136" s="113">
        <f>IF(AND('[1]Cockpit Retorno'!$E$67=Sim,Mestre!M136=Mestre!$M$98),0,1)</f>
        <v>1</v>
      </c>
      <c r="B136" s="113">
        <f>IF(AND('[1]Cockpit Retorno'!$E$67=Sim,Mestre!L136=Mestre!$L$48),0,1)</f>
        <v>0</v>
      </c>
      <c r="C136" s="113">
        <f>IF(AND('[1]Cockpit Retorno'!$E$67=Sim,Mestre!M136=Mestre!$M$97),0,1)</f>
        <v>1</v>
      </c>
      <c r="D136" s="114" t="s">
        <v>289</v>
      </c>
      <c r="E136" s="115"/>
      <c r="F136" s="116" t="s">
        <v>107</v>
      </c>
      <c r="G136" s="149"/>
      <c r="H136" s="150" t="s">
        <v>2</v>
      </c>
      <c r="I136" s="151" t="str">
        <f t="shared" si="1"/>
        <v>Mercadorias</v>
      </c>
      <c r="J136" s="150" t="s">
        <v>15</v>
      </c>
      <c r="K136" s="152" t="s">
        <v>2</v>
      </c>
      <c r="L136" s="153" t="s">
        <v>15</v>
      </c>
      <c r="M136" s="154" t="s">
        <v>12</v>
      </c>
      <c r="N136" s="155" t="s">
        <v>43</v>
      </c>
      <c r="O136" s="155" t="s">
        <v>43</v>
      </c>
      <c r="P136" s="155" t="s">
        <v>43</v>
      </c>
      <c r="Q136" s="155" t="s">
        <v>43</v>
      </c>
      <c r="R136" s="155" t="s">
        <v>43</v>
      </c>
      <c r="S136" s="156" t="s">
        <v>43</v>
      </c>
      <c r="T136" s="156" t="s">
        <v>43</v>
      </c>
      <c r="U136" s="150" t="s">
        <v>43</v>
      </c>
      <c r="V136" s="150" t="s">
        <v>43</v>
      </c>
      <c r="W136" s="150" t="s">
        <v>43</v>
      </c>
      <c r="X136" s="157"/>
      <c r="Y136" s="150" t="s">
        <v>43</v>
      </c>
      <c r="Z136" s="150" t="s">
        <v>43</v>
      </c>
      <c r="AA136" s="158">
        <v>0</v>
      </c>
      <c r="AB136" s="155" t="s">
        <v>43</v>
      </c>
      <c r="AC136" s="150" t="s">
        <v>43</v>
      </c>
      <c r="AD136" s="155" t="s">
        <v>43</v>
      </c>
      <c r="AE136" s="155"/>
      <c r="AF136" s="150" t="s">
        <v>43</v>
      </c>
      <c r="AG136" s="159"/>
      <c r="AH136" s="159">
        <v>0</v>
      </c>
      <c r="AI136" s="202"/>
      <c r="AJ136" s="161"/>
      <c r="AK136" s="162"/>
      <c r="AL136" s="163"/>
      <c r="AM136" s="164">
        <f>(((IF(L136=$L$101,1,IF(L136=$L$47,1,0))*(AH136*(1-AK136)))*AG136)*(1-AL136))</f>
        <v>0</v>
      </c>
      <c r="AN136" s="165">
        <f>IF(K136=$K$50,AM136,IF(K136=$K$53,AM136,IF(K136=$K$54,AM136,IF(K136=$K$55,AM136,IF(K136=$K$56,AM136,IF(K136=$K$57,AM136,IF(K136=$K$58,AM136,IF(K136=$K$65,AM136,IF(K136=$K$66,AM136,IF(K136=$K$67,AM136,IF(K136=$K$68,AM136,IF(K136=$K$69,AM136,IF(K136=$K$51,AM136,(AM136*(1+AI136)))))))))))))))</f>
        <v>0</v>
      </c>
      <c r="AO136" s="166">
        <v>1.4</v>
      </c>
      <c r="AP136" s="160">
        <f t="shared" si="2"/>
        <v>0</v>
      </c>
      <c r="AQ136" s="167">
        <f t="shared" si="24"/>
        <v>0</v>
      </c>
      <c r="AR136" s="160">
        <f t="shared" si="4"/>
        <v>0</v>
      </c>
      <c r="AS136" s="168">
        <f t="shared" si="5"/>
        <v>0</v>
      </c>
      <c r="AT136" s="169" t="str">
        <f>K136</f>
        <v>CFTV</v>
      </c>
      <c r="AU136" s="169" t="str">
        <f>I136</f>
        <v>Mercadorias</v>
      </c>
      <c r="AV136" s="170"/>
      <c r="AW136" s="171">
        <f>IF(K136=$K$50,0,IF(K136=$K$53,0,IF(K136=$K$54,0,IF(K136=$K$55,0,IF(K136=$K$56,0,IF(K136=$K$57,0,IF(K136=$K$58,0,IF(K136=$K$65,0,IF(K136=$K$66,0,IF(K136=$K$67,0,IF(K136=$K$68,0,IF(K136=$K$69,0,IF(K136=$K$51,0,1))))))))))))*AM136*AI136)</f>
        <v>0</v>
      </c>
      <c r="AX136" s="172">
        <f>IF(K136=$K$50,0,IF(K136=$K$53,0,IF(K136=$K$54,0,IF(K136=$K$55,0,IF(K136=$K$56,0,IF(K136=$K$57,0,IF(K136=$K$58,0,IF(K136=$K$65,0,IF(K136=$K$66,0,IF(K136=$K$67,0,IF(K136=$K$68,0,IF(K136=$K$69,0,IF(K136=$K$51,0,1))))))))))))*AM136*AJ136*$AX$94)</f>
        <v>0</v>
      </c>
      <c r="AY136" s="172">
        <f>IF(K136=$K$53,0,IF(K136=$K$54,0,IF(K136=$K$55,0,IF(K136=$K$56,0,IF(K136=$K$58,0,IF(K136=$K$50,0,IF(K136=$K$65,0,IF(K136=$K$57,0,IF(K136=$K$51,0,AM136*$AY$102)))))))))</f>
        <v>0</v>
      </c>
      <c r="AZ136" s="172">
        <f>IF(K136=$K$53,0,IF(K136=$K$54,0,IF(K136=$K$55,0,IF(K136=$K$56,0,IF(K136=$K$58,0,IF(K136=$K$50,0,IF(K136=$K$65,0,IF(K136=$K$57,0,IF(K136=$K$51,0,AM136*$AZ$102)))))))))</f>
        <v>0</v>
      </c>
      <c r="BA136" s="172">
        <f t="shared" si="6"/>
        <v>0</v>
      </c>
      <c r="BB136" s="173">
        <f>IF($BA$97=1,AQ136*$BB$102,IF(K136=$K$50,0,IF(K136=$K$53,0,IF(K136=$K$54,0,IF(K136=$K$55,0,IF(K136=$K$56,0,IF(K136=$K$57,0,IF(K136=$K$58,0,IF(K136=$K$65,0,IF(K136=$K$66,0,IF(K136=$K$67,0,IF(K136=$K$68,0,IF(K136=$K$69,0,IF(K136=$K$51,0,1)))))))))))*AQ136*$BB$102)))</f>
        <v>0</v>
      </c>
      <c r="BC136" s="172">
        <f t="shared" si="7"/>
        <v>0</v>
      </c>
      <c r="BD136" s="172">
        <f t="shared" si="8"/>
        <v>0</v>
      </c>
      <c r="BE136" s="172">
        <f>IF($BE$95=I136,$BE$97,IF(I136=$BE$96,$BE$97,1))*($BE$102*AQ136)*$AZ$97</f>
        <v>0</v>
      </c>
      <c r="BF136" s="172">
        <f>IF('[1]Cockpit Retorno'!$C$65=Sim,Mestre!BA136,SUM(BB136:BE136)+(IF(K136=$K$56,AQ136*MOE_IRRF_LR,0)))</f>
        <v>0</v>
      </c>
      <c r="BG136" s="174">
        <f>IF(AA136&gt;0,0,IF(Z136=$Z$82,AG136*1,(IF(Z136=$Z$81,AG136*1,0))))</f>
        <v>0</v>
      </c>
      <c r="BH136" s="174">
        <f>IF(AA136&gt;0,0,IF(Z136=$Z$83,AG136*1,IF(Z136=$Z$81,AG136*1,0)))</f>
        <v>0</v>
      </c>
      <c r="BI136" s="174">
        <f>IF(AA136&gt;0,0,IF(Z136=$Z$84,AG136*1,IF(Z136=$Z$93,AG136*2,IF(Z136=$Z$100,AG136,IF(Z136=$Z$81,AG136*2,IF(Z136=$Z$80,AG136*1,IF(Z136=$Z$79,AG136*3,IF(Z136=$Z$78,AG136*2,0))))))))</f>
        <v>0</v>
      </c>
      <c r="BJ136" s="174">
        <f>IF(AA136&gt;0,0,IF(Z136=$Z$85,AG136,IF(Z136=$Z$93,AG136,IF(Z136=$Z$100,AG136,IF(Z136=$Z$81,AG136*1,IF(Z136=$Z$80,AG136*2,IF(Z136=$Z$79,AG136*2,IF(Z136=$Z$78,AG136*2,0))))))))</f>
        <v>0</v>
      </c>
      <c r="BK136" s="174">
        <f>IF(AA136&gt;0,0,IF(Z136=$Z$92,AG136,0))</f>
        <v>0</v>
      </c>
      <c r="BL136" s="174">
        <f>IF(AA136&gt;0,0,IF(Z136=$Z$91,AG136,0))</f>
        <v>0</v>
      </c>
      <c r="BM136" s="174">
        <f>IF(AA136&gt;0,0,IF(Z136=$Z$86,AG136,0))</f>
        <v>0</v>
      </c>
      <c r="BN136" s="174">
        <f>IF(AA136&gt;0,0,IF(Z136=$Z$87,AG136,0))</f>
        <v>0</v>
      </c>
      <c r="BO136" s="174">
        <f>IF(AA136&gt;0,0,IF(Z136=$Z$88,AG136,0))</f>
        <v>0</v>
      </c>
      <c r="BP136" s="174">
        <f>IF(AA136&gt;0,0,IF(Z136=$Z$89,AG136,0))</f>
        <v>0</v>
      </c>
      <c r="BQ136" s="174">
        <f>IF(AA136&gt;0,0,IF(Z136=$Z$90,AG136,0))</f>
        <v>0</v>
      </c>
      <c r="BR136" s="174">
        <f>IF(Z136=$Z$82,AA136*AG136,0)</f>
        <v>0</v>
      </c>
      <c r="BS136" s="174">
        <f>IF(Z136=$Z$83,AA136*AG136,0)</f>
        <v>0</v>
      </c>
      <c r="BT136" s="174">
        <f>IF(AA136&lt;1,0,IF(Z136=$Z$84,AA136*AG136,IF(Z136=$Z$93,"ERRO",IF(Z136=$Z$100,"ERRO",0))))</f>
        <v>0</v>
      </c>
      <c r="BU136" s="174">
        <f>IF(AA136&lt;1,0,IF(Z136=$Z$85,AA136*AG136,IF(Z136=$Z$93,"ERRO",IF(Z136=$Z$100,"ERRO",0))))</f>
        <v>0</v>
      </c>
      <c r="BV136" s="174">
        <f>IF(Z136=$Z$92,AA136*AG136,0)</f>
        <v>0</v>
      </c>
      <c r="BW136" s="174">
        <f>IF(Z136=$Z$91,AA136*AG136,0)</f>
        <v>0</v>
      </c>
      <c r="BX136" s="174">
        <f>IF(Z136=$Z$86,AA136*AG136,0)</f>
        <v>0</v>
      </c>
      <c r="BY136" s="174">
        <f>IF(Z136=$Z$87,AA136*AG136,0)</f>
        <v>0</v>
      </c>
      <c r="BZ136" s="174">
        <f>IF(Z136=$Z$88,AA136*AG136,0)</f>
        <v>0</v>
      </c>
      <c r="CA136" s="174">
        <f>IF(Z136=$Z$89,AA136*AG136,0)</f>
        <v>0</v>
      </c>
      <c r="CB136" s="174">
        <f>IF(Z136=$Z$90,AA136*AG136,0)</f>
        <v>0</v>
      </c>
      <c r="CC136" s="175">
        <f>IFERROR(IF(L136=$L$49,AG136*AH136*(1+AI136)*(1-AK136)*(1-AL136),0),0)</f>
        <v>0</v>
      </c>
      <c r="CD136" s="203">
        <f>IF(I136=$CD$97,1,IF(I136=$CD$100,2,IF(K136=$K$66,1,IF(K136=$K$69,1,3))))</f>
        <v>1</v>
      </c>
      <c r="CE136" s="203">
        <f t="shared" si="14"/>
        <v>1.07</v>
      </c>
      <c r="CF136" s="204">
        <f t="shared" si="9"/>
        <v>1.2353999999999998</v>
      </c>
      <c r="CG136" s="203">
        <f t="shared" si="15"/>
        <v>1.42</v>
      </c>
      <c r="CH136" s="204">
        <f t="shared" si="10"/>
        <v>1.5478000000000001</v>
      </c>
      <c r="CI136" s="203">
        <f t="shared" si="16"/>
        <v>1.7</v>
      </c>
      <c r="CJ136" s="205">
        <f t="shared" si="17"/>
        <v>1.0486</v>
      </c>
      <c r="CK136" s="205">
        <f t="shared" si="18"/>
        <v>1.148922</v>
      </c>
      <c r="CL136" s="205">
        <f t="shared" si="19"/>
        <v>1.3915999999999999</v>
      </c>
      <c r="CM136" s="205">
        <f t="shared" si="20"/>
        <v>1.501366</v>
      </c>
      <c r="CN136" s="206">
        <f t="shared" si="21"/>
        <v>1.6319999999999999</v>
      </c>
      <c r="CO136" s="204">
        <f t="shared" ref="CO136:CO199" si="25">CJ136*$CO$102</f>
        <v>1.006656</v>
      </c>
      <c r="CP136" s="207">
        <f t="shared" si="11"/>
        <v>0</v>
      </c>
      <c r="CQ136" s="208">
        <f t="shared" si="12"/>
        <v>0</v>
      </c>
      <c r="CR136" s="209">
        <f t="shared" si="13"/>
        <v>0</v>
      </c>
      <c r="CS136" s="49"/>
      <c r="CT136" s="49"/>
      <c r="CU136" s="49"/>
      <c r="CV136" s="49"/>
      <c r="CW136" s="49"/>
      <c r="CX136" s="49"/>
      <c r="CY136" s="49"/>
      <c r="CZ136" s="49"/>
      <c r="DA136" s="49"/>
      <c r="DB136" s="49"/>
      <c r="DC136" s="49"/>
      <c r="DD136" s="49"/>
      <c r="DE136" s="49"/>
      <c r="DF136" s="49"/>
      <c r="DG136" s="49"/>
      <c r="DH136" s="49"/>
      <c r="DI136" s="49"/>
      <c r="DJ136" s="49"/>
      <c r="DK136" s="49"/>
      <c r="DL136" s="49"/>
      <c r="DM136" s="49"/>
      <c r="DN136" s="49"/>
      <c r="DO136" s="49"/>
      <c r="DP136" s="49"/>
      <c r="DQ136" s="49"/>
      <c r="DR136" s="49"/>
      <c r="DS136" s="49"/>
      <c r="DT136" s="49"/>
      <c r="DU136" s="49"/>
      <c r="DV136" s="49"/>
      <c r="DW136" s="49"/>
      <c r="DX136" s="49"/>
      <c r="DY136" s="49"/>
      <c r="DZ136" s="49"/>
      <c r="EA136" s="49"/>
      <c r="EB136" s="49"/>
      <c r="EC136" s="49"/>
      <c r="ED136" s="49"/>
      <c r="EE136" s="49"/>
      <c r="EF136" s="49"/>
      <c r="EG136" s="49"/>
      <c r="EH136" s="49"/>
      <c r="EI136" s="49"/>
      <c r="EJ136" s="49"/>
      <c r="EK136" s="49"/>
      <c r="EL136" s="49"/>
      <c r="EM136" s="49"/>
      <c r="EN136" s="49"/>
      <c r="EO136" s="49"/>
      <c r="EP136" s="49"/>
      <c r="EQ136" s="49"/>
      <c r="ER136" s="49"/>
      <c r="ES136" s="49"/>
      <c r="ET136" s="49"/>
      <c r="EU136" s="49"/>
      <c r="EV136" s="49"/>
      <c r="EW136" s="49"/>
      <c r="EX136" s="49"/>
      <c r="EY136" s="49"/>
      <c r="EZ136" s="49"/>
      <c r="FA136" s="49"/>
    </row>
    <row r="137" spans="1:157" s="210" customFormat="1" ht="51" x14ac:dyDescent="0.25">
      <c r="A137" s="113">
        <f>IF(AND('[1]Cockpit Retorno'!$E$67=Sim,Mestre!M137=Mestre!$M$98),0,1)</f>
        <v>1</v>
      </c>
      <c r="B137" s="113">
        <f>IF(AND('[1]Cockpit Retorno'!$E$67=Sim,Mestre!L137=Mestre!$L$48),0,1)</f>
        <v>1</v>
      </c>
      <c r="C137" s="113">
        <f>IF(AND('[1]Cockpit Retorno'!$E$67=Sim,Mestre!M137=Mestre!$M$97),0,1)</f>
        <v>1</v>
      </c>
      <c r="D137" s="148" t="s">
        <v>7</v>
      </c>
      <c r="E137" s="115"/>
      <c r="F137" s="116" t="s">
        <v>107</v>
      </c>
      <c r="G137" s="149">
        <v>8</v>
      </c>
      <c r="H137" s="150" t="s">
        <v>7</v>
      </c>
      <c r="I137" s="151" t="str">
        <f t="shared" si="1"/>
        <v>Mercadorias</v>
      </c>
      <c r="J137" s="150" t="s">
        <v>15</v>
      </c>
      <c r="K137" s="152" t="s">
        <v>7</v>
      </c>
      <c r="L137" s="153" t="s">
        <v>21</v>
      </c>
      <c r="M137" s="154" t="s">
        <v>290</v>
      </c>
      <c r="N137" s="155" t="s">
        <v>291</v>
      </c>
      <c r="O137" s="155" t="s">
        <v>292</v>
      </c>
      <c r="P137" s="155" t="s">
        <v>43</v>
      </c>
      <c r="Q137" s="155" t="s">
        <v>43</v>
      </c>
      <c r="R137" s="155" t="s">
        <v>43</v>
      </c>
      <c r="S137" s="156" t="s">
        <v>43</v>
      </c>
      <c r="T137" s="156" t="s">
        <v>43</v>
      </c>
      <c r="U137" s="150" t="s">
        <v>43</v>
      </c>
      <c r="V137" s="150" t="s">
        <v>43</v>
      </c>
      <c r="W137" s="150" t="s">
        <v>43</v>
      </c>
      <c r="X137" s="157" t="s">
        <v>293</v>
      </c>
      <c r="Y137" s="150" t="s">
        <v>43</v>
      </c>
      <c r="Z137" s="150" t="s">
        <v>43</v>
      </c>
      <c r="AA137" s="158">
        <v>0</v>
      </c>
      <c r="AB137" s="155" t="s">
        <v>43</v>
      </c>
      <c r="AC137" s="150" t="s">
        <v>43</v>
      </c>
      <c r="AD137" s="155" t="s">
        <v>43</v>
      </c>
      <c r="AE137" s="155"/>
      <c r="AF137" s="150" t="s">
        <v>43</v>
      </c>
      <c r="AG137" s="159">
        <v>90</v>
      </c>
      <c r="AH137" s="159">
        <v>144.16860000000003</v>
      </c>
      <c r="AI137" s="202">
        <v>0</v>
      </c>
      <c r="AJ137" s="161">
        <v>7.0000000000000007E-2</v>
      </c>
      <c r="AK137" s="162">
        <v>0.05</v>
      </c>
      <c r="AL137" s="163"/>
      <c r="AM137" s="164">
        <f>(((IF(L137=$L$101,1,IF(L137=$L$47,1,0))*(AH137*(1-AK137)))*AG137)*(1-AL137))</f>
        <v>0</v>
      </c>
      <c r="AN137" s="165">
        <f>IF(K137=$K$50,AM137,IF(K137=$K$53,AM137,IF(K137=$K$54,AM137,IF(K137=$K$55,AM137,IF(K137=$K$56,AM137,IF(K137=$K$57,AM137,IF(K137=$K$58,AM137,IF(K137=$K$65,AM137,IF(K137=$K$66,AM137,IF(K137=$K$67,AM137,IF(K137=$K$68,AM137,IF(K137=$K$69,AM137,IF(K137=$K$51,AM137,(AM137*(1+AI137)))))))))))))))</f>
        <v>0</v>
      </c>
      <c r="AO137" s="166">
        <v>1.4</v>
      </c>
      <c r="AP137" s="160">
        <f t="shared" si="2"/>
        <v>0</v>
      </c>
      <c r="AQ137" s="167">
        <f t="shared" si="24"/>
        <v>0</v>
      </c>
      <c r="AR137" s="160">
        <f t="shared" si="4"/>
        <v>0</v>
      </c>
      <c r="AS137" s="168">
        <f t="shared" si="5"/>
        <v>0</v>
      </c>
      <c r="AT137" s="169" t="str">
        <f>K137</f>
        <v>MI</v>
      </c>
      <c r="AU137" s="169" t="str">
        <f>I137</f>
        <v>Mercadorias</v>
      </c>
      <c r="AV137" s="170"/>
      <c r="AW137" s="171">
        <f>IF(K137=$K$50,0,IF(K137=$K$53,0,IF(K137=$K$54,0,IF(K137=$K$55,0,IF(K137=$K$56,0,IF(K137=$K$57,0,IF(K137=$K$58,0,IF(K137=$K$65,0,IF(K137=$K$66,0,IF(K137=$K$67,0,IF(K137=$K$68,0,IF(K137=$K$69,0,IF(K137=$K$51,0,1))))))))))))*AM137*AI137)</f>
        <v>0</v>
      </c>
      <c r="AX137" s="172">
        <f>IF(K137=$K$50,0,IF(K137=$K$53,0,IF(K137=$K$54,0,IF(K137=$K$55,0,IF(K137=$K$56,0,IF(K137=$K$57,0,IF(K137=$K$58,0,IF(K137=$K$65,0,IF(K137=$K$66,0,IF(K137=$K$67,0,IF(K137=$K$68,0,IF(K137=$K$69,0,IF(K137=$K$51,0,1))))))))))))*AM137*AJ137*$AX$94)</f>
        <v>0</v>
      </c>
      <c r="AY137" s="172">
        <f>IF(K137=$K$53,0,IF(K137=$K$54,0,IF(K137=$K$55,0,IF(K137=$K$56,0,IF(K137=$K$58,0,IF(K137=$K$50,0,IF(K137=$K$65,0,IF(K137=$K$57,0,IF(K137=$K$51,0,AM137*$AY$102)))))))))</f>
        <v>0</v>
      </c>
      <c r="AZ137" s="172">
        <f>IF(K137=$K$53,0,IF(K137=$K$54,0,IF(K137=$K$55,0,IF(K137=$K$56,0,IF(K137=$K$58,0,IF(K137=$K$50,0,IF(K137=$K$65,0,IF(K137=$K$57,0,IF(K137=$K$51,0,AM137*$AZ$102)))))))))</f>
        <v>0</v>
      </c>
      <c r="BA137" s="172">
        <f t="shared" si="6"/>
        <v>0</v>
      </c>
      <c r="BB137" s="173">
        <f>IF($BA$97=1,AQ137*$BB$102,IF(K137=$K$50,0,IF(K137=$K$53,0,IF(K137=$K$54,0,IF(K137=$K$55,0,IF(K137=$K$56,0,IF(K137=$K$57,0,IF(K137=$K$58,0,IF(K137=$K$65,0,IF(K137=$K$66,0,IF(K137=$K$67,0,IF(K137=$K$68,0,IF(K137=$K$69,0,IF(K137=$K$51,0,1)))))))))))*AQ137*$BB$102)))</f>
        <v>0</v>
      </c>
      <c r="BC137" s="172">
        <f t="shared" si="7"/>
        <v>0</v>
      </c>
      <c r="BD137" s="172">
        <f t="shared" si="8"/>
        <v>0</v>
      </c>
      <c r="BE137" s="172">
        <f>IF($BE$95=I137,$BE$97,IF(I137=$BE$96,$BE$97,1))*($BE$102*AQ137)*$AZ$97</f>
        <v>0</v>
      </c>
      <c r="BF137" s="172">
        <f>IF('[1]Cockpit Retorno'!$C$65=Sim,Mestre!BA137,SUM(BB137:BE137)+(IF(K137=$K$56,AQ137*MOE_IRRF_LR,0)))</f>
        <v>0</v>
      </c>
      <c r="BG137" s="174">
        <f>IF(AA137&gt;0,0,IF(Z137=$Z$82,AG137*1,(IF(Z137=$Z$81,AG137*1,0))))</f>
        <v>0</v>
      </c>
      <c r="BH137" s="174">
        <f>IF(AA137&gt;0,0,IF(Z137=$Z$83,AG137*1,IF(Z137=$Z$81,AG137*1,0)))</f>
        <v>0</v>
      </c>
      <c r="BI137" s="174">
        <f>IF(AA137&gt;0,0,IF(Z137=$Z$84,AG137*1,IF(Z137=$Z$93,AG137*2,IF(Z137=$Z$100,AG137,IF(Z137=$Z$81,AG137*2,IF(Z137=$Z$80,AG137*1,IF(Z137=$Z$79,AG137*3,IF(Z137=$Z$78,AG137*2,0))))))))</f>
        <v>0</v>
      </c>
      <c r="BJ137" s="174">
        <f>IF(AA137&gt;0,0,IF(Z137=$Z$85,AG137,IF(Z137=$Z$93,AG137,IF(Z137=$Z$100,AG137,IF(Z137=$Z$81,AG137*1,IF(Z137=$Z$80,AG137*2,IF(Z137=$Z$79,AG137*2,IF(Z137=$Z$78,AG137*2,0))))))))</f>
        <v>0</v>
      </c>
      <c r="BK137" s="174">
        <f>IF(AA137&gt;0,0,IF(Z137=$Z$92,AG137,0))</f>
        <v>0</v>
      </c>
      <c r="BL137" s="174">
        <f>IF(AA137&gt;0,0,IF(Z137=$Z$91,AG137,0))</f>
        <v>0</v>
      </c>
      <c r="BM137" s="174">
        <f>IF(AA137&gt;0,0,IF(Z137=$Z$86,AG137,0))</f>
        <v>0</v>
      </c>
      <c r="BN137" s="174">
        <f>IF(AA137&gt;0,0,IF(Z137=$Z$87,AG137,0))</f>
        <v>0</v>
      </c>
      <c r="BO137" s="174">
        <f>IF(AA137&gt;0,0,IF(Z137=$Z$88,AG137,0))</f>
        <v>0</v>
      </c>
      <c r="BP137" s="174">
        <f>IF(AA137&gt;0,0,IF(Z137=$Z$89,AG137,0))</f>
        <v>0</v>
      </c>
      <c r="BQ137" s="174">
        <f>IF(AA137&gt;0,0,IF(Z137=$Z$90,AG137,0))</f>
        <v>0</v>
      </c>
      <c r="BR137" s="174">
        <f>IF(Z137=$Z$82,AA137*AG137,0)</f>
        <v>0</v>
      </c>
      <c r="BS137" s="174">
        <f>IF(Z137=$Z$83,AA137*AG137,0)</f>
        <v>0</v>
      </c>
      <c r="BT137" s="174">
        <f>IF(AA137&lt;1,0,IF(Z137=$Z$84,AA137*AG137,IF(Z137=$Z$93,"ERRO",IF(Z137=$Z$100,"ERRO",0))))</f>
        <v>0</v>
      </c>
      <c r="BU137" s="174">
        <f>IF(AA137&lt;1,0,IF(Z137=$Z$85,AA137*AG137,IF(Z137=$Z$93,"ERRO",IF(Z137=$Z$100,"ERRO",0))))</f>
        <v>0</v>
      </c>
      <c r="BV137" s="174">
        <f>IF(Z137=$Z$92,AA137*AG137,0)</f>
        <v>0</v>
      </c>
      <c r="BW137" s="174">
        <f>IF(Z137=$Z$91,AA137*AG137,0)</f>
        <v>0</v>
      </c>
      <c r="BX137" s="174">
        <f>IF(Z137=$Z$86,AA137*AG137,0)</f>
        <v>0</v>
      </c>
      <c r="BY137" s="174">
        <f>IF(Z137=$Z$87,AA137*AG137,0)</f>
        <v>0</v>
      </c>
      <c r="BZ137" s="174">
        <f>IF(Z137=$Z$88,AA137*AG137,0)</f>
        <v>0</v>
      </c>
      <c r="CA137" s="174">
        <f>IF(Z137=$Z$89,AA137*AG137,0)</f>
        <v>0</v>
      </c>
      <c r="CB137" s="174">
        <f>IF(Z137=$Z$90,AA137*AG137,0)</f>
        <v>0</v>
      </c>
      <c r="CC137" s="175">
        <f>IFERROR(IF(L137=$L$49,AG137*AH137*(1+AI137)*(1-AK137)*(1-AL137),0),0)</f>
        <v>12326.415300000002</v>
      </c>
      <c r="CD137" s="203">
        <f>IF(I137=$CD$97,1,IF(I137=$CD$100,2,IF(K137=$K$66,1,IF(K137=$K$69,1,3))))</f>
        <v>1</v>
      </c>
      <c r="CE137" s="203">
        <f t="shared" si="14"/>
        <v>1.07</v>
      </c>
      <c r="CF137" s="204">
        <f t="shared" si="9"/>
        <v>1.2353999999999998</v>
      </c>
      <c r="CG137" s="203">
        <f t="shared" si="15"/>
        <v>1.42</v>
      </c>
      <c r="CH137" s="204">
        <f t="shared" si="10"/>
        <v>1.5478000000000001</v>
      </c>
      <c r="CI137" s="203">
        <f t="shared" si="16"/>
        <v>1.7</v>
      </c>
      <c r="CJ137" s="205">
        <f t="shared" si="17"/>
        <v>1.0486</v>
      </c>
      <c r="CK137" s="205">
        <f t="shared" si="18"/>
        <v>1.148922</v>
      </c>
      <c r="CL137" s="205">
        <f t="shared" si="19"/>
        <v>1.3915999999999999</v>
      </c>
      <c r="CM137" s="205">
        <f t="shared" si="20"/>
        <v>1.501366</v>
      </c>
      <c r="CN137" s="206">
        <f t="shared" si="21"/>
        <v>1.6319999999999999</v>
      </c>
      <c r="CO137" s="204">
        <f t="shared" si="25"/>
        <v>1.006656</v>
      </c>
      <c r="CP137" s="207">
        <f t="shared" si="11"/>
        <v>0</v>
      </c>
      <c r="CQ137" s="208">
        <f t="shared" si="12"/>
        <v>0</v>
      </c>
      <c r="CR137" s="209">
        <f t="shared" si="13"/>
        <v>0</v>
      </c>
      <c r="CS137" s="49"/>
      <c r="CT137" s="49"/>
      <c r="CU137" s="49"/>
      <c r="CV137" s="49"/>
      <c r="CW137" s="49"/>
      <c r="CX137" s="49"/>
      <c r="CY137" s="49"/>
      <c r="CZ137" s="49"/>
      <c r="DA137" s="49"/>
      <c r="DB137" s="49"/>
      <c r="DC137" s="49"/>
      <c r="DD137" s="49"/>
      <c r="DE137" s="49"/>
      <c r="DF137" s="49"/>
      <c r="DG137" s="49"/>
      <c r="DH137" s="49"/>
      <c r="DI137" s="49"/>
      <c r="DJ137" s="49"/>
      <c r="DK137" s="49"/>
      <c r="DL137" s="49"/>
      <c r="DM137" s="49"/>
      <c r="DN137" s="49"/>
      <c r="DO137" s="49"/>
      <c r="DP137" s="49"/>
      <c r="DQ137" s="49"/>
      <c r="DR137" s="49"/>
      <c r="DS137" s="49"/>
      <c r="DT137" s="49"/>
      <c r="DU137" s="49"/>
      <c r="DV137" s="49"/>
      <c r="DW137" s="49"/>
      <c r="DX137" s="49"/>
      <c r="DY137" s="49"/>
      <c r="DZ137" s="49"/>
      <c r="EA137" s="49"/>
      <c r="EB137" s="49"/>
      <c r="EC137" s="49"/>
      <c r="ED137" s="49"/>
      <c r="EE137" s="49"/>
      <c r="EF137" s="49"/>
      <c r="EG137" s="49"/>
      <c r="EH137" s="49"/>
      <c r="EI137" s="49"/>
      <c r="EJ137" s="49"/>
      <c r="EK137" s="49"/>
      <c r="EL137" s="49"/>
      <c r="EM137" s="49"/>
      <c r="EN137" s="49"/>
      <c r="EO137" s="49"/>
      <c r="EP137" s="49"/>
      <c r="EQ137" s="49"/>
      <c r="ER137" s="49"/>
      <c r="ES137" s="49"/>
      <c r="ET137" s="49"/>
      <c r="EU137" s="49"/>
      <c r="EV137" s="49"/>
      <c r="EW137" s="49"/>
      <c r="EX137" s="49"/>
      <c r="EY137" s="49"/>
      <c r="EZ137" s="49"/>
      <c r="FA137" s="49"/>
    </row>
    <row r="138" spans="1:157" s="210" customFormat="1" ht="51" x14ac:dyDescent="0.25">
      <c r="A138" s="113">
        <f>IF(AND('[1]Cockpit Retorno'!$E$67=Sim,Mestre!M138=Mestre!$M$98),0,1)</f>
        <v>1</v>
      </c>
      <c r="B138" s="113">
        <f>IF(AND('[1]Cockpit Retorno'!$E$67=Sim,Mestre!L138=Mestre!$L$48),0,1)</f>
        <v>1</v>
      </c>
      <c r="C138" s="113">
        <f>IF(AND('[1]Cockpit Retorno'!$E$67=Sim,Mestre!M138=Mestre!$M$97),0,1)</f>
        <v>1</v>
      </c>
      <c r="D138" s="148" t="s">
        <v>7</v>
      </c>
      <c r="E138" s="115"/>
      <c r="F138" s="116" t="s">
        <v>107</v>
      </c>
      <c r="G138" s="149">
        <v>9</v>
      </c>
      <c r="H138" s="150" t="s">
        <v>7</v>
      </c>
      <c r="I138" s="151" t="str">
        <f t="shared" si="1"/>
        <v>Mercadorias</v>
      </c>
      <c r="J138" s="150" t="s">
        <v>15</v>
      </c>
      <c r="K138" s="152" t="s">
        <v>7</v>
      </c>
      <c r="L138" s="153" t="s">
        <v>21</v>
      </c>
      <c r="M138" s="154" t="s">
        <v>290</v>
      </c>
      <c r="N138" s="155" t="s">
        <v>291</v>
      </c>
      <c r="O138" s="155" t="s">
        <v>292</v>
      </c>
      <c r="P138" s="155" t="s">
        <v>43</v>
      </c>
      <c r="Q138" s="155" t="s">
        <v>43</v>
      </c>
      <c r="R138" s="155" t="s">
        <v>43</v>
      </c>
      <c r="S138" s="156" t="s">
        <v>43</v>
      </c>
      <c r="T138" s="156" t="s">
        <v>43</v>
      </c>
      <c r="U138" s="150" t="s">
        <v>43</v>
      </c>
      <c r="V138" s="150" t="s">
        <v>43</v>
      </c>
      <c r="W138" s="150" t="s">
        <v>43</v>
      </c>
      <c r="X138" s="157" t="s">
        <v>294</v>
      </c>
      <c r="Y138" s="150" t="s">
        <v>43</v>
      </c>
      <c r="Z138" s="150" t="s">
        <v>43</v>
      </c>
      <c r="AA138" s="158">
        <v>0</v>
      </c>
      <c r="AB138" s="155" t="s">
        <v>43</v>
      </c>
      <c r="AC138" s="150" t="s">
        <v>43</v>
      </c>
      <c r="AD138" s="155" t="s">
        <v>43</v>
      </c>
      <c r="AE138" s="155"/>
      <c r="AF138" s="150" t="s">
        <v>43</v>
      </c>
      <c r="AG138" s="159">
        <v>130</v>
      </c>
      <c r="AH138" s="159">
        <v>144.16860000000003</v>
      </c>
      <c r="AI138" s="202">
        <v>0</v>
      </c>
      <c r="AJ138" s="161">
        <v>7.0000000000000007E-2</v>
      </c>
      <c r="AK138" s="162">
        <v>0.05</v>
      </c>
      <c r="AL138" s="163"/>
      <c r="AM138" s="164">
        <f>(((IF(L138=$L$101,1,IF(L138=$L$47,1,0))*(AH138*(1-AK138)))*AG138)*(1-AL138))</f>
        <v>0</v>
      </c>
      <c r="AN138" s="165">
        <f>IF(K138=$K$50,AM138,IF(K138=$K$53,AM138,IF(K138=$K$54,AM138,IF(K138=$K$55,AM138,IF(K138=$K$56,AM138,IF(K138=$K$57,AM138,IF(K138=$K$58,AM138,IF(K138=$K$65,AM138,IF(K138=$K$66,AM138,IF(K138=$K$67,AM138,IF(K138=$K$68,AM138,IF(K138=$K$69,AM138,IF(K138=$K$51,AM138,(AM138*(1+AI138)))))))))))))))</f>
        <v>0</v>
      </c>
      <c r="AO138" s="166">
        <v>1.4</v>
      </c>
      <c r="AP138" s="160">
        <f t="shared" si="2"/>
        <v>0</v>
      </c>
      <c r="AQ138" s="167">
        <f t="shared" si="24"/>
        <v>0</v>
      </c>
      <c r="AR138" s="160">
        <f t="shared" si="4"/>
        <v>0</v>
      </c>
      <c r="AS138" s="168">
        <f t="shared" si="5"/>
        <v>0</v>
      </c>
      <c r="AT138" s="169" t="str">
        <f>K138</f>
        <v>MI</v>
      </c>
      <c r="AU138" s="169" t="str">
        <f>I138</f>
        <v>Mercadorias</v>
      </c>
      <c r="AV138" s="170"/>
      <c r="AW138" s="171">
        <f>IF(K138=$K$50,0,IF(K138=$K$53,0,IF(K138=$K$54,0,IF(K138=$K$55,0,IF(K138=$K$56,0,IF(K138=$K$57,0,IF(K138=$K$58,0,IF(K138=$K$65,0,IF(K138=$K$66,0,IF(K138=$K$67,0,IF(K138=$K$68,0,IF(K138=$K$69,0,IF(K138=$K$51,0,1))))))))))))*AM138*AI138)</f>
        <v>0</v>
      </c>
      <c r="AX138" s="172">
        <f>IF(K138=$K$50,0,IF(K138=$K$53,0,IF(K138=$K$54,0,IF(K138=$K$55,0,IF(K138=$K$56,0,IF(K138=$K$57,0,IF(K138=$K$58,0,IF(K138=$K$65,0,IF(K138=$K$66,0,IF(K138=$K$67,0,IF(K138=$K$68,0,IF(K138=$K$69,0,IF(K138=$K$51,0,1))))))))))))*AM138*AJ138*$AX$94)</f>
        <v>0</v>
      </c>
      <c r="AY138" s="172">
        <f>IF(K138=$K$53,0,IF(K138=$K$54,0,IF(K138=$K$55,0,IF(K138=$K$56,0,IF(K138=$K$58,0,IF(K138=$K$50,0,IF(K138=$K$65,0,IF(K138=$K$57,0,IF(K138=$K$51,0,AM138*$AY$102)))))))))</f>
        <v>0</v>
      </c>
      <c r="AZ138" s="172">
        <f>IF(K138=$K$53,0,IF(K138=$K$54,0,IF(K138=$K$55,0,IF(K138=$K$56,0,IF(K138=$K$58,0,IF(K138=$K$50,0,IF(K138=$K$65,0,IF(K138=$K$57,0,IF(K138=$K$51,0,AM138*$AZ$102)))))))))</f>
        <v>0</v>
      </c>
      <c r="BA138" s="172">
        <f t="shared" si="6"/>
        <v>0</v>
      </c>
      <c r="BB138" s="173">
        <f>IF($BA$97=1,AQ138*$BB$102,IF(K138=$K$50,0,IF(K138=$K$53,0,IF(K138=$K$54,0,IF(K138=$K$55,0,IF(K138=$K$56,0,IF(K138=$K$57,0,IF(K138=$K$58,0,IF(K138=$K$65,0,IF(K138=$K$66,0,IF(K138=$K$67,0,IF(K138=$K$68,0,IF(K138=$K$69,0,IF(K138=$K$51,0,1)))))))))))*AQ138*$BB$102)))</f>
        <v>0</v>
      </c>
      <c r="BC138" s="172">
        <f t="shared" si="7"/>
        <v>0</v>
      </c>
      <c r="BD138" s="172">
        <f t="shared" si="8"/>
        <v>0</v>
      </c>
      <c r="BE138" s="172">
        <f>IF($BE$95=I138,$BE$97,IF(I138=$BE$96,$BE$97,1))*($BE$102*AQ138)*$AZ$97</f>
        <v>0</v>
      </c>
      <c r="BF138" s="172">
        <f>IF('[1]Cockpit Retorno'!$C$65=Sim,Mestre!BA138,SUM(BB138:BE138)+(IF(K138=$K$56,AQ138*MOE_IRRF_LR,0)))</f>
        <v>0</v>
      </c>
      <c r="BG138" s="174">
        <f>IF(AA138&gt;0,0,IF(Z138=$Z$82,AG138*1,(IF(Z138=$Z$81,AG138*1,0))))</f>
        <v>0</v>
      </c>
      <c r="BH138" s="174">
        <f>IF(AA138&gt;0,0,IF(Z138=$Z$83,AG138*1,IF(Z138=$Z$81,AG138*1,0)))</f>
        <v>0</v>
      </c>
      <c r="BI138" s="174">
        <f>IF(AA138&gt;0,0,IF(Z138=$Z$84,AG138*1,IF(Z138=$Z$93,AG138*2,IF(Z138=$Z$100,AG138,IF(Z138=$Z$81,AG138*2,IF(Z138=$Z$80,AG138*1,IF(Z138=$Z$79,AG138*3,IF(Z138=$Z$78,AG138*2,0))))))))</f>
        <v>0</v>
      </c>
      <c r="BJ138" s="174">
        <f>IF(AA138&gt;0,0,IF(Z138=$Z$85,AG138,IF(Z138=$Z$93,AG138,IF(Z138=$Z$100,AG138,IF(Z138=$Z$81,AG138*1,IF(Z138=$Z$80,AG138*2,IF(Z138=$Z$79,AG138*2,IF(Z138=$Z$78,AG138*2,0))))))))</f>
        <v>0</v>
      </c>
      <c r="BK138" s="174">
        <f>IF(AA138&gt;0,0,IF(Z138=$Z$92,AG138,0))</f>
        <v>0</v>
      </c>
      <c r="BL138" s="174">
        <f>IF(AA138&gt;0,0,IF(Z138=$Z$91,AG138,0))</f>
        <v>0</v>
      </c>
      <c r="BM138" s="174">
        <f>IF(AA138&gt;0,0,IF(Z138=$Z$86,AG138,0))</f>
        <v>0</v>
      </c>
      <c r="BN138" s="174">
        <f>IF(AA138&gt;0,0,IF(Z138=$Z$87,AG138,0))</f>
        <v>0</v>
      </c>
      <c r="BO138" s="174">
        <f>IF(AA138&gt;0,0,IF(Z138=$Z$88,AG138,0))</f>
        <v>0</v>
      </c>
      <c r="BP138" s="174">
        <f>IF(AA138&gt;0,0,IF(Z138=$Z$89,AG138,0))</f>
        <v>0</v>
      </c>
      <c r="BQ138" s="174">
        <f>IF(AA138&gt;0,0,IF(Z138=$Z$90,AG138,0))</f>
        <v>0</v>
      </c>
      <c r="BR138" s="174">
        <f>IF(Z138=$Z$82,AA138*AG138,0)</f>
        <v>0</v>
      </c>
      <c r="BS138" s="174">
        <f>IF(Z138=$Z$83,AA138*AG138,0)</f>
        <v>0</v>
      </c>
      <c r="BT138" s="174">
        <f>IF(AA138&lt;1,0,IF(Z138=$Z$84,AA138*AG138,IF(Z138=$Z$93,"ERRO",IF(Z138=$Z$100,"ERRO",0))))</f>
        <v>0</v>
      </c>
      <c r="BU138" s="174">
        <f>IF(AA138&lt;1,0,IF(Z138=$Z$85,AA138*AG138,IF(Z138=$Z$93,"ERRO",IF(Z138=$Z$100,"ERRO",0))))</f>
        <v>0</v>
      </c>
      <c r="BV138" s="174">
        <f>IF(Z138=$Z$92,AA138*AG138,0)</f>
        <v>0</v>
      </c>
      <c r="BW138" s="174">
        <f>IF(Z138=$Z$91,AA138*AG138,0)</f>
        <v>0</v>
      </c>
      <c r="BX138" s="174">
        <f>IF(Z138=$Z$86,AA138*AG138,0)</f>
        <v>0</v>
      </c>
      <c r="BY138" s="174">
        <f>IF(Z138=$Z$87,AA138*AG138,0)</f>
        <v>0</v>
      </c>
      <c r="BZ138" s="174">
        <f>IF(Z138=$Z$88,AA138*AG138,0)</f>
        <v>0</v>
      </c>
      <c r="CA138" s="174">
        <f>IF(Z138=$Z$89,AA138*AG138,0)</f>
        <v>0</v>
      </c>
      <c r="CB138" s="174">
        <f>IF(Z138=$Z$90,AA138*AG138,0)</f>
        <v>0</v>
      </c>
      <c r="CC138" s="175">
        <f>IFERROR(IF(L138=$L$49,AG138*AH138*(1+AI138)*(1-AK138)*(1-AL138),0),0)</f>
        <v>17804.822100000005</v>
      </c>
      <c r="CD138" s="203">
        <f>IF(I138=$CD$97,1,IF(I138=$CD$100,2,IF(K138=$K$66,1,IF(K138=$K$69,1,3))))</f>
        <v>1</v>
      </c>
      <c r="CE138" s="203">
        <f t="shared" si="14"/>
        <v>1.07</v>
      </c>
      <c r="CF138" s="204">
        <f t="shared" si="9"/>
        <v>1.2353999999999998</v>
      </c>
      <c r="CG138" s="203">
        <f t="shared" si="15"/>
        <v>1.42</v>
      </c>
      <c r="CH138" s="204">
        <f t="shared" si="10"/>
        <v>1.5478000000000001</v>
      </c>
      <c r="CI138" s="203">
        <f t="shared" si="16"/>
        <v>1.7</v>
      </c>
      <c r="CJ138" s="205">
        <f t="shared" si="17"/>
        <v>1.0486</v>
      </c>
      <c r="CK138" s="205">
        <f t="shared" si="18"/>
        <v>1.148922</v>
      </c>
      <c r="CL138" s="205">
        <f t="shared" si="19"/>
        <v>1.3915999999999999</v>
      </c>
      <c r="CM138" s="205">
        <f t="shared" si="20"/>
        <v>1.501366</v>
      </c>
      <c r="CN138" s="206">
        <f t="shared" si="21"/>
        <v>1.6319999999999999</v>
      </c>
      <c r="CO138" s="204">
        <f t="shared" si="25"/>
        <v>1.006656</v>
      </c>
      <c r="CP138" s="207">
        <f t="shared" si="11"/>
        <v>0</v>
      </c>
      <c r="CQ138" s="208">
        <f t="shared" si="12"/>
        <v>0</v>
      </c>
      <c r="CR138" s="209">
        <f t="shared" si="13"/>
        <v>0</v>
      </c>
      <c r="CS138" s="49"/>
      <c r="CT138" s="49"/>
      <c r="CU138" s="49"/>
      <c r="CV138" s="49"/>
      <c r="CW138" s="49"/>
      <c r="CX138" s="49"/>
      <c r="CY138" s="49"/>
      <c r="CZ138" s="49"/>
      <c r="DA138" s="49"/>
      <c r="DB138" s="49"/>
      <c r="DC138" s="49"/>
      <c r="DD138" s="49"/>
      <c r="DE138" s="49"/>
      <c r="DF138" s="49"/>
      <c r="DG138" s="49"/>
      <c r="DH138" s="49"/>
      <c r="DI138" s="49"/>
      <c r="DJ138" s="49"/>
      <c r="DK138" s="49"/>
      <c r="DL138" s="49"/>
      <c r="DM138" s="49"/>
      <c r="DN138" s="49"/>
      <c r="DO138" s="49"/>
      <c r="DP138" s="49"/>
      <c r="DQ138" s="49"/>
      <c r="DR138" s="49"/>
      <c r="DS138" s="49"/>
      <c r="DT138" s="49"/>
      <c r="DU138" s="49"/>
      <c r="DV138" s="49"/>
      <c r="DW138" s="49"/>
      <c r="DX138" s="49"/>
      <c r="DY138" s="49"/>
      <c r="DZ138" s="49"/>
      <c r="EA138" s="49"/>
      <c r="EB138" s="49"/>
      <c r="EC138" s="49"/>
      <c r="ED138" s="49"/>
      <c r="EE138" s="49"/>
      <c r="EF138" s="49"/>
      <c r="EG138" s="49"/>
      <c r="EH138" s="49"/>
      <c r="EI138" s="49"/>
      <c r="EJ138" s="49"/>
      <c r="EK138" s="49"/>
      <c r="EL138" s="49"/>
      <c r="EM138" s="49"/>
      <c r="EN138" s="49"/>
      <c r="EO138" s="49"/>
      <c r="EP138" s="49"/>
      <c r="EQ138" s="49"/>
      <c r="ER138" s="49"/>
      <c r="ES138" s="49"/>
      <c r="ET138" s="49"/>
      <c r="EU138" s="49"/>
      <c r="EV138" s="49"/>
      <c r="EW138" s="49"/>
      <c r="EX138" s="49"/>
      <c r="EY138" s="49"/>
      <c r="EZ138" s="49"/>
      <c r="FA138" s="49"/>
    </row>
    <row r="139" spans="1:157" s="210" customFormat="1" ht="63.75" x14ac:dyDescent="0.25">
      <c r="A139" s="113">
        <f>IF(AND('[1]Cockpit Retorno'!$E$67=Sim,Mestre!M139=Mestre!$M$98),0,1)</f>
        <v>1</v>
      </c>
      <c r="B139" s="113">
        <f>IF(AND('[1]Cockpit Retorno'!$E$67=Sim,Mestre!L139=Mestre!$L$48),0,1)</f>
        <v>1</v>
      </c>
      <c r="C139" s="113">
        <f>IF(AND('[1]Cockpit Retorno'!$E$67=Sim,Mestre!M139=Mestre!$M$97),0,1)</f>
        <v>1</v>
      </c>
      <c r="D139" s="148" t="s">
        <v>7</v>
      </c>
      <c r="E139" s="115"/>
      <c r="F139" s="116" t="s">
        <v>107</v>
      </c>
      <c r="G139" s="149"/>
      <c r="H139" s="150" t="s">
        <v>7</v>
      </c>
      <c r="I139" s="151" t="str">
        <f t="shared" si="1"/>
        <v>Mercadorias</v>
      </c>
      <c r="J139" s="150" t="s">
        <v>15</v>
      </c>
      <c r="K139" s="152" t="s">
        <v>7</v>
      </c>
      <c r="L139" s="153" t="s">
        <v>21</v>
      </c>
      <c r="M139" s="154" t="s">
        <v>290</v>
      </c>
      <c r="N139" s="155" t="s">
        <v>291</v>
      </c>
      <c r="O139" s="155" t="s">
        <v>292</v>
      </c>
      <c r="P139" s="155" t="s">
        <v>43</v>
      </c>
      <c r="Q139" s="155" t="s">
        <v>43</v>
      </c>
      <c r="R139" s="155" t="s">
        <v>43</v>
      </c>
      <c r="S139" s="156" t="s">
        <v>43</v>
      </c>
      <c r="T139" s="156" t="s">
        <v>43</v>
      </c>
      <c r="U139" s="150" t="s">
        <v>43</v>
      </c>
      <c r="V139" s="150" t="s">
        <v>43</v>
      </c>
      <c r="W139" s="150" t="s">
        <v>43</v>
      </c>
      <c r="X139" s="157" t="s">
        <v>295</v>
      </c>
      <c r="Y139" s="150" t="s">
        <v>43</v>
      </c>
      <c r="Z139" s="150" t="s">
        <v>43</v>
      </c>
      <c r="AA139" s="158">
        <v>0</v>
      </c>
      <c r="AB139" s="155" t="s">
        <v>43</v>
      </c>
      <c r="AC139" s="150" t="s">
        <v>43</v>
      </c>
      <c r="AD139" s="155" t="s">
        <v>43</v>
      </c>
      <c r="AE139" s="155"/>
      <c r="AF139" s="150" t="s">
        <v>43</v>
      </c>
      <c r="AG139" s="159">
        <v>20</v>
      </c>
      <c r="AH139" s="159">
        <v>153.50580000000002</v>
      </c>
      <c r="AI139" s="202">
        <v>0</v>
      </c>
      <c r="AJ139" s="161">
        <v>7.0000000000000007E-2</v>
      </c>
      <c r="AK139" s="162">
        <v>0.05</v>
      </c>
      <c r="AL139" s="163"/>
      <c r="AM139" s="164">
        <f>(((IF(L139=$L$101,1,IF(L139=$L$47,1,0))*(AH139*(1-AK139)))*AG139)*(1-AL139))</f>
        <v>0</v>
      </c>
      <c r="AN139" s="165">
        <f>IF(K139=$K$50,AM139,IF(K139=$K$53,AM139,IF(K139=$K$54,AM139,IF(K139=$K$55,AM139,IF(K139=$K$56,AM139,IF(K139=$K$57,AM139,IF(K139=$K$58,AM139,IF(K139=$K$65,AM139,IF(K139=$K$66,AM139,IF(K139=$K$67,AM139,IF(K139=$K$68,AM139,IF(K139=$K$69,AM139,IF(K139=$K$51,AM139,(AM139*(1+AI139)))))))))))))))</f>
        <v>0</v>
      </c>
      <c r="AO139" s="166">
        <v>1.4</v>
      </c>
      <c r="AP139" s="160">
        <f t="shared" si="2"/>
        <v>0</v>
      </c>
      <c r="AQ139" s="167">
        <f t="shared" si="24"/>
        <v>0</v>
      </c>
      <c r="AR139" s="160">
        <f t="shared" si="4"/>
        <v>0</v>
      </c>
      <c r="AS139" s="168">
        <f t="shared" si="5"/>
        <v>0</v>
      </c>
      <c r="AT139" s="169" t="str">
        <f>K139</f>
        <v>MI</v>
      </c>
      <c r="AU139" s="169" t="str">
        <f>I139</f>
        <v>Mercadorias</v>
      </c>
      <c r="AV139" s="170"/>
      <c r="AW139" s="171">
        <f>IF(K139=$K$50,0,IF(K139=$K$53,0,IF(K139=$K$54,0,IF(K139=$K$55,0,IF(K139=$K$56,0,IF(K139=$K$57,0,IF(K139=$K$58,0,IF(K139=$K$65,0,IF(K139=$K$66,0,IF(K139=$K$67,0,IF(K139=$K$68,0,IF(K139=$K$69,0,IF(K139=$K$51,0,1))))))))))))*AM139*AI139)</f>
        <v>0</v>
      </c>
      <c r="AX139" s="172">
        <f>IF(K139=$K$50,0,IF(K139=$K$53,0,IF(K139=$K$54,0,IF(K139=$K$55,0,IF(K139=$K$56,0,IF(K139=$K$57,0,IF(K139=$K$58,0,IF(K139=$K$65,0,IF(K139=$K$66,0,IF(K139=$K$67,0,IF(K139=$K$68,0,IF(K139=$K$69,0,IF(K139=$K$51,0,1))))))))))))*AM139*AJ139*$AX$94)</f>
        <v>0</v>
      </c>
      <c r="AY139" s="172">
        <f>IF(K139=$K$53,0,IF(K139=$K$54,0,IF(K139=$K$55,0,IF(K139=$K$56,0,IF(K139=$K$58,0,IF(K139=$K$50,0,IF(K139=$K$65,0,IF(K139=$K$57,0,IF(K139=$K$51,0,AM139*$AY$102)))))))))</f>
        <v>0</v>
      </c>
      <c r="AZ139" s="172">
        <f>IF(K139=$K$53,0,IF(K139=$K$54,0,IF(K139=$K$55,0,IF(K139=$K$56,0,IF(K139=$K$58,0,IF(K139=$K$50,0,IF(K139=$K$65,0,IF(K139=$K$57,0,IF(K139=$K$51,0,AM139*$AZ$102)))))))))</f>
        <v>0</v>
      </c>
      <c r="BA139" s="172">
        <f t="shared" si="6"/>
        <v>0</v>
      </c>
      <c r="BB139" s="173">
        <f>IF($BA$97=1,AQ139*$BB$102,IF(K139=$K$50,0,IF(K139=$K$53,0,IF(K139=$K$54,0,IF(K139=$K$55,0,IF(K139=$K$56,0,IF(K139=$K$57,0,IF(K139=$K$58,0,IF(K139=$K$65,0,IF(K139=$K$66,0,IF(K139=$K$67,0,IF(K139=$K$68,0,IF(K139=$K$69,0,IF(K139=$K$51,0,1)))))))))))*AQ139*$BB$102)))</f>
        <v>0</v>
      </c>
      <c r="BC139" s="172">
        <f t="shared" si="7"/>
        <v>0</v>
      </c>
      <c r="BD139" s="172">
        <f t="shared" si="8"/>
        <v>0</v>
      </c>
      <c r="BE139" s="172">
        <f>IF($BE$95=I139,$BE$97,IF(I139=$BE$96,$BE$97,1))*($BE$102*AQ139)*$AZ$97</f>
        <v>0</v>
      </c>
      <c r="BF139" s="172">
        <f>IF('[1]Cockpit Retorno'!$C$65=Sim,Mestre!BA139,SUM(BB139:BE139)+(IF(K139=$K$56,AQ139*MOE_IRRF_LR,0)))</f>
        <v>0</v>
      </c>
      <c r="BG139" s="174">
        <f>IF(AA139&gt;0,0,IF(Z139=$Z$82,AG139*1,(IF(Z139=$Z$81,AG139*1,0))))</f>
        <v>0</v>
      </c>
      <c r="BH139" s="174">
        <f>IF(AA139&gt;0,0,IF(Z139=$Z$83,AG139*1,IF(Z139=$Z$81,AG139*1,0)))</f>
        <v>0</v>
      </c>
      <c r="BI139" s="174">
        <f>IF(AA139&gt;0,0,IF(Z139=$Z$84,AG139*1,IF(Z139=$Z$93,AG139*2,IF(Z139=$Z$100,AG139,IF(Z139=$Z$81,AG139*2,IF(Z139=$Z$80,AG139*1,IF(Z139=$Z$79,AG139*3,IF(Z139=$Z$78,AG139*2,0))))))))</f>
        <v>0</v>
      </c>
      <c r="BJ139" s="174">
        <f>IF(AA139&gt;0,0,IF(Z139=$Z$85,AG139,IF(Z139=$Z$93,AG139,IF(Z139=$Z$100,AG139,IF(Z139=$Z$81,AG139*1,IF(Z139=$Z$80,AG139*2,IF(Z139=$Z$79,AG139*2,IF(Z139=$Z$78,AG139*2,0))))))))</f>
        <v>0</v>
      </c>
      <c r="BK139" s="174">
        <f>IF(AA139&gt;0,0,IF(Z139=$Z$92,AG139,0))</f>
        <v>0</v>
      </c>
      <c r="BL139" s="174">
        <f>IF(AA139&gt;0,0,IF(Z139=$Z$91,AG139,0))</f>
        <v>0</v>
      </c>
      <c r="BM139" s="174">
        <f>IF(AA139&gt;0,0,IF(Z139=$Z$86,AG139,0))</f>
        <v>0</v>
      </c>
      <c r="BN139" s="174">
        <f>IF(AA139&gt;0,0,IF(Z139=$Z$87,AG139,0))</f>
        <v>0</v>
      </c>
      <c r="BO139" s="174">
        <f>IF(AA139&gt;0,0,IF(Z139=$Z$88,AG139,0))</f>
        <v>0</v>
      </c>
      <c r="BP139" s="174">
        <f>IF(AA139&gt;0,0,IF(Z139=$Z$89,AG139,0))</f>
        <v>0</v>
      </c>
      <c r="BQ139" s="174">
        <f>IF(AA139&gt;0,0,IF(Z139=$Z$90,AG139,0))</f>
        <v>0</v>
      </c>
      <c r="BR139" s="174">
        <f>IF(Z139=$Z$82,AA139*AG139,0)</f>
        <v>0</v>
      </c>
      <c r="BS139" s="174">
        <f>IF(Z139=$Z$83,AA139*AG139,0)</f>
        <v>0</v>
      </c>
      <c r="BT139" s="174">
        <f>IF(AA139&lt;1,0,IF(Z139=$Z$84,AA139*AG139,IF(Z139=$Z$93,"ERRO",IF(Z139=$Z$100,"ERRO",0))))</f>
        <v>0</v>
      </c>
      <c r="BU139" s="174">
        <f>IF(AA139&lt;1,0,IF(Z139=$Z$85,AA139*AG139,IF(Z139=$Z$93,"ERRO",IF(Z139=$Z$100,"ERRO",0))))</f>
        <v>0</v>
      </c>
      <c r="BV139" s="174">
        <f>IF(Z139=$Z$92,AA139*AG139,0)</f>
        <v>0</v>
      </c>
      <c r="BW139" s="174">
        <f>IF(Z139=$Z$91,AA139*AG139,0)</f>
        <v>0</v>
      </c>
      <c r="BX139" s="174">
        <f>IF(Z139=$Z$86,AA139*AG139,0)</f>
        <v>0</v>
      </c>
      <c r="BY139" s="174">
        <f>IF(Z139=$Z$87,AA139*AG139,0)</f>
        <v>0</v>
      </c>
      <c r="BZ139" s="174">
        <f>IF(Z139=$Z$88,AA139*AG139,0)</f>
        <v>0</v>
      </c>
      <c r="CA139" s="174">
        <f>IF(Z139=$Z$89,AA139*AG139,0)</f>
        <v>0</v>
      </c>
      <c r="CB139" s="174">
        <f>IF(Z139=$Z$90,AA139*AG139,0)</f>
        <v>0</v>
      </c>
      <c r="CC139" s="175">
        <f>IFERROR(IF(L139=$L$49,AG139*AH139*(1+AI139)*(1-AK139)*(1-AL139),0),0)</f>
        <v>2916.6102000000001</v>
      </c>
      <c r="CD139" s="203">
        <f>IF(I139=$CD$97,1,IF(I139=$CD$100,2,IF(K139=$K$66,1,IF(K139=$K$69,1,3))))</f>
        <v>1</v>
      </c>
      <c r="CE139" s="203">
        <f t="shared" si="14"/>
        <v>1.07</v>
      </c>
      <c r="CF139" s="204">
        <f t="shared" si="9"/>
        <v>1.2353999999999998</v>
      </c>
      <c r="CG139" s="203">
        <f t="shared" si="15"/>
        <v>1.42</v>
      </c>
      <c r="CH139" s="204">
        <f t="shared" si="10"/>
        <v>1.5478000000000001</v>
      </c>
      <c r="CI139" s="203">
        <f t="shared" si="16"/>
        <v>1.7</v>
      </c>
      <c r="CJ139" s="205">
        <f t="shared" si="17"/>
        <v>1.0486</v>
      </c>
      <c r="CK139" s="205">
        <f t="shared" si="18"/>
        <v>1.148922</v>
      </c>
      <c r="CL139" s="205">
        <f t="shared" si="19"/>
        <v>1.3915999999999999</v>
      </c>
      <c r="CM139" s="205">
        <f t="shared" si="20"/>
        <v>1.501366</v>
      </c>
      <c r="CN139" s="206">
        <f t="shared" si="21"/>
        <v>1.6319999999999999</v>
      </c>
      <c r="CO139" s="204">
        <f t="shared" si="25"/>
        <v>1.006656</v>
      </c>
      <c r="CP139" s="207">
        <f t="shared" si="11"/>
        <v>0</v>
      </c>
      <c r="CQ139" s="208">
        <f t="shared" si="12"/>
        <v>0</v>
      </c>
      <c r="CR139" s="209">
        <f t="shared" si="13"/>
        <v>0</v>
      </c>
      <c r="CS139" s="49"/>
      <c r="CT139" s="49"/>
      <c r="CU139" s="49"/>
      <c r="CV139" s="49"/>
      <c r="CW139" s="49"/>
      <c r="CX139" s="49"/>
      <c r="CY139" s="49"/>
      <c r="CZ139" s="49"/>
      <c r="DA139" s="49"/>
      <c r="DB139" s="49"/>
      <c r="DC139" s="49"/>
      <c r="DD139" s="49"/>
      <c r="DE139" s="49"/>
      <c r="DF139" s="49"/>
      <c r="DG139" s="49"/>
      <c r="DH139" s="49"/>
      <c r="DI139" s="49"/>
      <c r="DJ139" s="49"/>
      <c r="DK139" s="49"/>
      <c r="DL139" s="49"/>
      <c r="DM139" s="49"/>
      <c r="DN139" s="49"/>
      <c r="DO139" s="49"/>
      <c r="DP139" s="49"/>
      <c r="DQ139" s="49"/>
      <c r="DR139" s="49"/>
      <c r="DS139" s="49"/>
      <c r="DT139" s="49"/>
      <c r="DU139" s="49"/>
      <c r="DV139" s="49"/>
      <c r="DW139" s="49"/>
      <c r="DX139" s="49"/>
      <c r="DY139" s="49"/>
      <c r="DZ139" s="49"/>
      <c r="EA139" s="49"/>
      <c r="EB139" s="49"/>
      <c r="EC139" s="49"/>
      <c r="ED139" s="49"/>
      <c r="EE139" s="49"/>
      <c r="EF139" s="49"/>
      <c r="EG139" s="49"/>
      <c r="EH139" s="49"/>
      <c r="EI139" s="49"/>
      <c r="EJ139" s="49"/>
      <c r="EK139" s="49"/>
      <c r="EL139" s="49"/>
      <c r="EM139" s="49"/>
      <c r="EN139" s="49"/>
      <c r="EO139" s="49"/>
      <c r="EP139" s="49"/>
      <c r="EQ139" s="49"/>
      <c r="ER139" s="49"/>
      <c r="ES139" s="49"/>
      <c r="ET139" s="49"/>
      <c r="EU139" s="49"/>
      <c r="EV139" s="49"/>
      <c r="EW139" s="49"/>
      <c r="EX139" s="49"/>
      <c r="EY139" s="49"/>
      <c r="EZ139" s="49"/>
      <c r="FA139" s="49"/>
    </row>
    <row r="140" spans="1:157" s="210" customFormat="1" ht="63.75" x14ac:dyDescent="0.25">
      <c r="A140" s="113">
        <f>IF(AND('[1]Cockpit Retorno'!$E$67=Sim,Mestre!M140=Mestre!$M$98),0,1)</f>
        <v>1</v>
      </c>
      <c r="B140" s="113">
        <f>IF(AND('[1]Cockpit Retorno'!$E$67=Sim,Mestre!L140=Mestre!$L$48),0,1)</f>
        <v>1</v>
      </c>
      <c r="C140" s="113">
        <f>IF(AND('[1]Cockpit Retorno'!$E$67=Sim,Mestre!M140=Mestre!$M$97),0,1)</f>
        <v>1</v>
      </c>
      <c r="D140" s="148" t="s">
        <v>7</v>
      </c>
      <c r="E140" s="115"/>
      <c r="F140" s="116" t="s">
        <v>107</v>
      </c>
      <c r="G140" s="149"/>
      <c r="H140" s="150" t="s">
        <v>7</v>
      </c>
      <c r="I140" s="151" t="str">
        <f t="shared" si="1"/>
        <v>Mercadorias</v>
      </c>
      <c r="J140" s="150" t="s">
        <v>15</v>
      </c>
      <c r="K140" s="152" t="s">
        <v>7</v>
      </c>
      <c r="L140" s="153" t="s">
        <v>21</v>
      </c>
      <c r="M140" s="154" t="s">
        <v>290</v>
      </c>
      <c r="N140" s="155" t="s">
        <v>291</v>
      </c>
      <c r="O140" s="155" t="s">
        <v>292</v>
      </c>
      <c r="P140" s="155" t="s">
        <v>43</v>
      </c>
      <c r="Q140" s="155" t="s">
        <v>43</v>
      </c>
      <c r="R140" s="155" t="s">
        <v>43</v>
      </c>
      <c r="S140" s="156" t="s">
        <v>43</v>
      </c>
      <c r="T140" s="156" t="s">
        <v>43</v>
      </c>
      <c r="U140" s="150" t="s">
        <v>43</v>
      </c>
      <c r="V140" s="150" t="s">
        <v>43</v>
      </c>
      <c r="W140" s="150" t="s">
        <v>43</v>
      </c>
      <c r="X140" s="157" t="s">
        <v>296</v>
      </c>
      <c r="Y140" s="150" t="s">
        <v>43</v>
      </c>
      <c r="Z140" s="150" t="s">
        <v>43</v>
      </c>
      <c r="AA140" s="158">
        <v>0</v>
      </c>
      <c r="AB140" s="155" t="s">
        <v>43</v>
      </c>
      <c r="AC140" s="150" t="s">
        <v>43</v>
      </c>
      <c r="AD140" s="155" t="s">
        <v>43</v>
      </c>
      <c r="AE140" s="155"/>
      <c r="AF140" s="150" t="s">
        <v>43</v>
      </c>
      <c r="AG140" s="159">
        <v>6</v>
      </c>
      <c r="AH140" s="159">
        <v>153.50580000000002</v>
      </c>
      <c r="AI140" s="202">
        <v>0</v>
      </c>
      <c r="AJ140" s="161">
        <v>7.0000000000000007E-2</v>
      </c>
      <c r="AK140" s="162">
        <v>0.05</v>
      </c>
      <c r="AL140" s="163"/>
      <c r="AM140" s="164">
        <f>(((IF(L140=$L$101,1,IF(L140=$L$47,1,0))*(AH140*(1-AK140)))*AG140)*(1-AL140))</f>
        <v>0</v>
      </c>
      <c r="AN140" s="165">
        <f>IF(K140=$K$50,AM140,IF(K140=$K$53,AM140,IF(K140=$K$54,AM140,IF(K140=$K$55,AM140,IF(K140=$K$56,AM140,IF(K140=$K$57,AM140,IF(K140=$K$58,AM140,IF(K140=$K$65,AM140,IF(K140=$K$66,AM140,IF(K140=$K$67,AM140,IF(K140=$K$68,AM140,IF(K140=$K$69,AM140,IF(K140=$K$51,AM140,(AM140*(1+AI140)))))))))))))))</f>
        <v>0</v>
      </c>
      <c r="AO140" s="166">
        <v>1.4</v>
      </c>
      <c r="AP140" s="160">
        <f t="shared" si="2"/>
        <v>0</v>
      </c>
      <c r="AQ140" s="167">
        <f t="shared" si="24"/>
        <v>0</v>
      </c>
      <c r="AR140" s="160">
        <f t="shared" si="4"/>
        <v>0</v>
      </c>
      <c r="AS140" s="168">
        <f t="shared" si="5"/>
        <v>0</v>
      </c>
      <c r="AT140" s="169" t="str">
        <f>K140</f>
        <v>MI</v>
      </c>
      <c r="AU140" s="169" t="str">
        <f>I140</f>
        <v>Mercadorias</v>
      </c>
      <c r="AV140" s="170"/>
      <c r="AW140" s="171">
        <f>IF(K140=$K$50,0,IF(K140=$K$53,0,IF(K140=$K$54,0,IF(K140=$K$55,0,IF(K140=$K$56,0,IF(K140=$K$57,0,IF(K140=$K$58,0,IF(K140=$K$65,0,IF(K140=$K$66,0,IF(K140=$K$67,0,IF(K140=$K$68,0,IF(K140=$K$69,0,IF(K140=$K$51,0,1))))))))))))*AM140*AI140)</f>
        <v>0</v>
      </c>
      <c r="AX140" s="172">
        <f>IF(K140=$K$50,0,IF(K140=$K$53,0,IF(K140=$K$54,0,IF(K140=$K$55,0,IF(K140=$K$56,0,IF(K140=$K$57,0,IF(K140=$K$58,0,IF(K140=$K$65,0,IF(K140=$K$66,0,IF(K140=$K$67,0,IF(K140=$K$68,0,IF(K140=$K$69,0,IF(K140=$K$51,0,1))))))))))))*AM140*AJ140*$AX$94)</f>
        <v>0</v>
      </c>
      <c r="AY140" s="172">
        <f>IF(K140=$K$53,0,IF(K140=$K$54,0,IF(K140=$K$55,0,IF(K140=$K$56,0,IF(K140=$K$58,0,IF(K140=$K$50,0,IF(K140=$K$65,0,IF(K140=$K$57,0,IF(K140=$K$51,0,AM140*$AY$102)))))))))</f>
        <v>0</v>
      </c>
      <c r="AZ140" s="172">
        <f>IF(K140=$K$53,0,IF(K140=$K$54,0,IF(K140=$K$55,0,IF(K140=$K$56,0,IF(K140=$K$58,0,IF(K140=$K$50,0,IF(K140=$K$65,0,IF(K140=$K$57,0,IF(K140=$K$51,0,AM140*$AZ$102)))))))))</f>
        <v>0</v>
      </c>
      <c r="BA140" s="172">
        <f t="shared" si="6"/>
        <v>0</v>
      </c>
      <c r="BB140" s="173">
        <f>IF($BA$97=1,AQ140*$BB$102,IF(K140=$K$50,0,IF(K140=$K$53,0,IF(K140=$K$54,0,IF(K140=$K$55,0,IF(K140=$K$56,0,IF(K140=$K$57,0,IF(K140=$K$58,0,IF(K140=$K$65,0,IF(K140=$K$66,0,IF(K140=$K$67,0,IF(K140=$K$68,0,IF(K140=$K$69,0,IF(K140=$K$51,0,1)))))))))))*AQ140*$BB$102)))</f>
        <v>0</v>
      </c>
      <c r="BC140" s="172">
        <f t="shared" si="7"/>
        <v>0</v>
      </c>
      <c r="BD140" s="172">
        <f t="shared" si="8"/>
        <v>0</v>
      </c>
      <c r="BE140" s="172">
        <f>IF($BE$95=I140,$BE$97,IF(I140=$BE$96,$BE$97,1))*($BE$102*AQ140)*$AZ$97</f>
        <v>0</v>
      </c>
      <c r="BF140" s="172">
        <f>IF('[1]Cockpit Retorno'!$C$65=Sim,Mestre!BA140,SUM(BB140:BE140)+(IF(K140=$K$56,AQ140*MOE_IRRF_LR,0)))</f>
        <v>0</v>
      </c>
      <c r="BG140" s="174">
        <f>IF(AA140&gt;0,0,IF(Z140=$Z$82,AG140*1,(IF(Z140=$Z$81,AG140*1,0))))</f>
        <v>0</v>
      </c>
      <c r="BH140" s="174">
        <f>IF(AA140&gt;0,0,IF(Z140=$Z$83,AG140*1,IF(Z140=$Z$81,AG140*1,0)))</f>
        <v>0</v>
      </c>
      <c r="BI140" s="174">
        <f>IF(AA140&gt;0,0,IF(Z140=$Z$84,AG140*1,IF(Z140=$Z$93,AG140*2,IF(Z140=$Z$100,AG140,IF(Z140=$Z$81,AG140*2,IF(Z140=$Z$80,AG140*1,IF(Z140=$Z$79,AG140*3,IF(Z140=$Z$78,AG140*2,0))))))))</f>
        <v>0</v>
      </c>
      <c r="BJ140" s="174">
        <f>IF(AA140&gt;0,0,IF(Z140=$Z$85,AG140,IF(Z140=$Z$93,AG140,IF(Z140=$Z$100,AG140,IF(Z140=$Z$81,AG140*1,IF(Z140=$Z$80,AG140*2,IF(Z140=$Z$79,AG140*2,IF(Z140=$Z$78,AG140*2,0))))))))</f>
        <v>0</v>
      </c>
      <c r="BK140" s="174">
        <f>IF(AA140&gt;0,0,IF(Z140=$Z$92,AG140,0))</f>
        <v>0</v>
      </c>
      <c r="BL140" s="174">
        <f>IF(AA140&gt;0,0,IF(Z140=$Z$91,AG140,0))</f>
        <v>0</v>
      </c>
      <c r="BM140" s="174">
        <f>IF(AA140&gt;0,0,IF(Z140=$Z$86,AG140,0))</f>
        <v>0</v>
      </c>
      <c r="BN140" s="174">
        <f>IF(AA140&gt;0,0,IF(Z140=$Z$87,AG140,0))</f>
        <v>0</v>
      </c>
      <c r="BO140" s="174">
        <f>IF(AA140&gt;0,0,IF(Z140=$Z$88,AG140,0))</f>
        <v>0</v>
      </c>
      <c r="BP140" s="174">
        <f>IF(AA140&gt;0,0,IF(Z140=$Z$89,AG140,0))</f>
        <v>0</v>
      </c>
      <c r="BQ140" s="174">
        <f>IF(AA140&gt;0,0,IF(Z140=$Z$90,AG140,0))</f>
        <v>0</v>
      </c>
      <c r="BR140" s="174">
        <f>IF(Z140=$Z$82,AA140*AG140,0)</f>
        <v>0</v>
      </c>
      <c r="BS140" s="174">
        <f>IF(Z140=$Z$83,AA140*AG140,0)</f>
        <v>0</v>
      </c>
      <c r="BT140" s="174">
        <f>IF(AA140&lt;1,0,IF(Z140=$Z$84,AA140*AG140,IF(Z140=$Z$93,"ERRO",IF(Z140=$Z$100,"ERRO",0))))</f>
        <v>0</v>
      </c>
      <c r="BU140" s="174">
        <f>IF(AA140&lt;1,0,IF(Z140=$Z$85,AA140*AG140,IF(Z140=$Z$93,"ERRO",IF(Z140=$Z$100,"ERRO",0))))</f>
        <v>0</v>
      </c>
      <c r="BV140" s="174">
        <f>IF(Z140=$Z$92,AA140*AG140,0)</f>
        <v>0</v>
      </c>
      <c r="BW140" s="174">
        <f>IF(Z140=$Z$91,AA140*AG140,0)</f>
        <v>0</v>
      </c>
      <c r="BX140" s="174">
        <f>IF(Z140=$Z$86,AA140*AG140,0)</f>
        <v>0</v>
      </c>
      <c r="BY140" s="174">
        <f>IF(Z140=$Z$87,AA140*AG140,0)</f>
        <v>0</v>
      </c>
      <c r="BZ140" s="174">
        <f>IF(Z140=$Z$88,AA140*AG140,0)</f>
        <v>0</v>
      </c>
      <c r="CA140" s="174">
        <f>IF(Z140=$Z$89,AA140*AG140,0)</f>
        <v>0</v>
      </c>
      <c r="CB140" s="174">
        <f>IF(Z140=$Z$90,AA140*AG140,0)</f>
        <v>0</v>
      </c>
      <c r="CC140" s="175">
        <f>IFERROR(IF(L140=$L$49,AG140*AH140*(1+AI140)*(1-AK140)*(1-AL140),0),0)</f>
        <v>874.98306000000014</v>
      </c>
      <c r="CD140" s="203">
        <f>IF(I140=$CD$97,1,IF(I140=$CD$100,2,IF(K140=$K$66,1,IF(K140=$K$69,1,3))))</f>
        <v>1</v>
      </c>
      <c r="CE140" s="203">
        <f t="shared" si="14"/>
        <v>1.07</v>
      </c>
      <c r="CF140" s="204">
        <f t="shared" si="9"/>
        <v>1.2353999999999998</v>
      </c>
      <c r="CG140" s="203">
        <f t="shared" si="15"/>
        <v>1.42</v>
      </c>
      <c r="CH140" s="204">
        <f t="shared" si="10"/>
        <v>1.5478000000000001</v>
      </c>
      <c r="CI140" s="203">
        <f t="shared" si="16"/>
        <v>1.7</v>
      </c>
      <c r="CJ140" s="205">
        <f t="shared" si="17"/>
        <v>1.0486</v>
      </c>
      <c r="CK140" s="205">
        <f t="shared" si="18"/>
        <v>1.148922</v>
      </c>
      <c r="CL140" s="205">
        <f t="shared" si="19"/>
        <v>1.3915999999999999</v>
      </c>
      <c r="CM140" s="205">
        <f t="shared" si="20"/>
        <v>1.501366</v>
      </c>
      <c r="CN140" s="206">
        <f t="shared" si="21"/>
        <v>1.6319999999999999</v>
      </c>
      <c r="CO140" s="204">
        <f t="shared" si="25"/>
        <v>1.006656</v>
      </c>
      <c r="CP140" s="207">
        <f t="shared" si="11"/>
        <v>0</v>
      </c>
      <c r="CQ140" s="208">
        <f t="shared" si="12"/>
        <v>0</v>
      </c>
      <c r="CR140" s="209">
        <f t="shared" si="13"/>
        <v>0</v>
      </c>
      <c r="CS140" s="49"/>
      <c r="CT140" s="49"/>
      <c r="CU140" s="49"/>
      <c r="CV140" s="49"/>
      <c r="CW140" s="49"/>
      <c r="CX140" s="49"/>
      <c r="CY140" s="49"/>
      <c r="CZ140" s="49"/>
      <c r="DA140" s="49"/>
      <c r="DB140" s="49"/>
      <c r="DC140" s="49"/>
      <c r="DD140" s="49"/>
      <c r="DE140" s="49"/>
      <c r="DF140" s="49"/>
      <c r="DG140" s="49"/>
      <c r="DH140" s="49"/>
      <c r="DI140" s="49"/>
      <c r="DJ140" s="49"/>
      <c r="DK140" s="49"/>
      <c r="DL140" s="49"/>
      <c r="DM140" s="49"/>
      <c r="DN140" s="49"/>
      <c r="DO140" s="49"/>
      <c r="DP140" s="49"/>
      <c r="DQ140" s="49"/>
      <c r="DR140" s="49"/>
      <c r="DS140" s="49"/>
      <c r="DT140" s="49"/>
      <c r="DU140" s="49"/>
      <c r="DV140" s="49"/>
      <c r="DW140" s="49"/>
      <c r="DX140" s="49"/>
      <c r="DY140" s="49"/>
      <c r="DZ140" s="49"/>
      <c r="EA140" s="49"/>
      <c r="EB140" s="49"/>
      <c r="EC140" s="49"/>
      <c r="ED140" s="49"/>
      <c r="EE140" s="49"/>
      <c r="EF140" s="49"/>
      <c r="EG140" s="49"/>
      <c r="EH140" s="49"/>
      <c r="EI140" s="49"/>
      <c r="EJ140" s="49"/>
      <c r="EK140" s="49"/>
      <c r="EL140" s="49"/>
      <c r="EM140" s="49"/>
      <c r="EN140" s="49"/>
      <c r="EO140" s="49"/>
      <c r="EP140" s="49"/>
      <c r="EQ140" s="49"/>
      <c r="ER140" s="49"/>
      <c r="ES140" s="49"/>
      <c r="ET140" s="49"/>
      <c r="EU140" s="49"/>
      <c r="EV140" s="49"/>
      <c r="EW140" s="49"/>
      <c r="EX140" s="49"/>
      <c r="EY140" s="49"/>
      <c r="EZ140" s="49"/>
      <c r="FA140" s="49"/>
    </row>
    <row r="141" spans="1:157" s="210" customFormat="1" ht="63.75" x14ac:dyDescent="0.25">
      <c r="A141" s="113">
        <f>IF(AND('[1]Cockpit Retorno'!$E$67=Sim,Mestre!M141=Mestre!$M$98),0,1)</f>
        <v>1</v>
      </c>
      <c r="B141" s="113">
        <f>IF(AND('[1]Cockpit Retorno'!$E$67=Sim,Mestre!L141=Mestre!$L$48),0,1)</f>
        <v>1</v>
      </c>
      <c r="C141" s="113">
        <f>IF(AND('[1]Cockpit Retorno'!$E$67=Sim,Mestre!M141=Mestre!$M$97),0,1)</f>
        <v>1</v>
      </c>
      <c r="D141" s="148" t="s">
        <v>7</v>
      </c>
      <c r="E141" s="115"/>
      <c r="F141" s="116" t="s">
        <v>107</v>
      </c>
      <c r="G141" s="149"/>
      <c r="H141" s="150" t="s">
        <v>7</v>
      </c>
      <c r="I141" s="151" t="str">
        <f t="shared" si="1"/>
        <v>Mercadorias</v>
      </c>
      <c r="J141" s="150" t="s">
        <v>15</v>
      </c>
      <c r="K141" s="152" t="s">
        <v>7</v>
      </c>
      <c r="L141" s="153" t="s">
        <v>21</v>
      </c>
      <c r="M141" s="154" t="s">
        <v>290</v>
      </c>
      <c r="N141" s="155" t="s">
        <v>291</v>
      </c>
      <c r="O141" s="155" t="s">
        <v>292</v>
      </c>
      <c r="P141" s="155" t="s">
        <v>43</v>
      </c>
      <c r="Q141" s="155" t="s">
        <v>43</v>
      </c>
      <c r="R141" s="155" t="s">
        <v>43</v>
      </c>
      <c r="S141" s="156" t="s">
        <v>43</v>
      </c>
      <c r="T141" s="156" t="s">
        <v>43</v>
      </c>
      <c r="U141" s="150" t="s">
        <v>43</v>
      </c>
      <c r="V141" s="150" t="s">
        <v>43</v>
      </c>
      <c r="W141" s="150" t="s">
        <v>43</v>
      </c>
      <c r="X141" s="157" t="s">
        <v>297</v>
      </c>
      <c r="Y141" s="150" t="s">
        <v>43</v>
      </c>
      <c r="Z141" s="150" t="s">
        <v>43</v>
      </c>
      <c r="AA141" s="158">
        <v>0</v>
      </c>
      <c r="AB141" s="155" t="s">
        <v>43</v>
      </c>
      <c r="AC141" s="150" t="s">
        <v>43</v>
      </c>
      <c r="AD141" s="155" t="s">
        <v>43</v>
      </c>
      <c r="AE141" s="155"/>
      <c r="AF141" s="150" t="s">
        <v>43</v>
      </c>
      <c r="AG141" s="159">
        <v>4</v>
      </c>
      <c r="AH141" s="159">
        <v>154.37070000000003</v>
      </c>
      <c r="AI141" s="202">
        <v>0</v>
      </c>
      <c r="AJ141" s="161">
        <v>7.0000000000000007E-2</v>
      </c>
      <c r="AK141" s="162">
        <v>0.05</v>
      </c>
      <c r="AL141" s="163"/>
      <c r="AM141" s="164">
        <f>(((IF(L141=$L$101,1,IF(L141=$L$47,1,0))*(AH141*(1-AK141)))*AG141)*(1-AL141))</f>
        <v>0</v>
      </c>
      <c r="AN141" s="165">
        <f>IF(K141=$K$50,AM141,IF(K141=$K$53,AM141,IF(K141=$K$54,AM141,IF(K141=$K$55,AM141,IF(K141=$K$56,AM141,IF(K141=$K$57,AM141,IF(K141=$K$58,AM141,IF(K141=$K$65,AM141,IF(K141=$K$66,AM141,IF(K141=$K$67,AM141,IF(K141=$K$68,AM141,IF(K141=$K$69,AM141,IF(K141=$K$51,AM141,(AM141*(1+AI141)))))))))))))))</f>
        <v>0</v>
      </c>
      <c r="AO141" s="166">
        <v>1.4</v>
      </c>
      <c r="AP141" s="160">
        <f t="shared" si="2"/>
        <v>0</v>
      </c>
      <c r="AQ141" s="167">
        <f t="shared" si="24"/>
        <v>0</v>
      </c>
      <c r="AR141" s="160">
        <f t="shared" si="4"/>
        <v>0</v>
      </c>
      <c r="AS141" s="168">
        <f t="shared" si="5"/>
        <v>0</v>
      </c>
      <c r="AT141" s="169" t="str">
        <f>K141</f>
        <v>MI</v>
      </c>
      <c r="AU141" s="169" t="str">
        <f>I141</f>
        <v>Mercadorias</v>
      </c>
      <c r="AV141" s="170"/>
      <c r="AW141" s="171">
        <f>IF(K141=$K$50,0,IF(K141=$K$53,0,IF(K141=$K$54,0,IF(K141=$K$55,0,IF(K141=$K$56,0,IF(K141=$K$57,0,IF(K141=$K$58,0,IF(K141=$K$65,0,IF(K141=$K$66,0,IF(K141=$K$67,0,IF(K141=$K$68,0,IF(K141=$K$69,0,IF(K141=$K$51,0,1))))))))))))*AM141*AI141)</f>
        <v>0</v>
      </c>
      <c r="AX141" s="172">
        <f>IF(K141=$K$50,0,IF(K141=$K$53,0,IF(K141=$K$54,0,IF(K141=$K$55,0,IF(K141=$K$56,0,IF(K141=$K$57,0,IF(K141=$K$58,0,IF(K141=$K$65,0,IF(K141=$K$66,0,IF(K141=$K$67,0,IF(K141=$K$68,0,IF(K141=$K$69,0,IF(K141=$K$51,0,1))))))))))))*AM141*AJ141*$AX$94)</f>
        <v>0</v>
      </c>
      <c r="AY141" s="172">
        <f>IF(K141=$K$53,0,IF(K141=$K$54,0,IF(K141=$K$55,0,IF(K141=$K$56,0,IF(K141=$K$58,0,IF(K141=$K$50,0,IF(K141=$K$65,0,IF(K141=$K$57,0,IF(K141=$K$51,0,AM141*$AY$102)))))))))</f>
        <v>0</v>
      </c>
      <c r="AZ141" s="172">
        <f>IF(K141=$K$53,0,IF(K141=$K$54,0,IF(K141=$K$55,0,IF(K141=$K$56,0,IF(K141=$K$58,0,IF(K141=$K$50,0,IF(K141=$K$65,0,IF(K141=$K$57,0,IF(K141=$K$51,0,AM141*$AZ$102)))))))))</f>
        <v>0</v>
      </c>
      <c r="BA141" s="172">
        <f t="shared" si="6"/>
        <v>0</v>
      </c>
      <c r="BB141" s="173">
        <f>IF($BA$97=1,AQ141*$BB$102,IF(K141=$K$50,0,IF(K141=$K$53,0,IF(K141=$K$54,0,IF(K141=$K$55,0,IF(K141=$K$56,0,IF(K141=$K$57,0,IF(K141=$K$58,0,IF(K141=$K$65,0,IF(K141=$K$66,0,IF(K141=$K$67,0,IF(K141=$K$68,0,IF(K141=$K$69,0,IF(K141=$K$51,0,1)))))))))))*AQ141*$BB$102)))</f>
        <v>0</v>
      </c>
      <c r="BC141" s="172">
        <f t="shared" si="7"/>
        <v>0</v>
      </c>
      <c r="BD141" s="172">
        <f t="shared" si="8"/>
        <v>0</v>
      </c>
      <c r="BE141" s="172">
        <f>IF($BE$95=I141,$BE$97,IF(I141=$BE$96,$BE$97,1))*($BE$102*AQ141)*$AZ$97</f>
        <v>0</v>
      </c>
      <c r="BF141" s="172">
        <f>IF('[1]Cockpit Retorno'!$C$65=Sim,Mestre!BA141,SUM(BB141:BE141)+(IF(K141=$K$56,AQ141*MOE_IRRF_LR,0)))</f>
        <v>0</v>
      </c>
      <c r="BG141" s="174">
        <f>IF(AA141&gt;0,0,IF(Z141=$Z$82,AG141*1,(IF(Z141=$Z$81,AG141*1,0))))</f>
        <v>0</v>
      </c>
      <c r="BH141" s="174">
        <f>IF(AA141&gt;0,0,IF(Z141=$Z$83,AG141*1,IF(Z141=$Z$81,AG141*1,0)))</f>
        <v>0</v>
      </c>
      <c r="BI141" s="174">
        <f>IF(AA141&gt;0,0,IF(Z141=$Z$84,AG141*1,IF(Z141=$Z$93,AG141*2,IF(Z141=$Z$100,AG141,IF(Z141=$Z$81,AG141*2,IF(Z141=$Z$80,AG141*1,IF(Z141=$Z$79,AG141*3,IF(Z141=$Z$78,AG141*2,0))))))))</f>
        <v>0</v>
      </c>
      <c r="BJ141" s="174">
        <f>IF(AA141&gt;0,0,IF(Z141=$Z$85,AG141,IF(Z141=$Z$93,AG141,IF(Z141=$Z$100,AG141,IF(Z141=$Z$81,AG141*1,IF(Z141=$Z$80,AG141*2,IF(Z141=$Z$79,AG141*2,IF(Z141=$Z$78,AG141*2,0))))))))</f>
        <v>0</v>
      </c>
      <c r="BK141" s="174">
        <f>IF(AA141&gt;0,0,IF(Z141=$Z$92,AG141,0))</f>
        <v>0</v>
      </c>
      <c r="BL141" s="174">
        <f>IF(AA141&gt;0,0,IF(Z141=$Z$91,AG141,0))</f>
        <v>0</v>
      </c>
      <c r="BM141" s="174">
        <f>IF(AA141&gt;0,0,IF(Z141=$Z$86,AG141,0))</f>
        <v>0</v>
      </c>
      <c r="BN141" s="174">
        <f>IF(AA141&gt;0,0,IF(Z141=$Z$87,AG141,0))</f>
        <v>0</v>
      </c>
      <c r="BO141" s="174">
        <f>IF(AA141&gt;0,0,IF(Z141=$Z$88,AG141,0))</f>
        <v>0</v>
      </c>
      <c r="BP141" s="174">
        <f>IF(AA141&gt;0,0,IF(Z141=$Z$89,AG141,0))</f>
        <v>0</v>
      </c>
      <c r="BQ141" s="174">
        <f>IF(AA141&gt;0,0,IF(Z141=$Z$90,AG141,0))</f>
        <v>0</v>
      </c>
      <c r="BR141" s="174">
        <f>IF(Z141=$Z$82,AA141*AG141,0)</f>
        <v>0</v>
      </c>
      <c r="BS141" s="174">
        <f>IF(Z141=$Z$83,AA141*AG141,0)</f>
        <v>0</v>
      </c>
      <c r="BT141" s="174">
        <f>IF(AA141&lt;1,0,IF(Z141=$Z$84,AA141*AG141,IF(Z141=$Z$93,"ERRO",IF(Z141=$Z$100,"ERRO",0))))</f>
        <v>0</v>
      </c>
      <c r="BU141" s="174">
        <f>IF(AA141&lt;1,0,IF(Z141=$Z$85,AA141*AG141,IF(Z141=$Z$93,"ERRO",IF(Z141=$Z$100,"ERRO",0))))</f>
        <v>0</v>
      </c>
      <c r="BV141" s="174">
        <f>IF(Z141=$Z$92,AA141*AG141,0)</f>
        <v>0</v>
      </c>
      <c r="BW141" s="174">
        <f>IF(Z141=$Z$91,AA141*AG141,0)</f>
        <v>0</v>
      </c>
      <c r="BX141" s="174">
        <f>IF(Z141=$Z$86,AA141*AG141,0)</f>
        <v>0</v>
      </c>
      <c r="BY141" s="174">
        <f>IF(Z141=$Z$87,AA141*AG141,0)</f>
        <v>0</v>
      </c>
      <c r="BZ141" s="174">
        <f>IF(Z141=$Z$88,AA141*AG141,0)</f>
        <v>0</v>
      </c>
      <c r="CA141" s="174">
        <f>IF(Z141=$Z$89,AA141*AG141,0)</f>
        <v>0</v>
      </c>
      <c r="CB141" s="174">
        <f>IF(Z141=$Z$90,AA141*AG141,0)</f>
        <v>0</v>
      </c>
      <c r="CC141" s="175">
        <f>IFERROR(IF(L141=$L$49,AG141*AH141*(1+AI141)*(1-AK141)*(1-AL141),0),0)</f>
        <v>586.6086600000001</v>
      </c>
      <c r="CD141" s="203">
        <f>IF(I141=$CD$97,1,IF(I141=$CD$100,2,IF(K141=$K$66,1,IF(K141=$K$69,1,3))))</f>
        <v>1</v>
      </c>
      <c r="CE141" s="203">
        <f t="shared" si="14"/>
        <v>1.07</v>
      </c>
      <c r="CF141" s="204">
        <f t="shared" si="9"/>
        <v>1.2353999999999998</v>
      </c>
      <c r="CG141" s="203">
        <f t="shared" si="15"/>
        <v>1.42</v>
      </c>
      <c r="CH141" s="204">
        <f t="shared" si="10"/>
        <v>1.5478000000000001</v>
      </c>
      <c r="CI141" s="203">
        <f t="shared" si="16"/>
        <v>1.7</v>
      </c>
      <c r="CJ141" s="205">
        <f t="shared" si="17"/>
        <v>1.0486</v>
      </c>
      <c r="CK141" s="205">
        <f t="shared" si="18"/>
        <v>1.148922</v>
      </c>
      <c r="CL141" s="205">
        <f t="shared" si="19"/>
        <v>1.3915999999999999</v>
      </c>
      <c r="CM141" s="205">
        <f t="shared" si="20"/>
        <v>1.501366</v>
      </c>
      <c r="CN141" s="206">
        <f t="shared" si="21"/>
        <v>1.6319999999999999</v>
      </c>
      <c r="CO141" s="204">
        <f t="shared" si="25"/>
        <v>1.006656</v>
      </c>
      <c r="CP141" s="207">
        <f t="shared" si="11"/>
        <v>0</v>
      </c>
      <c r="CQ141" s="208">
        <f t="shared" si="12"/>
        <v>0</v>
      </c>
      <c r="CR141" s="209">
        <f t="shared" si="13"/>
        <v>0</v>
      </c>
      <c r="CS141" s="49"/>
      <c r="CT141" s="49"/>
      <c r="CU141" s="49"/>
      <c r="CV141" s="49"/>
      <c r="CW141" s="49"/>
      <c r="CX141" s="49"/>
      <c r="CY141" s="49"/>
      <c r="CZ141" s="49"/>
      <c r="DA141" s="49"/>
      <c r="DB141" s="49"/>
      <c r="DC141" s="49"/>
      <c r="DD141" s="49"/>
      <c r="DE141" s="49"/>
      <c r="DF141" s="49"/>
      <c r="DG141" s="49"/>
      <c r="DH141" s="49"/>
      <c r="DI141" s="49"/>
      <c r="DJ141" s="49"/>
      <c r="DK141" s="49"/>
      <c r="DL141" s="49"/>
      <c r="DM141" s="49"/>
      <c r="DN141" s="49"/>
      <c r="DO141" s="49"/>
      <c r="DP141" s="49"/>
      <c r="DQ141" s="49"/>
      <c r="DR141" s="49"/>
      <c r="DS141" s="49"/>
      <c r="DT141" s="49"/>
      <c r="DU141" s="49"/>
      <c r="DV141" s="49"/>
      <c r="DW141" s="49"/>
      <c r="DX141" s="49"/>
      <c r="DY141" s="49"/>
      <c r="DZ141" s="49"/>
      <c r="EA141" s="49"/>
      <c r="EB141" s="49"/>
      <c r="EC141" s="49"/>
      <c r="ED141" s="49"/>
      <c r="EE141" s="49"/>
      <c r="EF141" s="49"/>
      <c r="EG141" s="49"/>
      <c r="EH141" s="49"/>
      <c r="EI141" s="49"/>
      <c r="EJ141" s="49"/>
      <c r="EK141" s="49"/>
      <c r="EL141" s="49"/>
      <c r="EM141" s="49"/>
      <c r="EN141" s="49"/>
      <c r="EO141" s="49"/>
      <c r="EP141" s="49"/>
      <c r="EQ141" s="49"/>
      <c r="ER141" s="49"/>
      <c r="ES141" s="49"/>
      <c r="ET141" s="49"/>
      <c r="EU141" s="49"/>
      <c r="EV141" s="49"/>
      <c r="EW141" s="49"/>
      <c r="EX141" s="49"/>
      <c r="EY141" s="49"/>
      <c r="EZ141" s="49"/>
      <c r="FA141" s="49"/>
    </row>
    <row r="142" spans="1:157" s="210" customFormat="1" ht="63.75" x14ac:dyDescent="0.25">
      <c r="A142" s="113">
        <f>IF(AND('[1]Cockpit Retorno'!$E$67=Sim,Mestre!M142=Mestre!$M$98),0,1)</f>
        <v>1</v>
      </c>
      <c r="B142" s="113">
        <f>IF(AND('[1]Cockpit Retorno'!$E$67=Sim,Mestre!L142=Mestre!$L$48),0,1)</f>
        <v>1</v>
      </c>
      <c r="C142" s="113">
        <f>IF(AND('[1]Cockpit Retorno'!$E$67=Sim,Mestre!M142=Mestre!$M$97),0,1)</f>
        <v>1</v>
      </c>
      <c r="D142" s="148" t="s">
        <v>7</v>
      </c>
      <c r="E142" s="115"/>
      <c r="F142" s="116" t="s">
        <v>107</v>
      </c>
      <c r="G142" s="149"/>
      <c r="H142" s="150" t="s">
        <v>7</v>
      </c>
      <c r="I142" s="151" t="str">
        <f t="shared" si="1"/>
        <v>Mercadorias</v>
      </c>
      <c r="J142" s="150" t="s">
        <v>15</v>
      </c>
      <c r="K142" s="152" t="s">
        <v>7</v>
      </c>
      <c r="L142" s="153" t="s">
        <v>21</v>
      </c>
      <c r="M142" s="154" t="s">
        <v>290</v>
      </c>
      <c r="N142" s="155" t="s">
        <v>291</v>
      </c>
      <c r="O142" s="155" t="s">
        <v>292</v>
      </c>
      <c r="P142" s="155" t="s">
        <v>43</v>
      </c>
      <c r="Q142" s="155" t="s">
        <v>43</v>
      </c>
      <c r="R142" s="155" t="s">
        <v>43</v>
      </c>
      <c r="S142" s="156" t="s">
        <v>43</v>
      </c>
      <c r="T142" s="156" t="s">
        <v>43</v>
      </c>
      <c r="U142" s="150" t="s">
        <v>43</v>
      </c>
      <c r="V142" s="150" t="s">
        <v>43</v>
      </c>
      <c r="W142" s="150" t="s">
        <v>43</v>
      </c>
      <c r="X142" s="157" t="s">
        <v>297</v>
      </c>
      <c r="Y142" s="150" t="s">
        <v>43</v>
      </c>
      <c r="Z142" s="150" t="s">
        <v>43</v>
      </c>
      <c r="AA142" s="158">
        <v>0</v>
      </c>
      <c r="AB142" s="155" t="s">
        <v>43</v>
      </c>
      <c r="AC142" s="150" t="s">
        <v>43</v>
      </c>
      <c r="AD142" s="155" t="s">
        <v>43</v>
      </c>
      <c r="AE142" s="155"/>
      <c r="AF142" s="150" t="s">
        <v>43</v>
      </c>
      <c r="AG142" s="159">
        <v>4</v>
      </c>
      <c r="AH142" s="159">
        <v>154.37070000000003</v>
      </c>
      <c r="AI142" s="202">
        <v>0</v>
      </c>
      <c r="AJ142" s="161">
        <v>7.0000000000000007E-2</v>
      </c>
      <c r="AK142" s="162">
        <v>0.05</v>
      </c>
      <c r="AL142" s="163"/>
      <c r="AM142" s="164">
        <f>(((IF(L142=$L$101,1,IF(L142=$L$47,1,0))*(AH142*(1-AK142)))*AG142)*(1-AL142))</f>
        <v>0</v>
      </c>
      <c r="AN142" s="165">
        <f>IF(K142=$K$50,AM142,IF(K142=$K$53,AM142,IF(K142=$K$54,AM142,IF(K142=$K$55,AM142,IF(K142=$K$56,AM142,IF(K142=$K$57,AM142,IF(K142=$K$58,AM142,IF(K142=$K$65,AM142,IF(K142=$K$66,AM142,IF(K142=$K$67,AM142,IF(K142=$K$68,AM142,IF(K142=$K$69,AM142,IF(K142=$K$51,AM142,(AM142*(1+AI142)))))))))))))))</f>
        <v>0</v>
      </c>
      <c r="AO142" s="166">
        <v>1.4</v>
      </c>
      <c r="AP142" s="160">
        <f t="shared" si="2"/>
        <v>0</v>
      </c>
      <c r="AQ142" s="167">
        <f t="shared" si="24"/>
        <v>0</v>
      </c>
      <c r="AR142" s="160">
        <f t="shared" si="4"/>
        <v>0</v>
      </c>
      <c r="AS142" s="168">
        <f t="shared" si="5"/>
        <v>0</v>
      </c>
      <c r="AT142" s="169" t="str">
        <f>K142</f>
        <v>MI</v>
      </c>
      <c r="AU142" s="169" t="str">
        <f>I142</f>
        <v>Mercadorias</v>
      </c>
      <c r="AV142" s="170"/>
      <c r="AW142" s="171">
        <f>IF(K142=$K$50,0,IF(K142=$K$53,0,IF(K142=$K$54,0,IF(K142=$K$55,0,IF(K142=$K$56,0,IF(K142=$K$57,0,IF(K142=$K$58,0,IF(K142=$K$65,0,IF(K142=$K$66,0,IF(K142=$K$67,0,IF(K142=$K$68,0,IF(K142=$K$69,0,IF(K142=$K$51,0,1))))))))))))*AM142*AI142)</f>
        <v>0</v>
      </c>
      <c r="AX142" s="172">
        <f>IF(K142=$K$50,0,IF(K142=$K$53,0,IF(K142=$K$54,0,IF(K142=$K$55,0,IF(K142=$K$56,0,IF(K142=$K$57,0,IF(K142=$K$58,0,IF(K142=$K$65,0,IF(K142=$K$66,0,IF(K142=$K$67,0,IF(K142=$K$68,0,IF(K142=$K$69,0,IF(K142=$K$51,0,1))))))))))))*AM142*AJ142*$AX$94)</f>
        <v>0</v>
      </c>
      <c r="AY142" s="172">
        <f>IF(K142=$K$53,0,IF(K142=$K$54,0,IF(K142=$K$55,0,IF(K142=$K$56,0,IF(K142=$K$58,0,IF(K142=$K$50,0,IF(K142=$K$65,0,IF(K142=$K$57,0,IF(K142=$K$51,0,AM142*$AY$102)))))))))</f>
        <v>0</v>
      </c>
      <c r="AZ142" s="172">
        <f>IF(K142=$K$53,0,IF(K142=$K$54,0,IF(K142=$K$55,0,IF(K142=$K$56,0,IF(K142=$K$58,0,IF(K142=$K$50,0,IF(K142=$K$65,0,IF(K142=$K$57,0,IF(K142=$K$51,0,AM142*$AZ$102)))))))))</f>
        <v>0</v>
      </c>
      <c r="BA142" s="172">
        <f t="shared" si="6"/>
        <v>0</v>
      </c>
      <c r="BB142" s="173">
        <f>IF($BA$97=1,AQ142*$BB$102,IF(K142=$K$50,0,IF(K142=$K$53,0,IF(K142=$K$54,0,IF(K142=$K$55,0,IF(K142=$K$56,0,IF(K142=$K$57,0,IF(K142=$K$58,0,IF(K142=$K$65,0,IF(K142=$K$66,0,IF(K142=$K$67,0,IF(K142=$K$68,0,IF(K142=$K$69,0,IF(K142=$K$51,0,1)))))))))))*AQ142*$BB$102)))</f>
        <v>0</v>
      </c>
      <c r="BC142" s="172">
        <f t="shared" si="7"/>
        <v>0</v>
      </c>
      <c r="BD142" s="172">
        <f t="shared" si="8"/>
        <v>0</v>
      </c>
      <c r="BE142" s="172">
        <f>IF($BE$95=I142,$BE$97,IF(I142=$BE$96,$BE$97,1))*($BE$102*AQ142)*$AZ$97</f>
        <v>0</v>
      </c>
      <c r="BF142" s="172">
        <f>IF('[1]Cockpit Retorno'!$C$65=Sim,Mestre!BA142,SUM(BB142:BE142)+(IF(K142=$K$56,AQ142*MOE_IRRF_LR,0)))</f>
        <v>0</v>
      </c>
      <c r="BG142" s="174">
        <f>IF(AA142&gt;0,0,IF(Z142=$Z$82,AG142*1,(IF(Z142=$Z$81,AG142*1,0))))</f>
        <v>0</v>
      </c>
      <c r="BH142" s="174">
        <f>IF(AA142&gt;0,0,IF(Z142=$Z$83,AG142*1,IF(Z142=$Z$81,AG142*1,0)))</f>
        <v>0</v>
      </c>
      <c r="BI142" s="174">
        <f>IF(AA142&gt;0,0,IF(Z142=$Z$84,AG142*1,IF(Z142=$Z$93,AG142*2,IF(Z142=$Z$100,AG142,IF(Z142=$Z$81,AG142*2,IF(Z142=$Z$80,AG142*1,IF(Z142=$Z$79,AG142*3,IF(Z142=$Z$78,AG142*2,0))))))))</f>
        <v>0</v>
      </c>
      <c r="BJ142" s="174">
        <f>IF(AA142&gt;0,0,IF(Z142=$Z$85,AG142,IF(Z142=$Z$93,AG142,IF(Z142=$Z$100,AG142,IF(Z142=$Z$81,AG142*1,IF(Z142=$Z$80,AG142*2,IF(Z142=$Z$79,AG142*2,IF(Z142=$Z$78,AG142*2,0))))))))</f>
        <v>0</v>
      </c>
      <c r="BK142" s="174">
        <f>IF(AA142&gt;0,0,IF(Z142=$Z$92,AG142,0))</f>
        <v>0</v>
      </c>
      <c r="BL142" s="174">
        <f>IF(AA142&gt;0,0,IF(Z142=$Z$91,AG142,0))</f>
        <v>0</v>
      </c>
      <c r="BM142" s="174">
        <f>IF(AA142&gt;0,0,IF(Z142=$Z$86,AG142,0))</f>
        <v>0</v>
      </c>
      <c r="BN142" s="174">
        <f>IF(AA142&gt;0,0,IF(Z142=$Z$87,AG142,0))</f>
        <v>0</v>
      </c>
      <c r="BO142" s="174">
        <f>IF(AA142&gt;0,0,IF(Z142=$Z$88,AG142,0))</f>
        <v>0</v>
      </c>
      <c r="BP142" s="174">
        <f>IF(AA142&gt;0,0,IF(Z142=$Z$89,AG142,0))</f>
        <v>0</v>
      </c>
      <c r="BQ142" s="174">
        <f>IF(AA142&gt;0,0,IF(Z142=$Z$90,AG142,0))</f>
        <v>0</v>
      </c>
      <c r="BR142" s="174">
        <f>IF(Z142=$Z$82,AA142*AG142,0)</f>
        <v>0</v>
      </c>
      <c r="BS142" s="174">
        <f>IF(Z142=$Z$83,AA142*AG142,0)</f>
        <v>0</v>
      </c>
      <c r="BT142" s="174">
        <f>IF(AA142&lt;1,0,IF(Z142=$Z$84,AA142*AG142,IF(Z142=$Z$93,"ERRO",IF(Z142=$Z$100,"ERRO",0))))</f>
        <v>0</v>
      </c>
      <c r="BU142" s="174">
        <f>IF(AA142&lt;1,0,IF(Z142=$Z$85,AA142*AG142,IF(Z142=$Z$93,"ERRO",IF(Z142=$Z$100,"ERRO",0))))</f>
        <v>0</v>
      </c>
      <c r="BV142" s="174">
        <f>IF(Z142=$Z$92,AA142*AG142,0)</f>
        <v>0</v>
      </c>
      <c r="BW142" s="174">
        <f>IF(Z142=$Z$91,AA142*AG142,0)</f>
        <v>0</v>
      </c>
      <c r="BX142" s="174">
        <f>IF(Z142=$Z$86,AA142*AG142,0)</f>
        <v>0</v>
      </c>
      <c r="BY142" s="174">
        <f>IF(Z142=$Z$87,AA142*AG142,0)</f>
        <v>0</v>
      </c>
      <c r="BZ142" s="174">
        <f>IF(Z142=$Z$88,AA142*AG142,0)</f>
        <v>0</v>
      </c>
      <c r="CA142" s="174">
        <f>IF(Z142=$Z$89,AA142*AG142,0)</f>
        <v>0</v>
      </c>
      <c r="CB142" s="174">
        <f>IF(Z142=$Z$90,AA142*AG142,0)</f>
        <v>0</v>
      </c>
      <c r="CC142" s="175">
        <f>IFERROR(IF(L142=$L$49,AG142*AH142*(1+AI142)*(1-AK142)*(1-AL142),0),0)</f>
        <v>586.6086600000001</v>
      </c>
      <c r="CD142" s="203">
        <f>IF(I142=$CD$97,1,IF(I142=$CD$100,2,IF(K142=$K$66,1,IF(K142=$K$69,1,3))))</f>
        <v>1</v>
      </c>
      <c r="CE142" s="203">
        <f t="shared" si="14"/>
        <v>1.07</v>
      </c>
      <c r="CF142" s="204">
        <f t="shared" si="9"/>
        <v>1.2353999999999998</v>
      </c>
      <c r="CG142" s="203">
        <f t="shared" si="15"/>
        <v>1.42</v>
      </c>
      <c r="CH142" s="204">
        <f t="shared" si="10"/>
        <v>1.5478000000000001</v>
      </c>
      <c r="CI142" s="203">
        <f t="shared" si="16"/>
        <v>1.7</v>
      </c>
      <c r="CJ142" s="205">
        <f t="shared" si="17"/>
        <v>1.0486</v>
      </c>
      <c r="CK142" s="205">
        <f t="shared" si="18"/>
        <v>1.148922</v>
      </c>
      <c r="CL142" s="205">
        <f t="shared" si="19"/>
        <v>1.3915999999999999</v>
      </c>
      <c r="CM142" s="205">
        <f t="shared" si="20"/>
        <v>1.501366</v>
      </c>
      <c r="CN142" s="206">
        <f t="shared" si="21"/>
        <v>1.6319999999999999</v>
      </c>
      <c r="CO142" s="204">
        <f t="shared" si="25"/>
        <v>1.006656</v>
      </c>
      <c r="CP142" s="207">
        <f t="shared" si="11"/>
        <v>0</v>
      </c>
      <c r="CQ142" s="208">
        <f t="shared" si="12"/>
        <v>0</v>
      </c>
      <c r="CR142" s="209">
        <f t="shared" si="13"/>
        <v>0</v>
      </c>
      <c r="CS142" s="49"/>
      <c r="CT142" s="49"/>
      <c r="CU142" s="49"/>
      <c r="CV142" s="49"/>
      <c r="CW142" s="49"/>
      <c r="CX142" s="49"/>
      <c r="CY142" s="49"/>
      <c r="CZ142" s="49"/>
      <c r="DA142" s="49"/>
      <c r="DB142" s="49"/>
      <c r="DC142" s="49"/>
      <c r="DD142" s="49"/>
      <c r="DE142" s="49"/>
      <c r="DF142" s="49"/>
      <c r="DG142" s="49"/>
      <c r="DH142" s="49"/>
      <c r="DI142" s="49"/>
      <c r="DJ142" s="49"/>
      <c r="DK142" s="49"/>
      <c r="DL142" s="49"/>
      <c r="DM142" s="49"/>
      <c r="DN142" s="49"/>
      <c r="DO142" s="49"/>
      <c r="DP142" s="49"/>
      <c r="DQ142" s="49"/>
      <c r="DR142" s="49"/>
      <c r="DS142" s="49"/>
      <c r="DT142" s="49"/>
      <c r="DU142" s="49"/>
      <c r="DV142" s="49"/>
      <c r="DW142" s="49"/>
      <c r="DX142" s="49"/>
      <c r="DY142" s="49"/>
      <c r="DZ142" s="49"/>
      <c r="EA142" s="49"/>
      <c r="EB142" s="49"/>
      <c r="EC142" s="49"/>
      <c r="ED142" s="49"/>
      <c r="EE142" s="49"/>
      <c r="EF142" s="49"/>
      <c r="EG142" s="49"/>
      <c r="EH142" s="49"/>
      <c r="EI142" s="49"/>
      <c r="EJ142" s="49"/>
      <c r="EK142" s="49"/>
      <c r="EL142" s="49"/>
      <c r="EM142" s="49"/>
      <c r="EN142" s="49"/>
      <c r="EO142" s="49"/>
      <c r="EP142" s="49"/>
      <c r="EQ142" s="49"/>
      <c r="ER142" s="49"/>
      <c r="ES142" s="49"/>
      <c r="ET142" s="49"/>
      <c r="EU142" s="49"/>
      <c r="EV142" s="49"/>
      <c r="EW142" s="49"/>
      <c r="EX142" s="49"/>
      <c r="EY142" s="49"/>
      <c r="EZ142" s="49"/>
      <c r="FA142" s="49"/>
    </row>
    <row r="143" spans="1:157" s="210" customFormat="1" ht="63.75" x14ac:dyDescent="0.25">
      <c r="A143" s="113">
        <f>IF(AND('[1]Cockpit Retorno'!$E$67=Sim,Mestre!M143=Mestre!$M$98),0,1)</f>
        <v>1</v>
      </c>
      <c r="B143" s="113">
        <f>IF(AND('[1]Cockpit Retorno'!$E$67=Sim,Mestre!L143=Mestre!$L$48),0,1)</f>
        <v>1</v>
      </c>
      <c r="C143" s="113">
        <f>IF(AND('[1]Cockpit Retorno'!$E$67=Sim,Mestre!M143=Mestre!$M$97),0,1)</f>
        <v>1</v>
      </c>
      <c r="D143" s="148" t="s">
        <v>7</v>
      </c>
      <c r="E143" s="115"/>
      <c r="F143" s="116" t="s">
        <v>107</v>
      </c>
      <c r="G143" s="149"/>
      <c r="H143" s="150" t="s">
        <v>7</v>
      </c>
      <c r="I143" s="151" t="str">
        <f t="shared" si="1"/>
        <v>Mercadorias</v>
      </c>
      <c r="J143" s="150" t="s">
        <v>15</v>
      </c>
      <c r="K143" s="152" t="s">
        <v>7</v>
      </c>
      <c r="L143" s="153" t="s">
        <v>21</v>
      </c>
      <c r="M143" s="154" t="s">
        <v>290</v>
      </c>
      <c r="N143" s="155" t="s">
        <v>291</v>
      </c>
      <c r="O143" s="155" t="s">
        <v>292</v>
      </c>
      <c r="P143" s="155" t="s">
        <v>43</v>
      </c>
      <c r="Q143" s="155" t="s">
        <v>43</v>
      </c>
      <c r="R143" s="155" t="s">
        <v>43</v>
      </c>
      <c r="S143" s="156" t="s">
        <v>43</v>
      </c>
      <c r="T143" s="156" t="s">
        <v>43</v>
      </c>
      <c r="U143" s="150" t="s">
        <v>43</v>
      </c>
      <c r="V143" s="150" t="s">
        <v>43</v>
      </c>
      <c r="W143" s="150" t="s">
        <v>43</v>
      </c>
      <c r="X143" s="157" t="s">
        <v>298</v>
      </c>
      <c r="Y143" s="150" t="s">
        <v>43</v>
      </c>
      <c r="Z143" s="150" t="s">
        <v>43</v>
      </c>
      <c r="AA143" s="158">
        <v>0</v>
      </c>
      <c r="AB143" s="155" t="s">
        <v>43</v>
      </c>
      <c r="AC143" s="150" t="s">
        <v>43</v>
      </c>
      <c r="AD143" s="155" t="s">
        <v>43</v>
      </c>
      <c r="AE143" s="155"/>
      <c r="AF143" s="150" t="s">
        <v>43</v>
      </c>
      <c r="AG143" s="159">
        <v>6</v>
      </c>
      <c r="AH143" s="159">
        <v>216.95039999999997</v>
      </c>
      <c r="AI143" s="202">
        <v>0</v>
      </c>
      <c r="AJ143" s="161">
        <v>7.0000000000000007E-2</v>
      </c>
      <c r="AK143" s="162">
        <v>0.05</v>
      </c>
      <c r="AL143" s="163"/>
      <c r="AM143" s="164">
        <f>(((IF(L143=$L$101,1,IF(L143=$L$47,1,0))*(AH143*(1-AK143)))*AG143)*(1-AL143))</f>
        <v>0</v>
      </c>
      <c r="AN143" s="165">
        <f>IF(K143=$K$50,AM143,IF(K143=$K$53,AM143,IF(K143=$K$54,AM143,IF(K143=$K$55,AM143,IF(K143=$K$56,AM143,IF(K143=$K$57,AM143,IF(K143=$K$58,AM143,IF(K143=$K$65,AM143,IF(K143=$K$66,AM143,IF(K143=$K$67,AM143,IF(K143=$K$68,AM143,IF(K143=$K$69,AM143,IF(K143=$K$51,AM143,(AM143*(1+AI143)))))))))))))))</f>
        <v>0</v>
      </c>
      <c r="AO143" s="166">
        <v>1.4</v>
      </c>
      <c r="AP143" s="160">
        <f t="shared" si="2"/>
        <v>0</v>
      </c>
      <c r="AQ143" s="167">
        <f t="shared" si="24"/>
        <v>0</v>
      </c>
      <c r="AR143" s="160">
        <f t="shared" si="4"/>
        <v>0</v>
      </c>
      <c r="AS143" s="168">
        <f t="shared" si="5"/>
        <v>0</v>
      </c>
      <c r="AT143" s="169" t="str">
        <f>K143</f>
        <v>MI</v>
      </c>
      <c r="AU143" s="169" t="str">
        <f>I143</f>
        <v>Mercadorias</v>
      </c>
      <c r="AV143" s="170"/>
      <c r="AW143" s="171">
        <f>IF(K143=$K$50,0,IF(K143=$K$53,0,IF(K143=$K$54,0,IF(K143=$K$55,0,IF(K143=$K$56,0,IF(K143=$K$57,0,IF(K143=$K$58,0,IF(K143=$K$65,0,IF(K143=$K$66,0,IF(K143=$K$67,0,IF(K143=$K$68,0,IF(K143=$K$69,0,IF(K143=$K$51,0,1))))))))))))*AM143*AI143)</f>
        <v>0</v>
      </c>
      <c r="AX143" s="172">
        <f>IF(K143=$K$50,0,IF(K143=$K$53,0,IF(K143=$K$54,0,IF(K143=$K$55,0,IF(K143=$K$56,0,IF(K143=$K$57,0,IF(K143=$K$58,0,IF(K143=$K$65,0,IF(K143=$K$66,0,IF(K143=$K$67,0,IF(K143=$K$68,0,IF(K143=$K$69,0,IF(K143=$K$51,0,1))))))))))))*AM143*AJ143*$AX$94)</f>
        <v>0</v>
      </c>
      <c r="AY143" s="172">
        <f>IF(K143=$K$53,0,IF(K143=$K$54,0,IF(K143=$K$55,0,IF(K143=$K$56,0,IF(K143=$K$58,0,IF(K143=$K$50,0,IF(K143=$K$65,0,IF(K143=$K$57,0,IF(K143=$K$51,0,AM143*$AY$102)))))))))</f>
        <v>0</v>
      </c>
      <c r="AZ143" s="172">
        <f>IF(K143=$K$53,0,IF(K143=$K$54,0,IF(K143=$K$55,0,IF(K143=$K$56,0,IF(K143=$K$58,0,IF(K143=$K$50,0,IF(K143=$K$65,0,IF(K143=$K$57,0,IF(K143=$K$51,0,AM143*$AZ$102)))))))))</f>
        <v>0</v>
      </c>
      <c r="BA143" s="172">
        <f t="shared" si="6"/>
        <v>0</v>
      </c>
      <c r="BB143" s="173">
        <f>IF($BA$97=1,AQ143*$BB$102,IF(K143=$K$50,0,IF(K143=$K$53,0,IF(K143=$K$54,0,IF(K143=$K$55,0,IF(K143=$K$56,0,IF(K143=$K$57,0,IF(K143=$K$58,0,IF(K143=$K$65,0,IF(K143=$K$66,0,IF(K143=$K$67,0,IF(K143=$K$68,0,IF(K143=$K$69,0,IF(K143=$K$51,0,1)))))))))))*AQ143*$BB$102)))</f>
        <v>0</v>
      </c>
      <c r="BC143" s="172">
        <f t="shared" si="7"/>
        <v>0</v>
      </c>
      <c r="BD143" s="172">
        <f t="shared" si="8"/>
        <v>0</v>
      </c>
      <c r="BE143" s="172">
        <f>IF($BE$95=I143,$BE$97,IF(I143=$BE$96,$BE$97,1))*($BE$102*AQ143)*$AZ$97</f>
        <v>0</v>
      </c>
      <c r="BF143" s="172">
        <f>IF('[1]Cockpit Retorno'!$C$65=Sim,Mestre!BA143,SUM(BB143:BE143)+(IF(K143=$K$56,AQ143*MOE_IRRF_LR,0)))</f>
        <v>0</v>
      </c>
      <c r="BG143" s="174">
        <f>IF(AA143&gt;0,0,IF(Z143=$Z$82,AG143*1,(IF(Z143=$Z$81,AG143*1,0))))</f>
        <v>0</v>
      </c>
      <c r="BH143" s="174">
        <f>IF(AA143&gt;0,0,IF(Z143=$Z$83,AG143*1,IF(Z143=$Z$81,AG143*1,0)))</f>
        <v>0</v>
      </c>
      <c r="BI143" s="174">
        <f>IF(AA143&gt;0,0,IF(Z143=$Z$84,AG143*1,IF(Z143=$Z$93,AG143*2,IF(Z143=$Z$100,AG143,IF(Z143=$Z$81,AG143*2,IF(Z143=$Z$80,AG143*1,IF(Z143=$Z$79,AG143*3,IF(Z143=$Z$78,AG143*2,0))))))))</f>
        <v>0</v>
      </c>
      <c r="BJ143" s="174">
        <f>IF(AA143&gt;0,0,IF(Z143=$Z$85,AG143,IF(Z143=$Z$93,AG143,IF(Z143=$Z$100,AG143,IF(Z143=$Z$81,AG143*1,IF(Z143=$Z$80,AG143*2,IF(Z143=$Z$79,AG143*2,IF(Z143=$Z$78,AG143*2,0))))))))</f>
        <v>0</v>
      </c>
      <c r="BK143" s="174">
        <f>IF(AA143&gt;0,0,IF(Z143=$Z$92,AG143,0))</f>
        <v>0</v>
      </c>
      <c r="BL143" s="174">
        <f>IF(AA143&gt;0,0,IF(Z143=$Z$91,AG143,0))</f>
        <v>0</v>
      </c>
      <c r="BM143" s="174">
        <f>IF(AA143&gt;0,0,IF(Z143=$Z$86,AG143,0))</f>
        <v>0</v>
      </c>
      <c r="BN143" s="174">
        <f>IF(AA143&gt;0,0,IF(Z143=$Z$87,AG143,0))</f>
        <v>0</v>
      </c>
      <c r="BO143" s="174">
        <f>IF(AA143&gt;0,0,IF(Z143=$Z$88,AG143,0))</f>
        <v>0</v>
      </c>
      <c r="BP143" s="174">
        <f>IF(AA143&gt;0,0,IF(Z143=$Z$89,AG143,0))</f>
        <v>0</v>
      </c>
      <c r="BQ143" s="174">
        <f>IF(AA143&gt;0,0,IF(Z143=$Z$90,AG143,0))</f>
        <v>0</v>
      </c>
      <c r="BR143" s="174">
        <f>IF(Z143=$Z$82,AA143*AG143,0)</f>
        <v>0</v>
      </c>
      <c r="BS143" s="174">
        <f>IF(Z143=$Z$83,AA143*AG143,0)</f>
        <v>0</v>
      </c>
      <c r="BT143" s="174">
        <f>IF(AA143&lt;1,0,IF(Z143=$Z$84,AA143*AG143,IF(Z143=$Z$93,"ERRO",IF(Z143=$Z$100,"ERRO",0))))</f>
        <v>0</v>
      </c>
      <c r="BU143" s="174">
        <f>IF(AA143&lt;1,0,IF(Z143=$Z$85,AA143*AG143,IF(Z143=$Z$93,"ERRO",IF(Z143=$Z$100,"ERRO",0))))</f>
        <v>0</v>
      </c>
      <c r="BV143" s="174">
        <f>IF(Z143=$Z$92,AA143*AG143,0)</f>
        <v>0</v>
      </c>
      <c r="BW143" s="174">
        <f>IF(Z143=$Z$91,AA143*AG143,0)</f>
        <v>0</v>
      </c>
      <c r="BX143" s="174">
        <f>IF(Z143=$Z$86,AA143*AG143,0)</f>
        <v>0</v>
      </c>
      <c r="BY143" s="174">
        <f>IF(Z143=$Z$87,AA143*AG143,0)</f>
        <v>0</v>
      </c>
      <c r="BZ143" s="174">
        <f>IF(Z143=$Z$88,AA143*AG143,0)</f>
        <v>0</v>
      </c>
      <c r="CA143" s="174">
        <f>IF(Z143=$Z$89,AA143*AG143,0)</f>
        <v>0</v>
      </c>
      <c r="CB143" s="174">
        <f>IF(Z143=$Z$90,AA143*AG143,0)</f>
        <v>0</v>
      </c>
      <c r="CC143" s="175">
        <f>IFERROR(IF(L143=$L$49,AG143*AH143*(1+AI143)*(1-AK143)*(1-AL143),0),0)</f>
        <v>1236.6172799999999</v>
      </c>
      <c r="CD143" s="203">
        <f>IF(I143=$CD$97,1,IF(I143=$CD$100,2,IF(K143=$K$66,1,IF(K143=$K$69,1,3))))</f>
        <v>1</v>
      </c>
      <c r="CE143" s="203">
        <f t="shared" si="14"/>
        <v>1.07</v>
      </c>
      <c r="CF143" s="204">
        <f t="shared" si="9"/>
        <v>1.2353999999999998</v>
      </c>
      <c r="CG143" s="203">
        <f t="shared" si="15"/>
        <v>1.42</v>
      </c>
      <c r="CH143" s="204">
        <f t="shared" si="10"/>
        <v>1.5478000000000001</v>
      </c>
      <c r="CI143" s="203">
        <f t="shared" si="16"/>
        <v>1.7</v>
      </c>
      <c r="CJ143" s="205">
        <f t="shared" si="17"/>
        <v>1.0486</v>
      </c>
      <c r="CK143" s="205">
        <f t="shared" si="18"/>
        <v>1.148922</v>
      </c>
      <c r="CL143" s="205">
        <f t="shared" si="19"/>
        <v>1.3915999999999999</v>
      </c>
      <c r="CM143" s="205">
        <f t="shared" si="20"/>
        <v>1.501366</v>
      </c>
      <c r="CN143" s="206">
        <f t="shared" si="21"/>
        <v>1.6319999999999999</v>
      </c>
      <c r="CO143" s="204">
        <f t="shared" si="25"/>
        <v>1.006656</v>
      </c>
      <c r="CP143" s="207">
        <f t="shared" si="11"/>
        <v>0</v>
      </c>
      <c r="CQ143" s="208">
        <f t="shared" si="12"/>
        <v>0</v>
      </c>
      <c r="CR143" s="209">
        <f t="shared" si="13"/>
        <v>0</v>
      </c>
      <c r="CS143" s="49"/>
      <c r="CT143" s="49"/>
      <c r="CU143" s="49"/>
      <c r="CV143" s="49"/>
      <c r="CW143" s="49"/>
      <c r="CX143" s="49"/>
      <c r="CY143" s="49"/>
      <c r="CZ143" s="49"/>
      <c r="DA143" s="49"/>
      <c r="DB143" s="49"/>
      <c r="DC143" s="49"/>
      <c r="DD143" s="49"/>
      <c r="DE143" s="49"/>
      <c r="DF143" s="49"/>
      <c r="DG143" s="49"/>
      <c r="DH143" s="49"/>
      <c r="DI143" s="49"/>
      <c r="DJ143" s="49"/>
      <c r="DK143" s="49"/>
      <c r="DL143" s="49"/>
      <c r="DM143" s="49"/>
      <c r="DN143" s="49"/>
      <c r="DO143" s="49"/>
      <c r="DP143" s="49"/>
      <c r="DQ143" s="49"/>
      <c r="DR143" s="49"/>
      <c r="DS143" s="49"/>
      <c r="DT143" s="49"/>
      <c r="DU143" s="49"/>
      <c r="DV143" s="49"/>
      <c r="DW143" s="49"/>
      <c r="DX143" s="49"/>
      <c r="DY143" s="49"/>
      <c r="DZ143" s="49"/>
      <c r="EA143" s="49"/>
      <c r="EB143" s="49"/>
      <c r="EC143" s="49"/>
      <c r="ED143" s="49"/>
      <c r="EE143" s="49"/>
      <c r="EF143" s="49"/>
      <c r="EG143" s="49"/>
      <c r="EH143" s="49"/>
      <c r="EI143" s="49"/>
      <c r="EJ143" s="49"/>
      <c r="EK143" s="49"/>
      <c r="EL143" s="49"/>
      <c r="EM143" s="49"/>
      <c r="EN143" s="49"/>
      <c r="EO143" s="49"/>
      <c r="EP143" s="49"/>
      <c r="EQ143" s="49"/>
      <c r="ER143" s="49"/>
      <c r="ES143" s="49"/>
      <c r="ET143" s="49"/>
      <c r="EU143" s="49"/>
      <c r="EV143" s="49"/>
      <c r="EW143" s="49"/>
      <c r="EX143" s="49"/>
      <c r="EY143" s="49"/>
      <c r="EZ143" s="49"/>
      <c r="FA143" s="49"/>
    </row>
    <row r="144" spans="1:157" s="210" customFormat="1" ht="63.75" x14ac:dyDescent="0.25">
      <c r="A144" s="113">
        <f>IF(AND('[1]Cockpit Retorno'!$E$67=Sim,Mestre!M144=Mestre!$M$98),0,1)</f>
        <v>1</v>
      </c>
      <c r="B144" s="113">
        <f>IF(AND('[1]Cockpit Retorno'!$E$67=Sim,Mestre!L144=Mestre!$L$48),0,1)</f>
        <v>1</v>
      </c>
      <c r="C144" s="113">
        <f>IF(AND('[1]Cockpit Retorno'!$E$67=Sim,Mestre!M144=Mestre!$M$97),0,1)</f>
        <v>1</v>
      </c>
      <c r="D144" s="148" t="s">
        <v>7</v>
      </c>
      <c r="E144" s="115"/>
      <c r="F144" s="116" t="s">
        <v>107</v>
      </c>
      <c r="G144" s="149"/>
      <c r="H144" s="150" t="s">
        <v>7</v>
      </c>
      <c r="I144" s="151" t="str">
        <f t="shared" si="1"/>
        <v>Mercadorias</v>
      </c>
      <c r="J144" s="150" t="s">
        <v>15</v>
      </c>
      <c r="K144" s="152" t="s">
        <v>7</v>
      </c>
      <c r="L144" s="153" t="s">
        <v>21</v>
      </c>
      <c r="M144" s="154" t="s">
        <v>290</v>
      </c>
      <c r="N144" s="155" t="s">
        <v>291</v>
      </c>
      <c r="O144" s="155" t="s">
        <v>292</v>
      </c>
      <c r="P144" s="155" t="s">
        <v>43</v>
      </c>
      <c r="Q144" s="155" t="s">
        <v>43</v>
      </c>
      <c r="R144" s="155" t="s">
        <v>43</v>
      </c>
      <c r="S144" s="156" t="s">
        <v>43</v>
      </c>
      <c r="T144" s="156" t="s">
        <v>43</v>
      </c>
      <c r="U144" s="150" t="s">
        <v>43</v>
      </c>
      <c r="V144" s="150" t="s">
        <v>43</v>
      </c>
      <c r="W144" s="150" t="s">
        <v>43</v>
      </c>
      <c r="X144" s="157" t="s">
        <v>298</v>
      </c>
      <c r="Y144" s="150" t="s">
        <v>43</v>
      </c>
      <c r="Z144" s="150" t="s">
        <v>43</v>
      </c>
      <c r="AA144" s="158">
        <v>0</v>
      </c>
      <c r="AB144" s="155" t="s">
        <v>43</v>
      </c>
      <c r="AC144" s="150" t="s">
        <v>43</v>
      </c>
      <c r="AD144" s="155" t="s">
        <v>43</v>
      </c>
      <c r="AE144" s="155"/>
      <c r="AF144" s="150" t="s">
        <v>43</v>
      </c>
      <c r="AG144" s="159">
        <v>6</v>
      </c>
      <c r="AH144" s="159">
        <v>216.95039999999997</v>
      </c>
      <c r="AI144" s="202">
        <v>0</v>
      </c>
      <c r="AJ144" s="161">
        <v>7.0000000000000007E-2</v>
      </c>
      <c r="AK144" s="162">
        <v>0.05</v>
      </c>
      <c r="AL144" s="163"/>
      <c r="AM144" s="164">
        <f>(((IF(L144=$L$101,1,IF(L144=$L$47,1,0))*(AH144*(1-AK144)))*AG144)*(1-AL144))</f>
        <v>0</v>
      </c>
      <c r="AN144" s="165">
        <f>IF(K144=$K$50,AM144,IF(K144=$K$53,AM144,IF(K144=$K$54,AM144,IF(K144=$K$55,AM144,IF(K144=$K$56,AM144,IF(K144=$K$57,AM144,IF(K144=$K$58,AM144,IF(K144=$K$65,AM144,IF(K144=$K$66,AM144,IF(K144=$K$67,AM144,IF(K144=$K$68,AM144,IF(K144=$K$69,AM144,IF(K144=$K$51,AM144,(AM144*(1+AI144)))))))))))))))</f>
        <v>0</v>
      </c>
      <c r="AO144" s="166">
        <v>1.4</v>
      </c>
      <c r="AP144" s="160">
        <f t="shared" si="2"/>
        <v>0</v>
      </c>
      <c r="AQ144" s="167">
        <f t="shared" si="24"/>
        <v>0</v>
      </c>
      <c r="AR144" s="160">
        <f t="shared" si="4"/>
        <v>0</v>
      </c>
      <c r="AS144" s="168">
        <f t="shared" si="5"/>
        <v>0</v>
      </c>
      <c r="AT144" s="169" t="str">
        <f>K144</f>
        <v>MI</v>
      </c>
      <c r="AU144" s="169" t="str">
        <f>I144</f>
        <v>Mercadorias</v>
      </c>
      <c r="AV144" s="170"/>
      <c r="AW144" s="171">
        <f>IF(K144=$K$50,0,IF(K144=$K$53,0,IF(K144=$K$54,0,IF(K144=$K$55,0,IF(K144=$K$56,0,IF(K144=$K$57,0,IF(K144=$K$58,0,IF(K144=$K$65,0,IF(K144=$K$66,0,IF(K144=$K$67,0,IF(K144=$K$68,0,IF(K144=$K$69,0,IF(K144=$K$51,0,1))))))))))))*AM144*AI144)</f>
        <v>0</v>
      </c>
      <c r="AX144" s="172">
        <f>IF(K144=$K$50,0,IF(K144=$K$53,0,IF(K144=$K$54,0,IF(K144=$K$55,0,IF(K144=$K$56,0,IF(K144=$K$57,0,IF(K144=$K$58,0,IF(K144=$K$65,0,IF(K144=$K$66,0,IF(K144=$K$67,0,IF(K144=$K$68,0,IF(K144=$K$69,0,IF(K144=$K$51,0,1))))))))))))*AM144*AJ144*$AX$94)</f>
        <v>0</v>
      </c>
      <c r="AY144" s="172">
        <f>IF(K144=$K$53,0,IF(K144=$K$54,0,IF(K144=$K$55,0,IF(K144=$K$56,0,IF(K144=$K$58,0,IF(K144=$K$50,0,IF(K144=$K$65,0,IF(K144=$K$57,0,IF(K144=$K$51,0,AM144*$AY$102)))))))))</f>
        <v>0</v>
      </c>
      <c r="AZ144" s="172">
        <f>IF(K144=$K$53,0,IF(K144=$K$54,0,IF(K144=$K$55,0,IF(K144=$K$56,0,IF(K144=$K$58,0,IF(K144=$K$50,0,IF(K144=$K$65,0,IF(K144=$K$57,0,IF(K144=$K$51,0,AM144*$AZ$102)))))))))</f>
        <v>0</v>
      </c>
      <c r="BA144" s="172">
        <f t="shared" si="6"/>
        <v>0</v>
      </c>
      <c r="BB144" s="173">
        <f>IF($BA$97=1,AQ144*$BB$102,IF(K144=$K$50,0,IF(K144=$K$53,0,IF(K144=$K$54,0,IF(K144=$K$55,0,IF(K144=$K$56,0,IF(K144=$K$57,0,IF(K144=$K$58,0,IF(K144=$K$65,0,IF(K144=$K$66,0,IF(K144=$K$67,0,IF(K144=$K$68,0,IF(K144=$K$69,0,IF(K144=$K$51,0,1)))))))))))*AQ144*$BB$102)))</f>
        <v>0</v>
      </c>
      <c r="BC144" s="172">
        <f t="shared" si="7"/>
        <v>0</v>
      </c>
      <c r="BD144" s="172">
        <f t="shared" si="8"/>
        <v>0</v>
      </c>
      <c r="BE144" s="172">
        <f>IF($BE$95=I144,$BE$97,IF(I144=$BE$96,$BE$97,1))*($BE$102*AQ144)*$AZ$97</f>
        <v>0</v>
      </c>
      <c r="BF144" s="172">
        <f>IF('[1]Cockpit Retorno'!$C$65=Sim,Mestre!BA144,SUM(BB144:BE144)+(IF(K144=$K$56,AQ144*MOE_IRRF_LR,0)))</f>
        <v>0</v>
      </c>
      <c r="BG144" s="174">
        <f>IF(AA144&gt;0,0,IF(Z144=$Z$82,AG144*1,(IF(Z144=$Z$81,AG144*1,0))))</f>
        <v>0</v>
      </c>
      <c r="BH144" s="174">
        <f>IF(AA144&gt;0,0,IF(Z144=$Z$83,AG144*1,IF(Z144=$Z$81,AG144*1,0)))</f>
        <v>0</v>
      </c>
      <c r="BI144" s="174">
        <f>IF(AA144&gt;0,0,IF(Z144=$Z$84,AG144*1,IF(Z144=$Z$93,AG144*2,IF(Z144=$Z$100,AG144,IF(Z144=$Z$81,AG144*2,IF(Z144=$Z$80,AG144*1,IF(Z144=$Z$79,AG144*3,IF(Z144=$Z$78,AG144*2,0))))))))</f>
        <v>0</v>
      </c>
      <c r="BJ144" s="174">
        <f>IF(AA144&gt;0,0,IF(Z144=$Z$85,AG144,IF(Z144=$Z$93,AG144,IF(Z144=$Z$100,AG144,IF(Z144=$Z$81,AG144*1,IF(Z144=$Z$80,AG144*2,IF(Z144=$Z$79,AG144*2,IF(Z144=$Z$78,AG144*2,0))))))))</f>
        <v>0</v>
      </c>
      <c r="BK144" s="174">
        <f>IF(AA144&gt;0,0,IF(Z144=$Z$92,AG144,0))</f>
        <v>0</v>
      </c>
      <c r="BL144" s="174">
        <f>IF(AA144&gt;0,0,IF(Z144=$Z$91,AG144,0))</f>
        <v>0</v>
      </c>
      <c r="BM144" s="174">
        <f>IF(AA144&gt;0,0,IF(Z144=$Z$86,AG144,0))</f>
        <v>0</v>
      </c>
      <c r="BN144" s="174">
        <f>IF(AA144&gt;0,0,IF(Z144=$Z$87,AG144,0))</f>
        <v>0</v>
      </c>
      <c r="BO144" s="174">
        <f>IF(AA144&gt;0,0,IF(Z144=$Z$88,AG144,0))</f>
        <v>0</v>
      </c>
      <c r="BP144" s="174">
        <f>IF(AA144&gt;0,0,IF(Z144=$Z$89,AG144,0))</f>
        <v>0</v>
      </c>
      <c r="BQ144" s="174">
        <f>IF(AA144&gt;0,0,IF(Z144=$Z$90,AG144,0))</f>
        <v>0</v>
      </c>
      <c r="BR144" s="174">
        <f>IF(Z144=$Z$82,AA144*AG144,0)</f>
        <v>0</v>
      </c>
      <c r="BS144" s="174">
        <f>IF(Z144=$Z$83,AA144*AG144,0)</f>
        <v>0</v>
      </c>
      <c r="BT144" s="174">
        <f>IF(AA144&lt;1,0,IF(Z144=$Z$84,AA144*AG144,IF(Z144=$Z$93,"ERRO",IF(Z144=$Z$100,"ERRO",0))))</f>
        <v>0</v>
      </c>
      <c r="BU144" s="174">
        <f>IF(AA144&lt;1,0,IF(Z144=$Z$85,AA144*AG144,IF(Z144=$Z$93,"ERRO",IF(Z144=$Z$100,"ERRO",0))))</f>
        <v>0</v>
      </c>
      <c r="BV144" s="174">
        <f>IF(Z144=$Z$92,AA144*AG144,0)</f>
        <v>0</v>
      </c>
      <c r="BW144" s="174">
        <f>IF(Z144=$Z$91,AA144*AG144,0)</f>
        <v>0</v>
      </c>
      <c r="BX144" s="174">
        <f>IF(Z144=$Z$86,AA144*AG144,0)</f>
        <v>0</v>
      </c>
      <c r="BY144" s="174">
        <f>IF(Z144=$Z$87,AA144*AG144,0)</f>
        <v>0</v>
      </c>
      <c r="BZ144" s="174">
        <f>IF(Z144=$Z$88,AA144*AG144,0)</f>
        <v>0</v>
      </c>
      <c r="CA144" s="174">
        <f>IF(Z144=$Z$89,AA144*AG144,0)</f>
        <v>0</v>
      </c>
      <c r="CB144" s="174">
        <f>IF(Z144=$Z$90,AA144*AG144,0)</f>
        <v>0</v>
      </c>
      <c r="CC144" s="175">
        <f>IFERROR(IF(L144=$L$49,AG144*AH144*(1+AI144)*(1-AK144)*(1-AL144),0),0)</f>
        <v>1236.6172799999999</v>
      </c>
      <c r="CD144" s="203">
        <f>IF(I144=$CD$97,1,IF(I144=$CD$100,2,IF(K144=$K$66,1,IF(K144=$K$69,1,3))))</f>
        <v>1</v>
      </c>
      <c r="CE144" s="203">
        <f t="shared" si="14"/>
        <v>1.07</v>
      </c>
      <c r="CF144" s="204">
        <f t="shared" si="9"/>
        <v>1.2353999999999998</v>
      </c>
      <c r="CG144" s="203">
        <f t="shared" si="15"/>
        <v>1.42</v>
      </c>
      <c r="CH144" s="204">
        <f t="shared" si="10"/>
        <v>1.5478000000000001</v>
      </c>
      <c r="CI144" s="203">
        <f t="shared" si="16"/>
        <v>1.7</v>
      </c>
      <c r="CJ144" s="205">
        <f t="shared" si="17"/>
        <v>1.0486</v>
      </c>
      <c r="CK144" s="205">
        <f t="shared" si="18"/>
        <v>1.148922</v>
      </c>
      <c r="CL144" s="205">
        <f t="shared" si="19"/>
        <v>1.3915999999999999</v>
      </c>
      <c r="CM144" s="205">
        <f t="shared" si="20"/>
        <v>1.501366</v>
      </c>
      <c r="CN144" s="206">
        <f t="shared" si="21"/>
        <v>1.6319999999999999</v>
      </c>
      <c r="CO144" s="204">
        <f t="shared" si="25"/>
        <v>1.006656</v>
      </c>
      <c r="CP144" s="207">
        <f t="shared" si="11"/>
        <v>0</v>
      </c>
      <c r="CQ144" s="208">
        <f t="shared" si="12"/>
        <v>0</v>
      </c>
      <c r="CR144" s="209">
        <f t="shared" si="13"/>
        <v>0</v>
      </c>
      <c r="CS144" s="49"/>
      <c r="CT144" s="49"/>
      <c r="CU144" s="49"/>
      <c r="CV144" s="49"/>
      <c r="CW144" s="49"/>
      <c r="CX144" s="49"/>
      <c r="CY144" s="49"/>
      <c r="CZ144" s="49"/>
      <c r="DA144" s="49"/>
      <c r="DB144" s="49"/>
      <c r="DC144" s="49"/>
      <c r="DD144" s="49"/>
      <c r="DE144" s="49"/>
      <c r="DF144" s="49"/>
      <c r="DG144" s="49"/>
      <c r="DH144" s="49"/>
      <c r="DI144" s="49"/>
      <c r="DJ144" s="49"/>
      <c r="DK144" s="49"/>
      <c r="DL144" s="49"/>
      <c r="DM144" s="49"/>
      <c r="DN144" s="49"/>
      <c r="DO144" s="49"/>
      <c r="DP144" s="49"/>
      <c r="DQ144" s="49"/>
      <c r="DR144" s="49"/>
      <c r="DS144" s="49"/>
      <c r="DT144" s="49"/>
      <c r="DU144" s="49"/>
      <c r="DV144" s="49"/>
      <c r="DW144" s="49"/>
      <c r="DX144" s="49"/>
      <c r="DY144" s="49"/>
      <c r="DZ144" s="49"/>
      <c r="EA144" s="49"/>
      <c r="EB144" s="49"/>
      <c r="EC144" s="49"/>
      <c r="ED144" s="49"/>
      <c r="EE144" s="49"/>
      <c r="EF144" s="49"/>
      <c r="EG144" s="49"/>
      <c r="EH144" s="49"/>
      <c r="EI144" s="49"/>
      <c r="EJ144" s="49"/>
      <c r="EK144" s="49"/>
      <c r="EL144" s="49"/>
      <c r="EM144" s="49"/>
      <c r="EN144" s="49"/>
      <c r="EO144" s="49"/>
      <c r="EP144" s="49"/>
      <c r="EQ144" s="49"/>
      <c r="ER144" s="49"/>
      <c r="ES144" s="49"/>
      <c r="ET144" s="49"/>
      <c r="EU144" s="49"/>
      <c r="EV144" s="49"/>
      <c r="EW144" s="49"/>
      <c r="EX144" s="49"/>
      <c r="EY144" s="49"/>
      <c r="EZ144" s="49"/>
      <c r="FA144" s="49"/>
    </row>
    <row r="145" spans="1:157" s="210" customFormat="1" ht="51" x14ac:dyDescent="0.25">
      <c r="A145" s="113">
        <f>IF(AND('[1]Cockpit Retorno'!$E$67=Sim,Mestre!M145=Mestre!$M$98),0,1)</f>
        <v>1</v>
      </c>
      <c r="B145" s="113">
        <f>IF(AND('[1]Cockpit Retorno'!$E$67=Sim,Mestre!L145=Mestre!$L$48),0,1)</f>
        <v>1</v>
      </c>
      <c r="C145" s="113">
        <f>IF(AND('[1]Cockpit Retorno'!$E$67=Sim,Mestre!M145=Mestre!$M$97),0,1)</f>
        <v>1</v>
      </c>
      <c r="D145" s="148" t="s">
        <v>7</v>
      </c>
      <c r="E145" s="115"/>
      <c r="F145" s="116" t="s">
        <v>107</v>
      </c>
      <c r="G145" s="149"/>
      <c r="H145" s="150" t="s">
        <v>7</v>
      </c>
      <c r="I145" s="151" t="str">
        <f t="shared" si="1"/>
        <v>Mercadorias</v>
      </c>
      <c r="J145" s="150" t="s">
        <v>15</v>
      </c>
      <c r="K145" s="152" t="s">
        <v>7</v>
      </c>
      <c r="L145" s="153" t="s">
        <v>21</v>
      </c>
      <c r="M145" s="154" t="s">
        <v>290</v>
      </c>
      <c r="N145" s="155" t="s">
        <v>291</v>
      </c>
      <c r="O145" s="155" t="s">
        <v>292</v>
      </c>
      <c r="P145" s="155" t="s">
        <v>43</v>
      </c>
      <c r="Q145" s="155" t="s">
        <v>43</v>
      </c>
      <c r="R145" s="155" t="s">
        <v>43</v>
      </c>
      <c r="S145" s="156" t="s">
        <v>43</v>
      </c>
      <c r="T145" s="156" t="s">
        <v>43</v>
      </c>
      <c r="U145" s="150" t="s">
        <v>43</v>
      </c>
      <c r="V145" s="150" t="s">
        <v>43</v>
      </c>
      <c r="W145" s="150" t="s">
        <v>43</v>
      </c>
      <c r="X145" s="157" t="s">
        <v>299</v>
      </c>
      <c r="Y145" s="150" t="s">
        <v>43</v>
      </c>
      <c r="Z145" s="150" t="s">
        <v>43</v>
      </c>
      <c r="AA145" s="158">
        <v>0</v>
      </c>
      <c r="AB145" s="155" t="s">
        <v>43</v>
      </c>
      <c r="AC145" s="150" t="s">
        <v>43</v>
      </c>
      <c r="AD145" s="155" t="s">
        <v>43</v>
      </c>
      <c r="AE145" s="155"/>
      <c r="AF145" s="150" t="s">
        <v>43</v>
      </c>
      <c r="AG145" s="159">
        <v>1</v>
      </c>
      <c r="AH145" s="159">
        <v>0</v>
      </c>
      <c r="AI145" s="202">
        <v>0</v>
      </c>
      <c r="AJ145" s="161">
        <v>7.0000000000000007E-2</v>
      </c>
      <c r="AK145" s="162">
        <v>0.05</v>
      </c>
      <c r="AL145" s="163"/>
      <c r="AM145" s="164">
        <f>(((IF(L145=$L$101,1,IF(L145=$L$47,1,0))*(AH145*(1-AK145)))*AG145)*(1-AL145))</f>
        <v>0</v>
      </c>
      <c r="AN145" s="165">
        <f>IF(K145=$K$50,AM145,IF(K145=$K$53,AM145,IF(K145=$K$54,AM145,IF(K145=$K$55,AM145,IF(K145=$K$56,AM145,IF(K145=$K$57,AM145,IF(K145=$K$58,AM145,IF(K145=$K$65,AM145,IF(K145=$K$66,AM145,IF(K145=$K$67,AM145,IF(K145=$K$68,AM145,IF(K145=$K$69,AM145,IF(K145=$K$51,AM145,(AM145*(1+AI145)))))))))))))))</f>
        <v>0</v>
      </c>
      <c r="AO145" s="166">
        <v>1.4</v>
      </c>
      <c r="AP145" s="160">
        <f t="shared" si="2"/>
        <v>0</v>
      </c>
      <c r="AQ145" s="167">
        <f t="shared" si="24"/>
        <v>0</v>
      </c>
      <c r="AR145" s="160">
        <f t="shared" si="4"/>
        <v>0</v>
      </c>
      <c r="AS145" s="168">
        <f t="shared" si="5"/>
        <v>0</v>
      </c>
      <c r="AT145" s="169" t="str">
        <f>K145</f>
        <v>MI</v>
      </c>
      <c r="AU145" s="169" t="str">
        <f>I145</f>
        <v>Mercadorias</v>
      </c>
      <c r="AV145" s="170"/>
      <c r="AW145" s="171">
        <f>IF(K145=$K$50,0,IF(K145=$K$53,0,IF(K145=$K$54,0,IF(K145=$K$55,0,IF(K145=$K$56,0,IF(K145=$K$57,0,IF(K145=$K$58,0,IF(K145=$K$65,0,IF(K145=$K$66,0,IF(K145=$K$67,0,IF(K145=$K$68,0,IF(K145=$K$69,0,IF(K145=$K$51,0,1))))))))))))*AM145*AI145)</f>
        <v>0</v>
      </c>
      <c r="AX145" s="172">
        <f>IF(K145=$K$50,0,IF(K145=$K$53,0,IF(K145=$K$54,0,IF(K145=$K$55,0,IF(K145=$K$56,0,IF(K145=$K$57,0,IF(K145=$K$58,0,IF(K145=$K$65,0,IF(K145=$K$66,0,IF(K145=$K$67,0,IF(K145=$K$68,0,IF(K145=$K$69,0,IF(K145=$K$51,0,1))))))))))))*AM145*AJ145*$AX$94)</f>
        <v>0</v>
      </c>
      <c r="AY145" s="172">
        <f>IF(K145=$K$53,0,IF(K145=$K$54,0,IF(K145=$K$55,0,IF(K145=$K$56,0,IF(K145=$K$58,0,IF(K145=$K$50,0,IF(K145=$K$65,0,IF(K145=$K$57,0,IF(K145=$K$51,0,AM145*$AY$102)))))))))</f>
        <v>0</v>
      </c>
      <c r="AZ145" s="172">
        <f>IF(K145=$K$53,0,IF(K145=$K$54,0,IF(K145=$K$55,0,IF(K145=$K$56,0,IF(K145=$K$58,0,IF(K145=$K$50,0,IF(K145=$K$65,0,IF(K145=$K$57,0,IF(K145=$K$51,0,AM145*$AZ$102)))))))))</f>
        <v>0</v>
      </c>
      <c r="BA145" s="172">
        <f t="shared" si="6"/>
        <v>0</v>
      </c>
      <c r="BB145" s="173">
        <f>IF($BA$97=1,AQ145*$BB$102,IF(K145=$K$50,0,IF(K145=$K$53,0,IF(K145=$K$54,0,IF(K145=$K$55,0,IF(K145=$K$56,0,IF(K145=$K$57,0,IF(K145=$K$58,0,IF(K145=$K$65,0,IF(K145=$K$66,0,IF(K145=$K$67,0,IF(K145=$K$68,0,IF(K145=$K$69,0,IF(K145=$K$51,0,1)))))))))))*AQ145*$BB$102)))</f>
        <v>0</v>
      </c>
      <c r="BC145" s="172">
        <f t="shared" si="7"/>
        <v>0</v>
      </c>
      <c r="BD145" s="172">
        <f t="shared" si="8"/>
        <v>0</v>
      </c>
      <c r="BE145" s="172">
        <f>IF($BE$95=I145,$BE$97,IF(I145=$BE$96,$BE$97,1))*($BE$102*AQ145)*$AZ$97</f>
        <v>0</v>
      </c>
      <c r="BF145" s="172">
        <f>IF('[1]Cockpit Retorno'!$C$65=Sim,Mestre!BA145,SUM(BB145:BE145)+(IF(K145=$K$56,AQ145*MOE_IRRF_LR,0)))</f>
        <v>0</v>
      </c>
      <c r="BG145" s="174">
        <f>IF(AA145&gt;0,0,IF(Z145=$Z$82,AG145*1,(IF(Z145=$Z$81,AG145*1,0))))</f>
        <v>0</v>
      </c>
      <c r="BH145" s="174">
        <f>IF(AA145&gt;0,0,IF(Z145=$Z$83,AG145*1,IF(Z145=$Z$81,AG145*1,0)))</f>
        <v>0</v>
      </c>
      <c r="BI145" s="174">
        <f>IF(AA145&gt;0,0,IF(Z145=$Z$84,AG145*1,IF(Z145=$Z$93,AG145*2,IF(Z145=$Z$100,AG145,IF(Z145=$Z$81,AG145*2,IF(Z145=$Z$80,AG145*1,IF(Z145=$Z$79,AG145*3,IF(Z145=$Z$78,AG145*2,0))))))))</f>
        <v>0</v>
      </c>
      <c r="BJ145" s="174">
        <f>IF(AA145&gt;0,0,IF(Z145=$Z$85,AG145,IF(Z145=$Z$93,AG145,IF(Z145=$Z$100,AG145,IF(Z145=$Z$81,AG145*1,IF(Z145=$Z$80,AG145*2,IF(Z145=$Z$79,AG145*2,IF(Z145=$Z$78,AG145*2,0))))))))</f>
        <v>0</v>
      </c>
      <c r="BK145" s="174">
        <f>IF(AA145&gt;0,0,IF(Z145=$Z$92,AG145,0))</f>
        <v>0</v>
      </c>
      <c r="BL145" s="174">
        <f>IF(AA145&gt;0,0,IF(Z145=$Z$91,AG145,0))</f>
        <v>0</v>
      </c>
      <c r="BM145" s="174">
        <f>IF(AA145&gt;0,0,IF(Z145=$Z$86,AG145,0))</f>
        <v>0</v>
      </c>
      <c r="BN145" s="174">
        <f>IF(AA145&gt;0,0,IF(Z145=$Z$87,AG145,0))</f>
        <v>0</v>
      </c>
      <c r="BO145" s="174">
        <f>IF(AA145&gt;0,0,IF(Z145=$Z$88,AG145,0))</f>
        <v>0</v>
      </c>
      <c r="BP145" s="174">
        <f>IF(AA145&gt;0,0,IF(Z145=$Z$89,AG145,0))</f>
        <v>0</v>
      </c>
      <c r="BQ145" s="174">
        <f>IF(AA145&gt;0,0,IF(Z145=$Z$90,AG145,0))</f>
        <v>0</v>
      </c>
      <c r="BR145" s="174">
        <f>IF(Z145=$Z$82,AA145*AG145,0)</f>
        <v>0</v>
      </c>
      <c r="BS145" s="174">
        <f>IF(Z145=$Z$83,AA145*AG145,0)</f>
        <v>0</v>
      </c>
      <c r="BT145" s="174">
        <f>IF(AA145&lt;1,0,IF(Z145=$Z$84,AA145*AG145,IF(Z145=$Z$93,"ERRO",IF(Z145=$Z$100,"ERRO",0))))</f>
        <v>0</v>
      </c>
      <c r="BU145" s="174">
        <f>IF(AA145&lt;1,0,IF(Z145=$Z$85,AA145*AG145,IF(Z145=$Z$93,"ERRO",IF(Z145=$Z$100,"ERRO",0))))</f>
        <v>0</v>
      </c>
      <c r="BV145" s="174">
        <f>IF(Z145=$Z$92,AA145*AG145,0)</f>
        <v>0</v>
      </c>
      <c r="BW145" s="174">
        <f>IF(Z145=$Z$91,AA145*AG145,0)</f>
        <v>0</v>
      </c>
      <c r="BX145" s="174">
        <f>IF(Z145=$Z$86,AA145*AG145,0)</f>
        <v>0</v>
      </c>
      <c r="BY145" s="174">
        <f>IF(Z145=$Z$87,AA145*AG145,0)</f>
        <v>0</v>
      </c>
      <c r="BZ145" s="174">
        <f>IF(Z145=$Z$88,AA145*AG145,0)</f>
        <v>0</v>
      </c>
      <c r="CA145" s="174">
        <f>IF(Z145=$Z$89,AA145*AG145,0)</f>
        <v>0</v>
      </c>
      <c r="CB145" s="174">
        <f>IF(Z145=$Z$90,AA145*AG145,0)</f>
        <v>0</v>
      </c>
      <c r="CC145" s="175">
        <f>IFERROR(IF(L145=$L$49,AG145*AH145*(1+AI145)*(1-AK145)*(1-AL145),0),0)</f>
        <v>0</v>
      </c>
      <c r="CD145" s="203">
        <f>IF(I145=$CD$97,1,IF(I145=$CD$100,2,IF(K145=$K$66,1,IF(K145=$K$69,1,3))))</f>
        <v>1</v>
      </c>
      <c r="CE145" s="203">
        <f t="shared" si="14"/>
        <v>1.07</v>
      </c>
      <c r="CF145" s="204">
        <f t="shared" si="9"/>
        <v>1.2353999999999998</v>
      </c>
      <c r="CG145" s="203">
        <f t="shared" si="15"/>
        <v>1.42</v>
      </c>
      <c r="CH145" s="204">
        <f t="shared" si="10"/>
        <v>1.5478000000000001</v>
      </c>
      <c r="CI145" s="203">
        <f t="shared" si="16"/>
        <v>1.7</v>
      </c>
      <c r="CJ145" s="205">
        <f t="shared" si="17"/>
        <v>1.0486</v>
      </c>
      <c r="CK145" s="205">
        <f t="shared" si="18"/>
        <v>1.148922</v>
      </c>
      <c r="CL145" s="205">
        <f t="shared" si="19"/>
        <v>1.3915999999999999</v>
      </c>
      <c r="CM145" s="205">
        <f t="shared" si="20"/>
        <v>1.501366</v>
      </c>
      <c r="CN145" s="206">
        <f t="shared" si="21"/>
        <v>1.6319999999999999</v>
      </c>
      <c r="CO145" s="204">
        <f t="shared" si="25"/>
        <v>1.006656</v>
      </c>
      <c r="CP145" s="207">
        <f t="shared" si="11"/>
        <v>0</v>
      </c>
      <c r="CQ145" s="208">
        <f t="shared" si="12"/>
        <v>0</v>
      </c>
      <c r="CR145" s="209">
        <f t="shared" si="13"/>
        <v>0</v>
      </c>
      <c r="CS145" s="49"/>
      <c r="CT145" s="49"/>
      <c r="CU145" s="49"/>
      <c r="CV145" s="49"/>
      <c r="CW145" s="49"/>
      <c r="CX145" s="49"/>
      <c r="CY145" s="49"/>
      <c r="CZ145" s="49"/>
      <c r="DA145" s="49"/>
      <c r="DB145" s="49"/>
      <c r="DC145" s="49"/>
      <c r="DD145" s="49"/>
      <c r="DE145" s="49"/>
      <c r="DF145" s="49"/>
      <c r="DG145" s="49"/>
      <c r="DH145" s="49"/>
      <c r="DI145" s="49"/>
      <c r="DJ145" s="49"/>
      <c r="DK145" s="49"/>
      <c r="DL145" s="49"/>
      <c r="DM145" s="49"/>
      <c r="DN145" s="49"/>
      <c r="DO145" s="49"/>
      <c r="DP145" s="49"/>
      <c r="DQ145" s="49"/>
      <c r="DR145" s="49"/>
      <c r="DS145" s="49"/>
      <c r="DT145" s="49"/>
      <c r="DU145" s="49"/>
      <c r="DV145" s="49"/>
      <c r="DW145" s="49"/>
      <c r="DX145" s="49"/>
      <c r="DY145" s="49"/>
      <c r="DZ145" s="49"/>
      <c r="EA145" s="49"/>
      <c r="EB145" s="49"/>
      <c r="EC145" s="49"/>
      <c r="ED145" s="49"/>
      <c r="EE145" s="49"/>
      <c r="EF145" s="49"/>
      <c r="EG145" s="49"/>
      <c r="EH145" s="49"/>
      <c r="EI145" s="49"/>
      <c r="EJ145" s="49"/>
      <c r="EK145" s="49"/>
      <c r="EL145" s="49"/>
      <c r="EM145" s="49"/>
      <c r="EN145" s="49"/>
      <c r="EO145" s="49"/>
      <c r="EP145" s="49"/>
      <c r="EQ145" s="49"/>
      <c r="ER145" s="49"/>
      <c r="ES145" s="49"/>
      <c r="ET145" s="49"/>
      <c r="EU145" s="49"/>
      <c r="EV145" s="49"/>
      <c r="EW145" s="49"/>
      <c r="EX145" s="49"/>
      <c r="EY145" s="49"/>
      <c r="EZ145" s="49"/>
      <c r="FA145" s="49"/>
    </row>
    <row r="146" spans="1:157" s="210" customFormat="1" ht="51" x14ac:dyDescent="0.25">
      <c r="A146" s="113">
        <f>IF(AND('[1]Cockpit Retorno'!$E$67=Sim,Mestre!M146=Mestre!$M$98),0,1)</f>
        <v>1</v>
      </c>
      <c r="B146" s="113">
        <f>IF(AND('[1]Cockpit Retorno'!$E$67=Sim,Mestre!L146=Mestre!$L$48),0,1)</f>
        <v>1</v>
      </c>
      <c r="C146" s="113">
        <f>IF(AND('[1]Cockpit Retorno'!$E$67=Sim,Mestre!M146=Mestre!$M$97),0,1)</f>
        <v>1</v>
      </c>
      <c r="D146" s="148" t="s">
        <v>7</v>
      </c>
      <c r="E146" s="115"/>
      <c r="F146" s="116" t="s">
        <v>107</v>
      </c>
      <c r="G146" s="149"/>
      <c r="H146" s="150" t="s">
        <v>7</v>
      </c>
      <c r="I146" s="151" t="str">
        <f t="shared" si="1"/>
        <v>Mercadorias</v>
      </c>
      <c r="J146" s="150" t="s">
        <v>15</v>
      </c>
      <c r="K146" s="152" t="s">
        <v>7</v>
      </c>
      <c r="L146" s="153" t="s">
        <v>21</v>
      </c>
      <c r="M146" s="154" t="s">
        <v>290</v>
      </c>
      <c r="N146" s="155" t="s">
        <v>291</v>
      </c>
      <c r="O146" s="155" t="s">
        <v>292</v>
      </c>
      <c r="P146" s="155" t="s">
        <v>43</v>
      </c>
      <c r="Q146" s="155" t="s">
        <v>43</v>
      </c>
      <c r="R146" s="155" t="s">
        <v>43</v>
      </c>
      <c r="S146" s="156" t="s">
        <v>43</v>
      </c>
      <c r="T146" s="156" t="s">
        <v>43</v>
      </c>
      <c r="U146" s="150" t="s">
        <v>43</v>
      </c>
      <c r="V146" s="150" t="s">
        <v>43</v>
      </c>
      <c r="W146" s="150" t="s">
        <v>43</v>
      </c>
      <c r="X146" s="157" t="s">
        <v>300</v>
      </c>
      <c r="Y146" s="150" t="s">
        <v>43</v>
      </c>
      <c r="Z146" s="150" t="s">
        <v>43</v>
      </c>
      <c r="AA146" s="158">
        <v>0</v>
      </c>
      <c r="AB146" s="155" t="s">
        <v>43</v>
      </c>
      <c r="AC146" s="150" t="s">
        <v>43</v>
      </c>
      <c r="AD146" s="155" t="s">
        <v>43</v>
      </c>
      <c r="AE146" s="155"/>
      <c r="AF146" s="150" t="s">
        <v>43</v>
      </c>
      <c r="AG146" s="159">
        <v>2</v>
      </c>
      <c r="AH146" s="159">
        <v>0</v>
      </c>
      <c r="AI146" s="202">
        <v>0</v>
      </c>
      <c r="AJ146" s="161">
        <v>7.0000000000000007E-2</v>
      </c>
      <c r="AK146" s="162">
        <v>0.05</v>
      </c>
      <c r="AL146" s="163"/>
      <c r="AM146" s="164">
        <f>(((IF(L146=$L$101,1,IF(L146=$L$47,1,0))*(AH146*(1-AK146)))*AG146)*(1-AL146))</f>
        <v>0</v>
      </c>
      <c r="AN146" s="165">
        <f>IF(K146=$K$50,AM146,IF(K146=$K$53,AM146,IF(K146=$K$54,AM146,IF(K146=$K$55,AM146,IF(K146=$K$56,AM146,IF(K146=$K$57,AM146,IF(K146=$K$58,AM146,IF(K146=$K$65,AM146,IF(K146=$K$66,AM146,IF(K146=$K$67,AM146,IF(K146=$K$68,AM146,IF(K146=$K$69,AM146,IF(K146=$K$51,AM146,(AM146*(1+AI146)))))))))))))))</f>
        <v>0</v>
      </c>
      <c r="AO146" s="166">
        <v>1.4</v>
      </c>
      <c r="AP146" s="160">
        <f t="shared" si="2"/>
        <v>0</v>
      </c>
      <c r="AQ146" s="167">
        <f t="shared" si="24"/>
        <v>0</v>
      </c>
      <c r="AR146" s="160">
        <f t="shared" si="4"/>
        <v>0</v>
      </c>
      <c r="AS146" s="168">
        <f t="shared" si="5"/>
        <v>0</v>
      </c>
      <c r="AT146" s="169" t="str">
        <f>K146</f>
        <v>MI</v>
      </c>
      <c r="AU146" s="169" t="str">
        <f>I146</f>
        <v>Mercadorias</v>
      </c>
      <c r="AV146" s="170"/>
      <c r="AW146" s="171">
        <f>IF(K146=$K$50,0,IF(K146=$K$53,0,IF(K146=$K$54,0,IF(K146=$K$55,0,IF(K146=$K$56,0,IF(K146=$K$57,0,IF(K146=$K$58,0,IF(K146=$K$65,0,IF(K146=$K$66,0,IF(K146=$K$67,0,IF(K146=$K$68,0,IF(K146=$K$69,0,IF(K146=$K$51,0,1))))))))))))*AM146*AI146)</f>
        <v>0</v>
      </c>
      <c r="AX146" s="172">
        <f>IF(K146=$K$50,0,IF(K146=$K$53,0,IF(K146=$K$54,0,IF(K146=$K$55,0,IF(K146=$K$56,0,IF(K146=$K$57,0,IF(K146=$K$58,0,IF(K146=$K$65,0,IF(K146=$K$66,0,IF(K146=$K$67,0,IF(K146=$K$68,0,IF(K146=$K$69,0,IF(K146=$K$51,0,1))))))))))))*AM146*AJ146*$AX$94)</f>
        <v>0</v>
      </c>
      <c r="AY146" s="172">
        <f>IF(K146=$K$53,0,IF(K146=$K$54,0,IF(K146=$K$55,0,IF(K146=$K$56,0,IF(K146=$K$58,0,IF(K146=$K$50,0,IF(K146=$K$65,0,IF(K146=$K$57,0,IF(K146=$K$51,0,AM146*$AY$102)))))))))</f>
        <v>0</v>
      </c>
      <c r="AZ146" s="172">
        <f>IF(K146=$K$53,0,IF(K146=$K$54,0,IF(K146=$K$55,0,IF(K146=$K$56,0,IF(K146=$K$58,0,IF(K146=$K$50,0,IF(K146=$K$65,0,IF(K146=$K$57,0,IF(K146=$K$51,0,AM146*$AZ$102)))))))))</f>
        <v>0</v>
      </c>
      <c r="BA146" s="172">
        <f t="shared" si="6"/>
        <v>0</v>
      </c>
      <c r="BB146" s="173">
        <f>IF($BA$97=1,AQ146*$BB$102,IF(K146=$K$50,0,IF(K146=$K$53,0,IF(K146=$K$54,0,IF(K146=$K$55,0,IF(K146=$K$56,0,IF(K146=$K$57,0,IF(K146=$K$58,0,IF(K146=$K$65,0,IF(K146=$K$66,0,IF(K146=$K$67,0,IF(K146=$K$68,0,IF(K146=$K$69,0,IF(K146=$K$51,0,1)))))))))))*AQ146*$BB$102)))</f>
        <v>0</v>
      </c>
      <c r="BC146" s="172">
        <f t="shared" si="7"/>
        <v>0</v>
      </c>
      <c r="BD146" s="172">
        <f t="shared" si="8"/>
        <v>0</v>
      </c>
      <c r="BE146" s="172">
        <f>IF($BE$95=I146,$BE$97,IF(I146=$BE$96,$BE$97,1))*($BE$102*AQ146)*$AZ$97</f>
        <v>0</v>
      </c>
      <c r="BF146" s="172">
        <f>IF('[1]Cockpit Retorno'!$C$65=Sim,Mestre!BA146,SUM(BB146:BE146)+(IF(K146=$K$56,AQ146*MOE_IRRF_LR,0)))</f>
        <v>0</v>
      </c>
      <c r="BG146" s="174">
        <f>IF(AA146&gt;0,0,IF(Z146=$Z$82,AG146*1,(IF(Z146=$Z$81,AG146*1,0))))</f>
        <v>0</v>
      </c>
      <c r="BH146" s="174">
        <f>IF(AA146&gt;0,0,IF(Z146=$Z$83,AG146*1,IF(Z146=$Z$81,AG146*1,0)))</f>
        <v>0</v>
      </c>
      <c r="BI146" s="174">
        <f>IF(AA146&gt;0,0,IF(Z146=$Z$84,AG146*1,IF(Z146=$Z$93,AG146*2,IF(Z146=$Z$100,AG146,IF(Z146=$Z$81,AG146*2,IF(Z146=$Z$80,AG146*1,IF(Z146=$Z$79,AG146*3,IF(Z146=$Z$78,AG146*2,0))))))))</f>
        <v>0</v>
      </c>
      <c r="BJ146" s="174">
        <f>IF(AA146&gt;0,0,IF(Z146=$Z$85,AG146,IF(Z146=$Z$93,AG146,IF(Z146=$Z$100,AG146,IF(Z146=$Z$81,AG146*1,IF(Z146=$Z$80,AG146*2,IF(Z146=$Z$79,AG146*2,IF(Z146=$Z$78,AG146*2,0))))))))</f>
        <v>0</v>
      </c>
      <c r="BK146" s="174">
        <f>IF(AA146&gt;0,0,IF(Z146=$Z$92,AG146,0))</f>
        <v>0</v>
      </c>
      <c r="BL146" s="174">
        <f>IF(AA146&gt;0,0,IF(Z146=$Z$91,AG146,0))</f>
        <v>0</v>
      </c>
      <c r="BM146" s="174">
        <f>IF(AA146&gt;0,0,IF(Z146=$Z$86,AG146,0))</f>
        <v>0</v>
      </c>
      <c r="BN146" s="174">
        <f>IF(AA146&gt;0,0,IF(Z146=$Z$87,AG146,0))</f>
        <v>0</v>
      </c>
      <c r="BO146" s="174">
        <f>IF(AA146&gt;0,0,IF(Z146=$Z$88,AG146,0))</f>
        <v>0</v>
      </c>
      <c r="BP146" s="174">
        <f>IF(AA146&gt;0,0,IF(Z146=$Z$89,AG146,0))</f>
        <v>0</v>
      </c>
      <c r="BQ146" s="174">
        <f>IF(AA146&gt;0,0,IF(Z146=$Z$90,AG146,0))</f>
        <v>0</v>
      </c>
      <c r="BR146" s="174">
        <f>IF(Z146=$Z$82,AA146*AG146,0)</f>
        <v>0</v>
      </c>
      <c r="BS146" s="174">
        <f>IF(Z146=$Z$83,AA146*AG146,0)</f>
        <v>0</v>
      </c>
      <c r="BT146" s="174">
        <f>IF(AA146&lt;1,0,IF(Z146=$Z$84,AA146*AG146,IF(Z146=$Z$93,"ERRO",IF(Z146=$Z$100,"ERRO",0))))</f>
        <v>0</v>
      </c>
      <c r="BU146" s="174">
        <f>IF(AA146&lt;1,0,IF(Z146=$Z$85,AA146*AG146,IF(Z146=$Z$93,"ERRO",IF(Z146=$Z$100,"ERRO",0))))</f>
        <v>0</v>
      </c>
      <c r="BV146" s="174">
        <f>IF(Z146=$Z$92,AA146*AG146,0)</f>
        <v>0</v>
      </c>
      <c r="BW146" s="174">
        <f>IF(Z146=$Z$91,AA146*AG146,0)</f>
        <v>0</v>
      </c>
      <c r="BX146" s="174">
        <f>IF(Z146=$Z$86,AA146*AG146,0)</f>
        <v>0</v>
      </c>
      <c r="BY146" s="174">
        <f>IF(Z146=$Z$87,AA146*AG146,0)</f>
        <v>0</v>
      </c>
      <c r="BZ146" s="174">
        <f>IF(Z146=$Z$88,AA146*AG146,0)</f>
        <v>0</v>
      </c>
      <c r="CA146" s="174">
        <f>IF(Z146=$Z$89,AA146*AG146,0)</f>
        <v>0</v>
      </c>
      <c r="CB146" s="174">
        <f>IF(Z146=$Z$90,AA146*AG146,0)</f>
        <v>0</v>
      </c>
      <c r="CC146" s="175">
        <f>IFERROR(IF(L146=$L$49,AG146*AH146*(1+AI146)*(1-AK146)*(1-AL146),0),0)</f>
        <v>0</v>
      </c>
      <c r="CD146" s="203">
        <f>IF(I146=$CD$97,1,IF(I146=$CD$100,2,IF(K146=$K$66,1,IF(K146=$K$69,1,3))))</f>
        <v>1</v>
      </c>
      <c r="CE146" s="203">
        <f t="shared" si="14"/>
        <v>1.07</v>
      </c>
      <c r="CF146" s="204">
        <f t="shared" si="9"/>
        <v>1.2353999999999998</v>
      </c>
      <c r="CG146" s="203">
        <f t="shared" si="15"/>
        <v>1.42</v>
      </c>
      <c r="CH146" s="204">
        <f t="shared" si="10"/>
        <v>1.5478000000000001</v>
      </c>
      <c r="CI146" s="203">
        <f t="shared" si="16"/>
        <v>1.7</v>
      </c>
      <c r="CJ146" s="205">
        <f t="shared" si="17"/>
        <v>1.0486</v>
      </c>
      <c r="CK146" s="205">
        <f t="shared" si="18"/>
        <v>1.148922</v>
      </c>
      <c r="CL146" s="205">
        <f t="shared" si="19"/>
        <v>1.3915999999999999</v>
      </c>
      <c r="CM146" s="205">
        <f t="shared" si="20"/>
        <v>1.501366</v>
      </c>
      <c r="CN146" s="206">
        <f t="shared" si="21"/>
        <v>1.6319999999999999</v>
      </c>
      <c r="CO146" s="204">
        <f t="shared" si="25"/>
        <v>1.006656</v>
      </c>
      <c r="CP146" s="207">
        <f t="shared" si="11"/>
        <v>0</v>
      </c>
      <c r="CQ146" s="208">
        <f t="shared" si="12"/>
        <v>0</v>
      </c>
      <c r="CR146" s="209">
        <f t="shared" si="13"/>
        <v>0</v>
      </c>
      <c r="CS146" s="49"/>
      <c r="CT146" s="49"/>
      <c r="CU146" s="49"/>
      <c r="CV146" s="49"/>
      <c r="CW146" s="49"/>
      <c r="CX146" s="49"/>
      <c r="CY146" s="49"/>
      <c r="CZ146" s="49"/>
      <c r="DA146" s="49"/>
      <c r="DB146" s="49"/>
      <c r="DC146" s="49"/>
      <c r="DD146" s="49"/>
      <c r="DE146" s="49"/>
      <c r="DF146" s="49"/>
      <c r="DG146" s="49"/>
      <c r="DH146" s="49"/>
      <c r="DI146" s="49"/>
      <c r="DJ146" s="49"/>
      <c r="DK146" s="49"/>
      <c r="DL146" s="49"/>
      <c r="DM146" s="49"/>
      <c r="DN146" s="49"/>
      <c r="DO146" s="49"/>
      <c r="DP146" s="49"/>
      <c r="DQ146" s="49"/>
      <c r="DR146" s="49"/>
      <c r="DS146" s="49"/>
      <c r="DT146" s="49"/>
      <c r="DU146" s="49"/>
      <c r="DV146" s="49"/>
      <c r="DW146" s="49"/>
      <c r="DX146" s="49"/>
      <c r="DY146" s="49"/>
      <c r="DZ146" s="49"/>
      <c r="EA146" s="49"/>
      <c r="EB146" s="49"/>
      <c r="EC146" s="49"/>
      <c r="ED146" s="49"/>
      <c r="EE146" s="49"/>
      <c r="EF146" s="49"/>
      <c r="EG146" s="49"/>
      <c r="EH146" s="49"/>
      <c r="EI146" s="49"/>
      <c r="EJ146" s="49"/>
      <c r="EK146" s="49"/>
      <c r="EL146" s="49"/>
      <c r="EM146" s="49"/>
      <c r="EN146" s="49"/>
      <c r="EO146" s="49"/>
      <c r="EP146" s="49"/>
      <c r="EQ146" s="49"/>
      <c r="ER146" s="49"/>
      <c r="ES146" s="49"/>
      <c r="ET146" s="49"/>
      <c r="EU146" s="49"/>
      <c r="EV146" s="49"/>
      <c r="EW146" s="49"/>
      <c r="EX146" s="49"/>
      <c r="EY146" s="49"/>
      <c r="EZ146" s="49"/>
      <c r="FA146" s="49"/>
    </row>
    <row r="147" spans="1:157" s="210" customFormat="1" x14ac:dyDescent="0.25">
      <c r="A147" s="113">
        <f>IF(AND('[1]Cockpit Retorno'!$E$67=Sim,Mestre!M147=Mestre!$M$98),0,1)</f>
        <v>1</v>
      </c>
      <c r="B147" s="113">
        <f>IF(AND('[1]Cockpit Retorno'!$E$67=Sim,Mestre!L147=Mestre!$L$48),0,1)</f>
        <v>1</v>
      </c>
      <c r="C147" s="113">
        <f>IF(AND('[1]Cockpit Retorno'!$E$67=Sim,Mestre!M147=Mestre!$M$97),0,1)</f>
        <v>1</v>
      </c>
      <c r="D147" s="148" t="s">
        <v>7</v>
      </c>
      <c r="E147" s="115"/>
      <c r="F147" s="116" t="s">
        <v>107</v>
      </c>
      <c r="G147" s="149"/>
      <c r="H147" s="150" t="s">
        <v>7</v>
      </c>
      <c r="I147" s="151" t="str">
        <f t="shared" si="1"/>
        <v>Mercadorias</v>
      </c>
      <c r="J147" s="150" t="s">
        <v>15</v>
      </c>
      <c r="K147" s="152" t="s">
        <v>7</v>
      </c>
      <c r="L147" s="153" t="s">
        <v>21</v>
      </c>
      <c r="M147" s="154" t="s">
        <v>290</v>
      </c>
      <c r="N147" s="155" t="s">
        <v>291</v>
      </c>
      <c r="O147" s="155" t="s">
        <v>292</v>
      </c>
      <c r="P147" s="155" t="s">
        <v>43</v>
      </c>
      <c r="Q147" s="155" t="s">
        <v>43</v>
      </c>
      <c r="R147" s="155" t="s">
        <v>43</v>
      </c>
      <c r="S147" s="156" t="s">
        <v>43</v>
      </c>
      <c r="T147" s="156" t="s">
        <v>43</v>
      </c>
      <c r="U147" s="150" t="s">
        <v>43</v>
      </c>
      <c r="V147" s="150" t="s">
        <v>43</v>
      </c>
      <c r="W147" s="150" t="s">
        <v>43</v>
      </c>
      <c r="X147" s="157" t="s">
        <v>301</v>
      </c>
      <c r="Y147" s="150" t="s">
        <v>43</v>
      </c>
      <c r="Z147" s="150" t="s">
        <v>43</v>
      </c>
      <c r="AA147" s="158">
        <v>0</v>
      </c>
      <c r="AB147" s="155" t="s">
        <v>43</v>
      </c>
      <c r="AC147" s="150" t="s">
        <v>43</v>
      </c>
      <c r="AD147" s="155" t="s">
        <v>43</v>
      </c>
      <c r="AE147" s="155"/>
      <c r="AF147" s="150" t="s">
        <v>43</v>
      </c>
      <c r="AG147" s="159">
        <v>600</v>
      </c>
      <c r="AH147" s="159">
        <v>3.5619000000000001</v>
      </c>
      <c r="AI147" s="202">
        <v>0</v>
      </c>
      <c r="AJ147" s="161">
        <v>7.0000000000000007E-2</v>
      </c>
      <c r="AK147" s="162">
        <v>0.05</v>
      </c>
      <c r="AL147" s="163"/>
      <c r="AM147" s="164">
        <f>(((IF(L147=$L$101,1,IF(L147=$L$47,1,0))*(AH147*(1-AK147)))*AG147)*(1-AL147))</f>
        <v>0</v>
      </c>
      <c r="AN147" s="165">
        <f>IF(K147=$K$50,AM147,IF(K147=$K$53,AM147,IF(K147=$K$54,AM147,IF(K147=$K$55,AM147,IF(K147=$K$56,AM147,IF(K147=$K$57,AM147,IF(K147=$K$58,AM147,IF(K147=$K$65,AM147,IF(K147=$K$66,AM147,IF(K147=$K$67,AM147,IF(K147=$K$68,AM147,IF(K147=$K$69,AM147,IF(K147=$K$51,AM147,(AM147*(1+AI147)))))))))))))))</f>
        <v>0</v>
      </c>
      <c r="AO147" s="166">
        <v>1.4</v>
      </c>
      <c r="AP147" s="160">
        <f t="shared" si="2"/>
        <v>0</v>
      </c>
      <c r="AQ147" s="167">
        <f t="shared" si="24"/>
        <v>0</v>
      </c>
      <c r="AR147" s="160">
        <f t="shared" si="4"/>
        <v>0</v>
      </c>
      <c r="AS147" s="168">
        <f t="shared" si="5"/>
        <v>0</v>
      </c>
      <c r="AT147" s="169" t="str">
        <f>K147</f>
        <v>MI</v>
      </c>
      <c r="AU147" s="169" t="str">
        <f>I147</f>
        <v>Mercadorias</v>
      </c>
      <c r="AV147" s="170"/>
      <c r="AW147" s="171">
        <f>IF(K147=$K$50,0,IF(K147=$K$53,0,IF(K147=$K$54,0,IF(K147=$K$55,0,IF(K147=$K$56,0,IF(K147=$K$57,0,IF(K147=$K$58,0,IF(K147=$K$65,0,IF(K147=$K$66,0,IF(K147=$K$67,0,IF(K147=$K$68,0,IF(K147=$K$69,0,IF(K147=$K$51,0,1))))))))))))*AM147*AI147)</f>
        <v>0</v>
      </c>
      <c r="AX147" s="172">
        <f>IF(K147=$K$50,0,IF(K147=$K$53,0,IF(K147=$K$54,0,IF(K147=$K$55,0,IF(K147=$K$56,0,IF(K147=$K$57,0,IF(K147=$K$58,0,IF(K147=$K$65,0,IF(K147=$K$66,0,IF(K147=$K$67,0,IF(K147=$K$68,0,IF(K147=$K$69,0,IF(K147=$K$51,0,1))))))))))))*AM147*AJ147*$AX$94)</f>
        <v>0</v>
      </c>
      <c r="AY147" s="172">
        <f>IF(K147=$K$53,0,IF(K147=$K$54,0,IF(K147=$K$55,0,IF(K147=$K$56,0,IF(K147=$K$58,0,IF(K147=$K$50,0,IF(K147=$K$65,0,IF(K147=$K$57,0,IF(K147=$K$51,0,AM147*$AY$102)))))))))</f>
        <v>0</v>
      </c>
      <c r="AZ147" s="172">
        <f>IF(K147=$K$53,0,IF(K147=$K$54,0,IF(K147=$K$55,0,IF(K147=$K$56,0,IF(K147=$K$58,0,IF(K147=$K$50,0,IF(K147=$K$65,0,IF(K147=$K$57,0,IF(K147=$K$51,0,AM147*$AZ$102)))))))))</f>
        <v>0</v>
      </c>
      <c r="BA147" s="172">
        <f t="shared" si="6"/>
        <v>0</v>
      </c>
      <c r="BB147" s="173">
        <f>IF($BA$97=1,AQ147*$BB$102,IF(K147=$K$50,0,IF(K147=$K$53,0,IF(K147=$K$54,0,IF(K147=$K$55,0,IF(K147=$K$56,0,IF(K147=$K$57,0,IF(K147=$K$58,0,IF(K147=$K$65,0,IF(K147=$K$66,0,IF(K147=$K$67,0,IF(K147=$K$68,0,IF(K147=$K$69,0,IF(K147=$K$51,0,1)))))))))))*AQ147*$BB$102)))</f>
        <v>0</v>
      </c>
      <c r="BC147" s="172">
        <f t="shared" si="7"/>
        <v>0</v>
      </c>
      <c r="BD147" s="172">
        <f t="shared" si="8"/>
        <v>0</v>
      </c>
      <c r="BE147" s="172">
        <f>IF($BE$95=I147,$BE$97,IF(I147=$BE$96,$BE$97,1))*($BE$102*AQ147)*$AZ$97</f>
        <v>0</v>
      </c>
      <c r="BF147" s="172">
        <f>IF('[1]Cockpit Retorno'!$C$65=Sim,Mestre!BA147,SUM(BB147:BE147)+(IF(K147=$K$56,AQ147*MOE_IRRF_LR,0)))</f>
        <v>0</v>
      </c>
      <c r="BG147" s="174">
        <f>IF(AA147&gt;0,0,IF(Z147=$Z$82,AG147*1,(IF(Z147=$Z$81,AG147*1,0))))</f>
        <v>0</v>
      </c>
      <c r="BH147" s="174">
        <f>IF(AA147&gt;0,0,IF(Z147=$Z$83,AG147*1,IF(Z147=$Z$81,AG147*1,0)))</f>
        <v>0</v>
      </c>
      <c r="BI147" s="174">
        <f>IF(AA147&gt;0,0,IF(Z147=$Z$84,AG147*1,IF(Z147=$Z$93,AG147*2,IF(Z147=$Z$100,AG147,IF(Z147=$Z$81,AG147*2,IF(Z147=$Z$80,AG147*1,IF(Z147=$Z$79,AG147*3,IF(Z147=$Z$78,AG147*2,0))))))))</f>
        <v>0</v>
      </c>
      <c r="BJ147" s="174">
        <f>IF(AA147&gt;0,0,IF(Z147=$Z$85,AG147,IF(Z147=$Z$93,AG147,IF(Z147=$Z$100,AG147,IF(Z147=$Z$81,AG147*1,IF(Z147=$Z$80,AG147*2,IF(Z147=$Z$79,AG147*2,IF(Z147=$Z$78,AG147*2,0))))))))</f>
        <v>0</v>
      </c>
      <c r="BK147" s="174">
        <f>IF(AA147&gt;0,0,IF(Z147=$Z$92,AG147,0))</f>
        <v>0</v>
      </c>
      <c r="BL147" s="174">
        <f>IF(AA147&gt;0,0,IF(Z147=$Z$91,AG147,0))</f>
        <v>0</v>
      </c>
      <c r="BM147" s="174">
        <f>IF(AA147&gt;0,0,IF(Z147=$Z$86,AG147,0))</f>
        <v>0</v>
      </c>
      <c r="BN147" s="174">
        <f>IF(AA147&gt;0,0,IF(Z147=$Z$87,AG147,0))</f>
        <v>0</v>
      </c>
      <c r="BO147" s="174">
        <f>IF(AA147&gt;0,0,IF(Z147=$Z$88,AG147,0))</f>
        <v>0</v>
      </c>
      <c r="BP147" s="174">
        <f>IF(AA147&gt;0,0,IF(Z147=$Z$89,AG147,0))</f>
        <v>0</v>
      </c>
      <c r="BQ147" s="174">
        <f>IF(AA147&gt;0,0,IF(Z147=$Z$90,AG147,0))</f>
        <v>0</v>
      </c>
      <c r="BR147" s="174">
        <f>IF(Z147=$Z$82,AA147*AG147,0)</f>
        <v>0</v>
      </c>
      <c r="BS147" s="174">
        <f>IF(Z147=$Z$83,AA147*AG147,0)</f>
        <v>0</v>
      </c>
      <c r="BT147" s="174">
        <f>IF(AA147&lt;1,0,IF(Z147=$Z$84,AA147*AG147,IF(Z147=$Z$93,"ERRO",IF(Z147=$Z$100,"ERRO",0))))</f>
        <v>0</v>
      </c>
      <c r="BU147" s="174">
        <f>IF(AA147&lt;1,0,IF(Z147=$Z$85,AA147*AG147,IF(Z147=$Z$93,"ERRO",IF(Z147=$Z$100,"ERRO",0))))</f>
        <v>0</v>
      </c>
      <c r="BV147" s="174">
        <f>IF(Z147=$Z$92,AA147*AG147,0)</f>
        <v>0</v>
      </c>
      <c r="BW147" s="174">
        <f>IF(Z147=$Z$91,AA147*AG147,0)</f>
        <v>0</v>
      </c>
      <c r="BX147" s="174">
        <f>IF(Z147=$Z$86,AA147*AG147,0)</f>
        <v>0</v>
      </c>
      <c r="BY147" s="174">
        <f>IF(Z147=$Z$87,AA147*AG147,0)</f>
        <v>0</v>
      </c>
      <c r="BZ147" s="174">
        <f>IF(Z147=$Z$88,AA147*AG147,0)</f>
        <v>0</v>
      </c>
      <c r="CA147" s="174">
        <f>IF(Z147=$Z$89,AA147*AG147,0)</f>
        <v>0</v>
      </c>
      <c r="CB147" s="174">
        <f>IF(Z147=$Z$90,AA147*AG147,0)</f>
        <v>0</v>
      </c>
      <c r="CC147" s="175">
        <f>IFERROR(IF(L147=$L$49,AG147*AH147*(1+AI147)*(1-AK147)*(1-AL147),0),0)</f>
        <v>2030.2829999999997</v>
      </c>
      <c r="CD147" s="203">
        <f>IF(I147=$CD$97,1,IF(I147=$CD$100,2,IF(K147=$K$66,1,IF(K147=$K$69,1,3))))</f>
        <v>1</v>
      </c>
      <c r="CE147" s="203">
        <f t="shared" si="14"/>
        <v>1.07</v>
      </c>
      <c r="CF147" s="204">
        <f t="shared" si="9"/>
        <v>1.2353999999999998</v>
      </c>
      <c r="CG147" s="203">
        <f t="shared" si="15"/>
        <v>1.42</v>
      </c>
      <c r="CH147" s="204">
        <f t="shared" si="10"/>
        <v>1.5478000000000001</v>
      </c>
      <c r="CI147" s="203">
        <f t="shared" si="16"/>
        <v>1.7</v>
      </c>
      <c r="CJ147" s="205">
        <f t="shared" si="17"/>
        <v>1.0486</v>
      </c>
      <c r="CK147" s="205">
        <f t="shared" si="18"/>
        <v>1.148922</v>
      </c>
      <c r="CL147" s="205">
        <f t="shared" si="19"/>
        <v>1.3915999999999999</v>
      </c>
      <c r="CM147" s="205">
        <f t="shared" si="20"/>
        <v>1.501366</v>
      </c>
      <c r="CN147" s="206">
        <f t="shared" si="21"/>
        <v>1.6319999999999999</v>
      </c>
      <c r="CO147" s="204">
        <f t="shared" si="25"/>
        <v>1.006656</v>
      </c>
      <c r="CP147" s="207">
        <f t="shared" si="11"/>
        <v>0</v>
      </c>
      <c r="CQ147" s="208">
        <f t="shared" si="12"/>
        <v>0</v>
      </c>
      <c r="CR147" s="209">
        <f t="shared" si="13"/>
        <v>0</v>
      </c>
      <c r="CS147" s="49"/>
      <c r="CT147" s="49"/>
      <c r="CU147" s="49"/>
      <c r="CV147" s="49"/>
      <c r="CW147" s="49"/>
      <c r="CX147" s="49"/>
      <c r="CY147" s="49"/>
      <c r="CZ147" s="49"/>
      <c r="DA147" s="49"/>
      <c r="DB147" s="49"/>
      <c r="DC147" s="49"/>
      <c r="DD147" s="49"/>
      <c r="DE147" s="49"/>
      <c r="DF147" s="49"/>
      <c r="DG147" s="49"/>
      <c r="DH147" s="49"/>
      <c r="DI147" s="49"/>
      <c r="DJ147" s="49"/>
      <c r="DK147" s="49"/>
      <c r="DL147" s="49"/>
      <c r="DM147" s="49"/>
      <c r="DN147" s="49"/>
      <c r="DO147" s="49"/>
      <c r="DP147" s="49"/>
      <c r="DQ147" s="49"/>
      <c r="DR147" s="49"/>
      <c r="DS147" s="49"/>
      <c r="DT147" s="49"/>
      <c r="DU147" s="49"/>
      <c r="DV147" s="49"/>
      <c r="DW147" s="49"/>
      <c r="DX147" s="49"/>
      <c r="DY147" s="49"/>
      <c r="DZ147" s="49"/>
      <c r="EA147" s="49"/>
      <c r="EB147" s="49"/>
      <c r="EC147" s="49"/>
      <c r="ED147" s="49"/>
      <c r="EE147" s="49"/>
      <c r="EF147" s="49"/>
      <c r="EG147" s="49"/>
      <c r="EH147" s="49"/>
      <c r="EI147" s="49"/>
      <c r="EJ147" s="49"/>
      <c r="EK147" s="49"/>
      <c r="EL147" s="49"/>
      <c r="EM147" s="49"/>
      <c r="EN147" s="49"/>
      <c r="EO147" s="49"/>
      <c r="EP147" s="49"/>
      <c r="EQ147" s="49"/>
      <c r="ER147" s="49"/>
      <c r="ES147" s="49"/>
      <c r="ET147" s="49"/>
      <c r="EU147" s="49"/>
      <c r="EV147" s="49"/>
      <c r="EW147" s="49"/>
      <c r="EX147" s="49"/>
      <c r="EY147" s="49"/>
      <c r="EZ147" s="49"/>
      <c r="FA147" s="49"/>
    </row>
    <row r="148" spans="1:157" s="210" customFormat="1" ht="25.5" x14ac:dyDescent="0.25">
      <c r="A148" s="113">
        <f>IF(AND('[1]Cockpit Retorno'!$E$67=Sim,Mestre!M148=Mestre!$M$98),0,1)</f>
        <v>1</v>
      </c>
      <c r="B148" s="113">
        <f>IF(AND('[1]Cockpit Retorno'!$E$67=Sim,Mestre!L148=Mestre!$L$48),0,1)</f>
        <v>1</v>
      </c>
      <c r="C148" s="113">
        <f>IF(AND('[1]Cockpit Retorno'!$E$67=Sim,Mestre!M148=Mestre!$M$97),0,1)</f>
        <v>1</v>
      </c>
      <c r="D148" s="148" t="s">
        <v>7</v>
      </c>
      <c r="E148" s="115"/>
      <c r="F148" s="116" t="s">
        <v>107</v>
      </c>
      <c r="G148" s="149">
        <v>18</v>
      </c>
      <c r="H148" s="150" t="s">
        <v>7</v>
      </c>
      <c r="I148" s="151" t="str">
        <f t="shared" si="1"/>
        <v>Mercadorias</v>
      </c>
      <c r="J148" s="150" t="s">
        <v>15</v>
      </c>
      <c r="K148" s="152" t="s">
        <v>7</v>
      </c>
      <c r="L148" s="153" t="s">
        <v>21</v>
      </c>
      <c r="M148" s="154" t="s">
        <v>290</v>
      </c>
      <c r="N148" s="155" t="s">
        <v>291</v>
      </c>
      <c r="O148" s="155" t="s">
        <v>292</v>
      </c>
      <c r="P148" s="155" t="s">
        <v>43</v>
      </c>
      <c r="Q148" s="155" t="s">
        <v>43</v>
      </c>
      <c r="R148" s="155" t="s">
        <v>43</v>
      </c>
      <c r="S148" s="156" t="s">
        <v>43</v>
      </c>
      <c r="T148" s="156" t="s">
        <v>43</v>
      </c>
      <c r="U148" s="150" t="s">
        <v>43</v>
      </c>
      <c r="V148" s="150" t="s">
        <v>43</v>
      </c>
      <c r="W148" s="150" t="s">
        <v>43</v>
      </c>
      <c r="X148" s="157" t="s">
        <v>302</v>
      </c>
      <c r="Y148" s="150" t="s">
        <v>43</v>
      </c>
      <c r="Z148" s="150" t="s">
        <v>43</v>
      </c>
      <c r="AA148" s="158">
        <v>0</v>
      </c>
      <c r="AB148" s="155" t="s">
        <v>43</v>
      </c>
      <c r="AC148" s="150" t="s">
        <v>43</v>
      </c>
      <c r="AD148" s="155" t="s">
        <v>43</v>
      </c>
      <c r="AE148" s="155"/>
      <c r="AF148" s="150" t="s">
        <v>43</v>
      </c>
      <c r="AG148" s="159">
        <v>90</v>
      </c>
      <c r="AH148" s="159">
        <v>69.145499999999998</v>
      </c>
      <c r="AI148" s="202">
        <v>0</v>
      </c>
      <c r="AJ148" s="161">
        <v>7.0000000000000007E-2</v>
      </c>
      <c r="AK148" s="162">
        <v>0.05</v>
      </c>
      <c r="AL148" s="163"/>
      <c r="AM148" s="164">
        <f>(((IF(L148=$L$101,1,IF(L148=$L$47,1,0))*(AH148*(1-AK148)))*AG148)*(1-AL148))</f>
        <v>0</v>
      </c>
      <c r="AN148" s="165">
        <f>IF(K148=$K$50,AM148,IF(K148=$K$53,AM148,IF(K148=$K$54,AM148,IF(K148=$K$55,AM148,IF(K148=$K$56,AM148,IF(K148=$K$57,AM148,IF(K148=$K$58,AM148,IF(K148=$K$65,AM148,IF(K148=$K$66,AM148,IF(K148=$K$67,AM148,IF(K148=$K$68,AM148,IF(K148=$K$69,AM148,IF(K148=$K$51,AM148,(AM148*(1+AI148)))))))))))))))</f>
        <v>0</v>
      </c>
      <c r="AO148" s="166">
        <v>1.4</v>
      </c>
      <c r="AP148" s="160">
        <f t="shared" si="2"/>
        <v>0</v>
      </c>
      <c r="AQ148" s="167">
        <f t="shared" si="24"/>
        <v>0</v>
      </c>
      <c r="AR148" s="160">
        <f t="shared" si="4"/>
        <v>0</v>
      </c>
      <c r="AS148" s="168">
        <f t="shared" si="5"/>
        <v>0</v>
      </c>
      <c r="AT148" s="169" t="str">
        <f>K148</f>
        <v>MI</v>
      </c>
      <c r="AU148" s="169" t="str">
        <f>I148</f>
        <v>Mercadorias</v>
      </c>
      <c r="AV148" s="170"/>
      <c r="AW148" s="171">
        <f>IF(K148=$K$50,0,IF(K148=$K$53,0,IF(K148=$K$54,0,IF(K148=$K$55,0,IF(K148=$K$56,0,IF(K148=$K$57,0,IF(K148=$K$58,0,IF(K148=$K$65,0,IF(K148=$K$66,0,IF(K148=$K$67,0,IF(K148=$K$68,0,IF(K148=$K$69,0,IF(K148=$K$51,0,1))))))))))))*AM148*AI148)</f>
        <v>0</v>
      </c>
      <c r="AX148" s="172">
        <f>IF(K148=$K$50,0,IF(K148=$K$53,0,IF(K148=$K$54,0,IF(K148=$K$55,0,IF(K148=$K$56,0,IF(K148=$K$57,0,IF(K148=$K$58,0,IF(K148=$K$65,0,IF(K148=$K$66,0,IF(K148=$K$67,0,IF(K148=$K$68,0,IF(K148=$K$69,0,IF(K148=$K$51,0,1))))))))))))*AM148*AJ148*$AX$94)</f>
        <v>0</v>
      </c>
      <c r="AY148" s="172">
        <f>IF(K148=$K$53,0,IF(K148=$K$54,0,IF(K148=$K$55,0,IF(K148=$K$56,0,IF(K148=$K$58,0,IF(K148=$K$50,0,IF(K148=$K$65,0,IF(K148=$K$57,0,IF(K148=$K$51,0,AM148*$AY$102)))))))))</f>
        <v>0</v>
      </c>
      <c r="AZ148" s="172">
        <f>IF(K148=$K$53,0,IF(K148=$K$54,0,IF(K148=$K$55,0,IF(K148=$K$56,0,IF(K148=$K$58,0,IF(K148=$K$50,0,IF(K148=$K$65,0,IF(K148=$K$57,0,IF(K148=$K$51,0,AM148*$AZ$102)))))))))</f>
        <v>0</v>
      </c>
      <c r="BA148" s="172">
        <f t="shared" si="6"/>
        <v>0</v>
      </c>
      <c r="BB148" s="173">
        <f>IF($BA$97=1,AQ148*$BB$102,IF(K148=$K$50,0,IF(K148=$K$53,0,IF(K148=$K$54,0,IF(K148=$K$55,0,IF(K148=$K$56,0,IF(K148=$K$57,0,IF(K148=$K$58,0,IF(K148=$K$65,0,IF(K148=$K$66,0,IF(K148=$K$67,0,IF(K148=$K$68,0,IF(K148=$K$69,0,IF(K148=$K$51,0,1)))))))))))*AQ148*$BB$102)))</f>
        <v>0</v>
      </c>
      <c r="BC148" s="172">
        <f t="shared" si="7"/>
        <v>0</v>
      </c>
      <c r="BD148" s="172">
        <f t="shared" si="8"/>
        <v>0</v>
      </c>
      <c r="BE148" s="172">
        <f>IF($BE$95=I148,$BE$97,IF(I148=$BE$96,$BE$97,1))*($BE$102*AQ148)*$AZ$97</f>
        <v>0</v>
      </c>
      <c r="BF148" s="172">
        <f>IF('[1]Cockpit Retorno'!$C$65=Sim,Mestre!BA148,SUM(BB148:BE148)+(IF(K148=$K$56,AQ148*MOE_IRRF_LR,0)))</f>
        <v>0</v>
      </c>
      <c r="BG148" s="174">
        <f>IF(AA148&gt;0,0,IF(Z148=$Z$82,AG148*1,(IF(Z148=$Z$81,AG148*1,0))))</f>
        <v>0</v>
      </c>
      <c r="BH148" s="174">
        <f>IF(AA148&gt;0,0,IF(Z148=$Z$83,AG148*1,IF(Z148=$Z$81,AG148*1,0)))</f>
        <v>0</v>
      </c>
      <c r="BI148" s="174">
        <f>IF(AA148&gt;0,0,IF(Z148=$Z$84,AG148*1,IF(Z148=$Z$93,AG148*2,IF(Z148=$Z$100,AG148,IF(Z148=$Z$81,AG148*2,IF(Z148=$Z$80,AG148*1,IF(Z148=$Z$79,AG148*3,IF(Z148=$Z$78,AG148*2,0))))))))</f>
        <v>0</v>
      </c>
      <c r="BJ148" s="174">
        <f>IF(AA148&gt;0,0,IF(Z148=$Z$85,AG148,IF(Z148=$Z$93,AG148,IF(Z148=$Z$100,AG148,IF(Z148=$Z$81,AG148*1,IF(Z148=$Z$80,AG148*2,IF(Z148=$Z$79,AG148*2,IF(Z148=$Z$78,AG148*2,0))))))))</f>
        <v>0</v>
      </c>
      <c r="BK148" s="174">
        <f>IF(AA148&gt;0,0,IF(Z148=$Z$92,AG148,0))</f>
        <v>0</v>
      </c>
      <c r="BL148" s="174">
        <f>IF(AA148&gt;0,0,IF(Z148=$Z$91,AG148,0))</f>
        <v>0</v>
      </c>
      <c r="BM148" s="174">
        <f>IF(AA148&gt;0,0,IF(Z148=$Z$86,AG148,0))</f>
        <v>0</v>
      </c>
      <c r="BN148" s="174">
        <f>IF(AA148&gt;0,0,IF(Z148=$Z$87,AG148,0))</f>
        <v>0</v>
      </c>
      <c r="BO148" s="174">
        <f>IF(AA148&gt;0,0,IF(Z148=$Z$88,AG148,0))</f>
        <v>0</v>
      </c>
      <c r="BP148" s="174">
        <f>IF(AA148&gt;0,0,IF(Z148=$Z$89,AG148,0))</f>
        <v>0</v>
      </c>
      <c r="BQ148" s="174">
        <f>IF(AA148&gt;0,0,IF(Z148=$Z$90,AG148,0))</f>
        <v>0</v>
      </c>
      <c r="BR148" s="174">
        <f>IF(Z148=$Z$82,AA148*AG148,0)</f>
        <v>0</v>
      </c>
      <c r="BS148" s="174">
        <f>IF(Z148=$Z$83,AA148*AG148,0)</f>
        <v>0</v>
      </c>
      <c r="BT148" s="174">
        <f>IF(AA148&lt;1,0,IF(Z148=$Z$84,AA148*AG148,IF(Z148=$Z$93,"ERRO",IF(Z148=$Z$100,"ERRO",0))))</f>
        <v>0</v>
      </c>
      <c r="BU148" s="174">
        <f>IF(AA148&lt;1,0,IF(Z148=$Z$85,AA148*AG148,IF(Z148=$Z$93,"ERRO",IF(Z148=$Z$100,"ERRO",0))))</f>
        <v>0</v>
      </c>
      <c r="BV148" s="174">
        <f>IF(Z148=$Z$92,AA148*AG148,0)</f>
        <v>0</v>
      </c>
      <c r="BW148" s="174">
        <f>IF(Z148=$Z$91,AA148*AG148,0)</f>
        <v>0</v>
      </c>
      <c r="BX148" s="174">
        <f>IF(Z148=$Z$86,AA148*AG148,0)</f>
        <v>0</v>
      </c>
      <c r="BY148" s="174">
        <f>IF(Z148=$Z$87,AA148*AG148,0)</f>
        <v>0</v>
      </c>
      <c r="BZ148" s="174">
        <f>IF(Z148=$Z$88,AA148*AG148,0)</f>
        <v>0</v>
      </c>
      <c r="CA148" s="174">
        <f>IF(Z148=$Z$89,AA148*AG148,0)</f>
        <v>0</v>
      </c>
      <c r="CB148" s="174">
        <f>IF(Z148=$Z$90,AA148*AG148,0)</f>
        <v>0</v>
      </c>
      <c r="CC148" s="175">
        <f>IFERROR(IF(L148=$L$49,AG148*AH148*(1+AI148)*(1-AK148)*(1-AL148),0),0)</f>
        <v>5911.9402499999997</v>
      </c>
      <c r="CD148" s="203">
        <f>IF(I148=$CD$97,1,IF(I148=$CD$100,2,IF(K148=$K$66,1,IF(K148=$K$69,1,3))))</f>
        <v>1</v>
      </c>
      <c r="CE148" s="203">
        <f t="shared" si="14"/>
        <v>1.07</v>
      </c>
      <c r="CF148" s="204">
        <f t="shared" si="9"/>
        <v>1.2353999999999998</v>
      </c>
      <c r="CG148" s="203">
        <f t="shared" si="15"/>
        <v>1.42</v>
      </c>
      <c r="CH148" s="204">
        <f t="shared" si="10"/>
        <v>1.5478000000000001</v>
      </c>
      <c r="CI148" s="203">
        <f t="shared" si="16"/>
        <v>1.7</v>
      </c>
      <c r="CJ148" s="205">
        <f t="shared" si="17"/>
        <v>1.0486</v>
      </c>
      <c r="CK148" s="205">
        <f t="shared" si="18"/>
        <v>1.148922</v>
      </c>
      <c r="CL148" s="205">
        <f t="shared" si="19"/>
        <v>1.3915999999999999</v>
      </c>
      <c r="CM148" s="205">
        <f t="shared" si="20"/>
        <v>1.501366</v>
      </c>
      <c r="CN148" s="206">
        <f t="shared" si="21"/>
        <v>1.6319999999999999</v>
      </c>
      <c r="CO148" s="204">
        <f t="shared" si="25"/>
        <v>1.006656</v>
      </c>
      <c r="CP148" s="207">
        <f t="shared" si="11"/>
        <v>0</v>
      </c>
      <c r="CQ148" s="208">
        <f t="shared" si="12"/>
        <v>0</v>
      </c>
      <c r="CR148" s="209">
        <f t="shared" si="13"/>
        <v>0</v>
      </c>
      <c r="CS148" s="49"/>
      <c r="CT148" s="49"/>
      <c r="CU148" s="49"/>
      <c r="CV148" s="49"/>
      <c r="CW148" s="49"/>
      <c r="CX148" s="49"/>
      <c r="CY148" s="49"/>
      <c r="CZ148" s="49"/>
      <c r="DA148" s="49"/>
      <c r="DB148" s="49"/>
      <c r="DC148" s="49"/>
      <c r="DD148" s="49"/>
      <c r="DE148" s="49"/>
      <c r="DF148" s="49"/>
      <c r="DG148" s="49"/>
      <c r="DH148" s="49"/>
      <c r="DI148" s="49"/>
      <c r="DJ148" s="49"/>
      <c r="DK148" s="49"/>
      <c r="DL148" s="49"/>
      <c r="DM148" s="49"/>
      <c r="DN148" s="49"/>
      <c r="DO148" s="49"/>
      <c r="DP148" s="49"/>
      <c r="DQ148" s="49"/>
      <c r="DR148" s="49"/>
      <c r="DS148" s="49"/>
      <c r="DT148" s="49"/>
      <c r="DU148" s="49"/>
      <c r="DV148" s="49"/>
      <c r="DW148" s="49"/>
      <c r="DX148" s="49"/>
      <c r="DY148" s="49"/>
      <c r="DZ148" s="49"/>
      <c r="EA148" s="49"/>
      <c r="EB148" s="49"/>
      <c r="EC148" s="49"/>
      <c r="ED148" s="49"/>
      <c r="EE148" s="49"/>
      <c r="EF148" s="49"/>
      <c r="EG148" s="49"/>
      <c r="EH148" s="49"/>
      <c r="EI148" s="49"/>
      <c r="EJ148" s="49"/>
      <c r="EK148" s="49"/>
      <c r="EL148" s="49"/>
      <c r="EM148" s="49"/>
      <c r="EN148" s="49"/>
      <c r="EO148" s="49"/>
      <c r="EP148" s="49"/>
      <c r="EQ148" s="49"/>
      <c r="ER148" s="49"/>
      <c r="ES148" s="49"/>
      <c r="ET148" s="49"/>
      <c r="EU148" s="49"/>
      <c r="EV148" s="49"/>
      <c r="EW148" s="49"/>
      <c r="EX148" s="49"/>
      <c r="EY148" s="49"/>
      <c r="EZ148" s="49"/>
      <c r="FA148" s="49"/>
    </row>
    <row r="149" spans="1:157" s="210" customFormat="1" ht="25.5" x14ac:dyDescent="0.25">
      <c r="A149" s="113">
        <f>IF(AND('[1]Cockpit Retorno'!$E$67=Sim,Mestre!M149=Mestre!$M$98),0,1)</f>
        <v>1</v>
      </c>
      <c r="B149" s="113">
        <f>IF(AND('[1]Cockpit Retorno'!$E$67=Sim,Mestre!L149=Mestre!$L$48),0,1)</f>
        <v>1</v>
      </c>
      <c r="C149" s="113">
        <f>IF(AND('[1]Cockpit Retorno'!$E$67=Sim,Mestre!M149=Mestre!$M$97),0,1)</f>
        <v>1</v>
      </c>
      <c r="D149" s="148" t="s">
        <v>7</v>
      </c>
      <c r="E149" s="115"/>
      <c r="F149" s="116" t="s">
        <v>107</v>
      </c>
      <c r="G149" s="149">
        <v>18</v>
      </c>
      <c r="H149" s="150" t="s">
        <v>7</v>
      </c>
      <c r="I149" s="151" t="str">
        <f t="shared" si="1"/>
        <v>Mercadorias</v>
      </c>
      <c r="J149" s="150" t="s">
        <v>15</v>
      </c>
      <c r="K149" s="152" t="s">
        <v>7</v>
      </c>
      <c r="L149" s="153" t="s">
        <v>21</v>
      </c>
      <c r="M149" s="154" t="s">
        <v>290</v>
      </c>
      <c r="N149" s="155" t="s">
        <v>291</v>
      </c>
      <c r="O149" s="155" t="s">
        <v>292</v>
      </c>
      <c r="P149" s="155" t="s">
        <v>43</v>
      </c>
      <c r="Q149" s="155" t="s">
        <v>43</v>
      </c>
      <c r="R149" s="155" t="s">
        <v>43</v>
      </c>
      <c r="S149" s="156" t="s">
        <v>43</v>
      </c>
      <c r="T149" s="156" t="s">
        <v>43</v>
      </c>
      <c r="U149" s="150" t="s">
        <v>43</v>
      </c>
      <c r="V149" s="150" t="s">
        <v>43</v>
      </c>
      <c r="W149" s="150" t="s">
        <v>43</v>
      </c>
      <c r="X149" s="157" t="s">
        <v>303</v>
      </c>
      <c r="Y149" s="150" t="s">
        <v>43</v>
      </c>
      <c r="Z149" s="150" t="s">
        <v>43</v>
      </c>
      <c r="AA149" s="158">
        <v>0</v>
      </c>
      <c r="AB149" s="155" t="s">
        <v>43</v>
      </c>
      <c r="AC149" s="150" t="s">
        <v>43</v>
      </c>
      <c r="AD149" s="155" t="s">
        <v>43</v>
      </c>
      <c r="AE149" s="155"/>
      <c r="AF149" s="150" t="s">
        <v>43</v>
      </c>
      <c r="AG149" s="159">
        <v>130</v>
      </c>
      <c r="AH149" s="159">
        <v>82.081800000000015</v>
      </c>
      <c r="AI149" s="202">
        <v>0</v>
      </c>
      <c r="AJ149" s="161">
        <v>7.0000000000000007E-2</v>
      </c>
      <c r="AK149" s="162">
        <v>0.05</v>
      </c>
      <c r="AL149" s="163"/>
      <c r="AM149" s="164">
        <f>(((IF(L149=$L$101,1,IF(L149=$L$47,1,0))*(AH149*(1-AK149)))*AG149)*(1-AL149))</f>
        <v>0</v>
      </c>
      <c r="AN149" s="165">
        <f>IF(K149=$K$50,AM149,IF(K149=$K$53,AM149,IF(K149=$K$54,AM149,IF(K149=$K$55,AM149,IF(K149=$K$56,AM149,IF(K149=$K$57,AM149,IF(K149=$K$58,AM149,IF(K149=$K$65,AM149,IF(K149=$K$66,AM149,IF(K149=$K$67,AM149,IF(K149=$K$68,AM149,IF(K149=$K$69,AM149,IF(K149=$K$51,AM149,(AM149*(1+AI149)))))))))))))))</f>
        <v>0</v>
      </c>
      <c r="AO149" s="166">
        <v>1.4</v>
      </c>
      <c r="AP149" s="160">
        <f t="shared" si="2"/>
        <v>0</v>
      </c>
      <c r="AQ149" s="167">
        <f t="shared" si="24"/>
        <v>0</v>
      </c>
      <c r="AR149" s="160">
        <f t="shared" si="4"/>
        <v>0</v>
      </c>
      <c r="AS149" s="168">
        <f t="shared" si="5"/>
        <v>0</v>
      </c>
      <c r="AT149" s="169" t="str">
        <f>K149</f>
        <v>MI</v>
      </c>
      <c r="AU149" s="169" t="str">
        <f>I149</f>
        <v>Mercadorias</v>
      </c>
      <c r="AV149" s="170"/>
      <c r="AW149" s="171">
        <f>IF(K149=$K$50,0,IF(K149=$K$53,0,IF(K149=$K$54,0,IF(K149=$K$55,0,IF(K149=$K$56,0,IF(K149=$K$57,0,IF(K149=$K$58,0,IF(K149=$K$65,0,IF(K149=$K$66,0,IF(K149=$K$67,0,IF(K149=$K$68,0,IF(K149=$K$69,0,IF(K149=$K$51,0,1))))))))))))*AM149*AI149)</f>
        <v>0</v>
      </c>
      <c r="AX149" s="172">
        <f>IF(K149=$K$50,0,IF(K149=$K$53,0,IF(K149=$K$54,0,IF(K149=$K$55,0,IF(K149=$K$56,0,IF(K149=$K$57,0,IF(K149=$K$58,0,IF(K149=$K$65,0,IF(K149=$K$66,0,IF(K149=$K$67,0,IF(K149=$K$68,0,IF(K149=$K$69,0,IF(K149=$K$51,0,1))))))))))))*AM149*AJ149*$AX$94)</f>
        <v>0</v>
      </c>
      <c r="AY149" s="172">
        <f>IF(K149=$K$53,0,IF(K149=$K$54,0,IF(K149=$K$55,0,IF(K149=$K$56,0,IF(K149=$K$58,0,IF(K149=$K$50,0,IF(K149=$K$65,0,IF(K149=$K$57,0,IF(K149=$K$51,0,AM149*$AY$102)))))))))</f>
        <v>0</v>
      </c>
      <c r="AZ149" s="172">
        <f>IF(K149=$K$53,0,IF(K149=$K$54,0,IF(K149=$K$55,0,IF(K149=$K$56,0,IF(K149=$K$58,0,IF(K149=$K$50,0,IF(K149=$K$65,0,IF(K149=$K$57,0,IF(K149=$K$51,0,AM149*$AZ$102)))))))))</f>
        <v>0</v>
      </c>
      <c r="BA149" s="172">
        <f t="shared" si="6"/>
        <v>0</v>
      </c>
      <c r="BB149" s="173">
        <f>IF($BA$97=1,AQ149*$BB$102,IF(K149=$K$50,0,IF(K149=$K$53,0,IF(K149=$K$54,0,IF(K149=$K$55,0,IF(K149=$K$56,0,IF(K149=$K$57,0,IF(K149=$K$58,0,IF(K149=$K$65,0,IF(K149=$K$66,0,IF(K149=$K$67,0,IF(K149=$K$68,0,IF(K149=$K$69,0,IF(K149=$K$51,0,1)))))))))))*AQ149*$BB$102)))</f>
        <v>0</v>
      </c>
      <c r="BC149" s="172">
        <f t="shared" si="7"/>
        <v>0</v>
      </c>
      <c r="BD149" s="172">
        <f t="shared" si="8"/>
        <v>0</v>
      </c>
      <c r="BE149" s="172">
        <f>IF($BE$95=I149,$BE$97,IF(I149=$BE$96,$BE$97,1))*($BE$102*AQ149)*$AZ$97</f>
        <v>0</v>
      </c>
      <c r="BF149" s="172">
        <f>IF('[1]Cockpit Retorno'!$C$65=Sim,Mestre!BA149,SUM(BB149:BE149)+(IF(K149=$K$56,AQ149*MOE_IRRF_LR,0)))</f>
        <v>0</v>
      </c>
      <c r="BG149" s="174">
        <f>IF(AA149&gt;0,0,IF(Z149=$Z$82,AG149*1,(IF(Z149=$Z$81,AG149*1,0))))</f>
        <v>0</v>
      </c>
      <c r="BH149" s="174">
        <f>IF(AA149&gt;0,0,IF(Z149=$Z$83,AG149*1,IF(Z149=$Z$81,AG149*1,0)))</f>
        <v>0</v>
      </c>
      <c r="BI149" s="174">
        <f>IF(AA149&gt;0,0,IF(Z149=$Z$84,AG149*1,IF(Z149=$Z$93,AG149*2,IF(Z149=$Z$100,AG149,IF(Z149=$Z$81,AG149*2,IF(Z149=$Z$80,AG149*1,IF(Z149=$Z$79,AG149*3,IF(Z149=$Z$78,AG149*2,0))))))))</f>
        <v>0</v>
      </c>
      <c r="BJ149" s="174">
        <f>IF(AA149&gt;0,0,IF(Z149=$Z$85,AG149,IF(Z149=$Z$93,AG149,IF(Z149=$Z$100,AG149,IF(Z149=$Z$81,AG149*1,IF(Z149=$Z$80,AG149*2,IF(Z149=$Z$79,AG149*2,IF(Z149=$Z$78,AG149*2,0))))))))</f>
        <v>0</v>
      </c>
      <c r="BK149" s="174">
        <f>IF(AA149&gt;0,0,IF(Z149=$Z$92,AG149,0))</f>
        <v>0</v>
      </c>
      <c r="BL149" s="174">
        <f>IF(AA149&gt;0,0,IF(Z149=$Z$91,AG149,0))</f>
        <v>0</v>
      </c>
      <c r="BM149" s="174">
        <f>IF(AA149&gt;0,0,IF(Z149=$Z$86,AG149,0))</f>
        <v>0</v>
      </c>
      <c r="BN149" s="174">
        <f>IF(AA149&gt;0,0,IF(Z149=$Z$87,AG149,0))</f>
        <v>0</v>
      </c>
      <c r="BO149" s="174">
        <f>IF(AA149&gt;0,0,IF(Z149=$Z$88,AG149,0))</f>
        <v>0</v>
      </c>
      <c r="BP149" s="174">
        <f>IF(AA149&gt;0,0,IF(Z149=$Z$89,AG149,0))</f>
        <v>0</v>
      </c>
      <c r="BQ149" s="174">
        <f>IF(AA149&gt;0,0,IF(Z149=$Z$90,AG149,0))</f>
        <v>0</v>
      </c>
      <c r="BR149" s="174">
        <f>IF(Z149=$Z$82,AA149*AG149,0)</f>
        <v>0</v>
      </c>
      <c r="BS149" s="174">
        <f>IF(Z149=$Z$83,AA149*AG149,0)</f>
        <v>0</v>
      </c>
      <c r="BT149" s="174">
        <f>IF(AA149&lt;1,0,IF(Z149=$Z$84,AA149*AG149,IF(Z149=$Z$93,"ERRO",IF(Z149=$Z$100,"ERRO",0))))</f>
        <v>0</v>
      </c>
      <c r="BU149" s="174">
        <f>IF(AA149&lt;1,0,IF(Z149=$Z$85,AA149*AG149,IF(Z149=$Z$93,"ERRO",IF(Z149=$Z$100,"ERRO",0))))</f>
        <v>0</v>
      </c>
      <c r="BV149" s="174">
        <f>IF(Z149=$Z$92,AA149*AG149,0)</f>
        <v>0</v>
      </c>
      <c r="BW149" s="174">
        <f>IF(Z149=$Z$91,AA149*AG149,0)</f>
        <v>0</v>
      </c>
      <c r="BX149" s="174">
        <f>IF(Z149=$Z$86,AA149*AG149,0)</f>
        <v>0</v>
      </c>
      <c r="BY149" s="174">
        <f>IF(Z149=$Z$87,AA149*AG149,0)</f>
        <v>0</v>
      </c>
      <c r="BZ149" s="174">
        <f>IF(Z149=$Z$88,AA149*AG149,0)</f>
        <v>0</v>
      </c>
      <c r="CA149" s="174">
        <f>IF(Z149=$Z$89,AA149*AG149,0)</f>
        <v>0</v>
      </c>
      <c r="CB149" s="174">
        <f>IF(Z149=$Z$90,AA149*AG149,0)</f>
        <v>0</v>
      </c>
      <c r="CC149" s="175">
        <f>IFERROR(IF(L149=$L$49,AG149*AH149*(1+AI149)*(1-AK149)*(1-AL149),0),0)</f>
        <v>10137.1023</v>
      </c>
      <c r="CD149" s="203">
        <f>IF(I149=$CD$97,1,IF(I149=$CD$100,2,IF(K149=$K$66,1,IF(K149=$K$69,1,3))))</f>
        <v>1</v>
      </c>
      <c r="CE149" s="203">
        <f t="shared" si="14"/>
        <v>1.07</v>
      </c>
      <c r="CF149" s="204">
        <f t="shared" si="9"/>
        <v>1.2353999999999998</v>
      </c>
      <c r="CG149" s="203">
        <f t="shared" si="15"/>
        <v>1.42</v>
      </c>
      <c r="CH149" s="204">
        <f t="shared" si="10"/>
        <v>1.5478000000000001</v>
      </c>
      <c r="CI149" s="203">
        <f t="shared" si="16"/>
        <v>1.7</v>
      </c>
      <c r="CJ149" s="205">
        <f t="shared" si="17"/>
        <v>1.0486</v>
      </c>
      <c r="CK149" s="205">
        <f t="shared" si="18"/>
        <v>1.148922</v>
      </c>
      <c r="CL149" s="205">
        <f t="shared" si="19"/>
        <v>1.3915999999999999</v>
      </c>
      <c r="CM149" s="205">
        <f t="shared" si="20"/>
        <v>1.501366</v>
      </c>
      <c r="CN149" s="206">
        <f t="shared" si="21"/>
        <v>1.6319999999999999</v>
      </c>
      <c r="CO149" s="204">
        <f t="shared" si="25"/>
        <v>1.006656</v>
      </c>
      <c r="CP149" s="207">
        <f t="shared" si="11"/>
        <v>0</v>
      </c>
      <c r="CQ149" s="208">
        <f t="shared" si="12"/>
        <v>0</v>
      </c>
      <c r="CR149" s="209">
        <f t="shared" si="13"/>
        <v>0</v>
      </c>
      <c r="CS149" s="49"/>
      <c r="CT149" s="49"/>
      <c r="CU149" s="49"/>
      <c r="CV149" s="49"/>
      <c r="CW149" s="49"/>
      <c r="CX149" s="49"/>
      <c r="CY149" s="49"/>
      <c r="CZ149" s="49"/>
      <c r="DA149" s="49"/>
      <c r="DB149" s="49"/>
      <c r="DC149" s="49"/>
      <c r="DD149" s="49"/>
      <c r="DE149" s="49"/>
      <c r="DF149" s="49"/>
      <c r="DG149" s="49"/>
      <c r="DH149" s="49"/>
      <c r="DI149" s="49"/>
      <c r="DJ149" s="49"/>
      <c r="DK149" s="49"/>
      <c r="DL149" s="49"/>
      <c r="DM149" s="49"/>
      <c r="DN149" s="49"/>
      <c r="DO149" s="49"/>
      <c r="DP149" s="49"/>
      <c r="DQ149" s="49"/>
      <c r="DR149" s="49"/>
      <c r="DS149" s="49"/>
      <c r="DT149" s="49"/>
      <c r="DU149" s="49"/>
      <c r="DV149" s="49"/>
      <c r="DW149" s="49"/>
      <c r="DX149" s="49"/>
      <c r="DY149" s="49"/>
      <c r="DZ149" s="49"/>
      <c r="EA149" s="49"/>
      <c r="EB149" s="49"/>
      <c r="EC149" s="49"/>
      <c r="ED149" s="49"/>
      <c r="EE149" s="49"/>
      <c r="EF149" s="49"/>
      <c r="EG149" s="49"/>
      <c r="EH149" s="49"/>
      <c r="EI149" s="49"/>
      <c r="EJ149" s="49"/>
      <c r="EK149" s="49"/>
      <c r="EL149" s="49"/>
      <c r="EM149" s="49"/>
      <c r="EN149" s="49"/>
      <c r="EO149" s="49"/>
      <c r="EP149" s="49"/>
      <c r="EQ149" s="49"/>
      <c r="ER149" s="49"/>
      <c r="ES149" s="49"/>
      <c r="ET149" s="49"/>
      <c r="EU149" s="49"/>
      <c r="EV149" s="49"/>
      <c r="EW149" s="49"/>
      <c r="EX149" s="49"/>
      <c r="EY149" s="49"/>
      <c r="EZ149" s="49"/>
      <c r="FA149" s="49"/>
    </row>
    <row r="150" spans="1:157" s="210" customFormat="1" x14ac:dyDescent="0.25">
      <c r="A150" s="113">
        <f>IF(AND('[1]Cockpit Retorno'!$E$67=Sim,Mestre!M150=Mestre!$M$98),0,1)</f>
        <v>1</v>
      </c>
      <c r="B150" s="113">
        <f>IF(AND('[1]Cockpit Retorno'!$E$67=Sim,Mestre!L150=Mestre!$L$48),0,1)</f>
        <v>1</v>
      </c>
      <c r="C150" s="113">
        <f>IF(AND('[1]Cockpit Retorno'!$E$67=Sim,Mestre!M150=Mestre!$M$97),0,1)</f>
        <v>1</v>
      </c>
      <c r="D150" s="148" t="s">
        <v>7</v>
      </c>
      <c r="E150" s="115"/>
      <c r="F150" s="116" t="s">
        <v>107</v>
      </c>
      <c r="G150" s="149"/>
      <c r="H150" s="150" t="s">
        <v>7</v>
      </c>
      <c r="I150" s="151" t="str">
        <f t="shared" si="1"/>
        <v>Mercadorias</v>
      </c>
      <c r="J150" s="150" t="s">
        <v>15</v>
      </c>
      <c r="K150" s="152" t="s">
        <v>7</v>
      </c>
      <c r="L150" s="153" t="s">
        <v>21</v>
      </c>
      <c r="M150" s="154" t="s">
        <v>290</v>
      </c>
      <c r="N150" s="155" t="s">
        <v>291</v>
      </c>
      <c r="O150" s="155" t="s">
        <v>292</v>
      </c>
      <c r="P150" s="155" t="s">
        <v>43</v>
      </c>
      <c r="Q150" s="155" t="s">
        <v>43</v>
      </c>
      <c r="R150" s="155" t="s">
        <v>43</v>
      </c>
      <c r="S150" s="156" t="s">
        <v>43</v>
      </c>
      <c r="T150" s="156" t="s">
        <v>43</v>
      </c>
      <c r="U150" s="150" t="s">
        <v>43</v>
      </c>
      <c r="V150" s="150" t="s">
        <v>43</v>
      </c>
      <c r="W150" s="150" t="s">
        <v>43</v>
      </c>
      <c r="X150" s="157" t="s">
        <v>304</v>
      </c>
      <c r="Y150" s="150" t="s">
        <v>43</v>
      </c>
      <c r="Z150" s="150" t="s">
        <v>43</v>
      </c>
      <c r="AA150" s="158">
        <v>0</v>
      </c>
      <c r="AB150" s="155" t="s">
        <v>43</v>
      </c>
      <c r="AC150" s="150" t="s">
        <v>43</v>
      </c>
      <c r="AD150" s="155" t="s">
        <v>43</v>
      </c>
      <c r="AE150" s="155"/>
      <c r="AF150" s="150" t="s">
        <v>43</v>
      </c>
      <c r="AG150" s="159">
        <v>400</v>
      </c>
      <c r="AH150" s="159">
        <v>1.1997</v>
      </c>
      <c r="AI150" s="202">
        <v>0</v>
      </c>
      <c r="AJ150" s="161">
        <v>7.0000000000000007E-2</v>
      </c>
      <c r="AK150" s="162">
        <v>0.05</v>
      </c>
      <c r="AL150" s="163"/>
      <c r="AM150" s="164">
        <f>(((IF(L150=$L$101,1,IF(L150=$L$47,1,0))*(AH150*(1-AK150)))*AG150)*(1-AL150))</f>
        <v>0</v>
      </c>
      <c r="AN150" s="165">
        <f>IF(K150=$K$50,AM150,IF(K150=$K$53,AM150,IF(K150=$K$54,AM150,IF(K150=$K$55,AM150,IF(K150=$K$56,AM150,IF(K150=$K$57,AM150,IF(K150=$K$58,AM150,IF(K150=$K$65,AM150,IF(K150=$K$66,AM150,IF(K150=$K$67,AM150,IF(K150=$K$68,AM150,IF(K150=$K$69,AM150,IF(K150=$K$51,AM150,(AM150*(1+AI150)))))))))))))))</f>
        <v>0</v>
      </c>
      <c r="AO150" s="166">
        <v>1.4</v>
      </c>
      <c r="AP150" s="160">
        <f t="shared" si="2"/>
        <v>0</v>
      </c>
      <c r="AQ150" s="167">
        <f t="shared" si="24"/>
        <v>0</v>
      </c>
      <c r="AR150" s="160">
        <f t="shared" si="4"/>
        <v>0</v>
      </c>
      <c r="AS150" s="168">
        <f t="shared" si="5"/>
        <v>0</v>
      </c>
      <c r="AT150" s="169" t="str">
        <f>K150</f>
        <v>MI</v>
      </c>
      <c r="AU150" s="169" t="str">
        <f>I150</f>
        <v>Mercadorias</v>
      </c>
      <c r="AV150" s="170"/>
      <c r="AW150" s="171">
        <f>IF(K150=$K$50,0,IF(K150=$K$53,0,IF(K150=$K$54,0,IF(K150=$K$55,0,IF(K150=$K$56,0,IF(K150=$K$57,0,IF(K150=$K$58,0,IF(K150=$K$65,0,IF(K150=$K$66,0,IF(K150=$K$67,0,IF(K150=$K$68,0,IF(K150=$K$69,0,IF(K150=$K$51,0,1))))))))))))*AM150*AI150)</f>
        <v>0</v>
      </c>
      <c r="AX150" s="172">
        <f>IF(K150=$K$50,0,IF(K150=$K$53,0,IF(K150=$K$54,0,IF(K150=$K$55,0,IF(K150=$K$56,0,IF(K150=$K$57,0,IF(K150=$K$58,0,IF(K150=$K$65,0,IF(K150=$K$66,0,IF(K150=$K$67,0,IF(K150=$K$68,0,IF(K150=$K$69,0,IF(K150=$K$51,0,1))))))))))))*AM150*AJ150*$AX$94)</f>
        <v>0</v>
      </c>
      <c r="AY150" s="172">
        <f>IF(K150=$K$53,0,IF(K150=$K$54,0,IF(K150=$K$55,0,IF(K150=$K$56,0,IF(K150=$K$58,0,IF(K150=$K$50,0,IF(K150=$K$65,0,IF(K150=$K$57,0,IF(K150=$K$51,0,AM150*$AY$102)))))))))</f>
        <v>0</v>
      </c>
      <c r="AZ150" s="172">
        <f>IF(K150=$K$53,0,IF(K150=$K$54,0,IF(K150=$K$55,0,IF(K150=$K$56,0,IF(K150=$K$58,0,IF(K150=$K$50,0,IF(K150=$K$65,0,IF(K150=$K$57,0,IF(K150=$K$51,0,AM150*$AZ$102)))))))))</f>
        <v>0</v>
      </c>
      <c r="BA150" s="172">
        <f t="shared" si="6"/>
        <v>0</v>
      </c>
      <c r="BB150" s="173">
        <f>IF($BA$97=1,AQ150*$BB$102,IF(K150=$K$50,0,IF(K150=$K$53,0,IF(K150=$K$54,0,IF(K150=$K$55,0,IF(K150=$K$56,0,IF(K150=$K$57,0,IF(K150=$K$58,0,IF(K150=$K$65,0,IF(K150=$K$66,0,IF(K150=$K$67,0,IF(K150=$K$68,0,IF(K150=$K$69,0,IF(K150=$K$51,0,1)))))))))))*AQ150*$BB$102)))</f>
        <v>0</v>
      </c>
      <c r="BC150" s="172">
        <f t="shared" si="7"/>
        <v>0</v>
      </c>
      <c r="BD150" s="172">
        <f t="shared" si="8"/>
        <v>0</v>
      </c>
      <c r="BE150" s="172">
        <f>IF($BE$95=I150,$BE$97,IF(I150=$BE$96,$BE$97,1))*($BE$102*AQ150)*$AZ$97</f>
        <v>0</v>
      </c>
      <c r="BF150" s="172">
        <f>IF('[1]Cockpit Retorno'!$C$65=Sim,Mestre!BA150,SUM(BB150:BE150)+(IF(K150=$K$56,AQ150*MOE_IRRF_LR,0)))</f>
        <v>0</v>
      </c>
      <c r="BG150" s="174">
        <f>IF(AA150&gt;0,0,IF(Z150=$Z$82,AG150*1,(IF(Z150=$Z$81,AG150*1,0))))</f>
        <v>0</v>
      </c>
      <c r="BH150" s="174">
        <f>IF(AA150&gt;0,0,IF(Z150=$Z$83,AG150*1,IF(Z150=$Z$81,AG150*1,0)))</f>
        <v>0</v>
      </c>
      <c r="BI150" s="174">
        <f>IF(AA150&gt;0,0,IF(Z150=$Z$84,AG150*1,IF(Z150=$Z$93,AG150*2,IF(Z150=$Z$100,AG150,IF(Z150=$Z$81,AG150*2,IF(Z150=$Z$80,AG150*1,IF(Z150=$Z$79,AG150*3,IF(Z150=$Z$78,AG150*2,0))))))))</f>
        <v>0</v>
      </c>
      <c r="BJ150" s="174">
        <f>IF(AA150&gt;0,0,IF(Z150=$Z$85,AG150,IF(Z150=$Z$93,AG150,IF(Z150=$Z$100,AG150,IF(Z150=$Z$81,AG150*1,IF(Z150=$Z$80,AG150*2,IF(Z150=$Z$79,AG150*2,IF(Z150=$Z$78,AG150*2,0))))))))</f>
        <v>0</v>
      </c>
      <c r="BK150" s="174">
        <f>IF(AA150&gt;0,0,IF(Z150=$Z$92,AG150,0))</f>
        <v>0</v>
      </c>
      <c r="BL150" s="174">
        <f>IF(AA150&gt;0,0,IF(Z150=$Z$91,AG150,0))</f>
        <v>0</v>
      </c>
      <c r="BM150" s="174">
        <f>IF(AA150&gt;0,0,IF(Z150=$Z$86,AG150,0))</f>
        <v>0</v>
      </c>
      <c r="BN150" s="174">
        <f>IF(AA150&gt;0,0,IF(Z150=$Z$87,AG150,0))</f>
        <v>0</v>
      </c>
      <c r="BO150" s="174">
        <f>IF(AA150&gt;0,0,IF(Z150=$Z$88,AG150,0))</f>
        <v>0</v>
      </c>
      <c r="BP150" s="174">
        <f>IF(AA150&gt;0,0,IF(Z150=$Z$89,AG150,0))</f>
        <v>0</v>
      </c>
      <c r="BQ150" s="174">
        <f>IF(AA150&gt;0,0,IF(Z150=$Z$90,AG150,0))</f>
        <v>0</v>
      </c>
      <c r="BR150" s="174">
        <f>IF(Z150=$Z$82,AA150*AG150,0)</f>
        <v>0</v>
      </c>
      <c r="BS150" s="174">
        <f>IF(Z150=$Z$83,AA150*AG150,0)</f>
        <v>0</v>
      </c>
      <c r="BT150" s="174">
        <f>IF(AA150&lt;1,0,IF(Z150=$Z$84,AA150*AG150,IF(Z150=$Z$93,"ERRO",IF(Z150=$Z$100,"ERRO",0))))</f>
        <v>0</v>
      </c>
      <c r="BU150" s="174">
        <f>IF(AA150&lt;1,0,IF(Z150=$Z$85,AA150*AG150,IF(Z150=$Z$93,"ERRO",IF(Z150=$Z$100,"ERRO",0))))</f>
        <v>0</v>
      </c>
      <c r="BV150" s="174">
        <f>IF(Z150=$Z$92,AA150*AG150,0)</f>
        <v>0</v>
      </c>
      <c r="BW150" s="174">
        <f>IF(Z150=$Z$91,AA150*AG150,0)</f>
        <v>0</v>
      </c>
      <c r="BX150" s="174">
        <f>IF(Z150=$Z$86,AA150*AG150,0)</f>
        <v>0</v>
      </c>
      <c r="BY150" s="174">
        <f>IF(Z150=$Z$87,AA150*AG150,0)</f>
        <v>0</v>
      </c>
      <c r="BZ150" s="174">
        <f>IF(Z150=$Z$88,AA150*AG150,0)</f>
        <v>0</v>
      </c>
      <c r="CA150" s="174">
        <f>IF(Z150=$Z$89,AA150*AG150,0)</f>
        <v>0</v>
      </c>
      <c r="CB150" s="174">
        <f>IF(Z150=$Z$90,AA150*AG150,0)</f>
        <v>0</v>
      </c>
      <c r="CC150" s="175">
        <f>IFERROR(IF(L150=$L$49,AG150*AH150*(1+AI150)*(1-AK150)*(1-AL150),0),0)</f>
        <v>455.88599999999997</v>
      </c>
      <c r="CD150" s="203">
        <f>IF(I150=$CD$97,1,IF(I150=$CD$100,2,IF(K150=$K$66,1,IF(K150=$K$69,1,3))))</f>
        <v>1</v>
      </c>
      <c r="CE150" s="203">
        <f t="shared" si="14"/>
        <v>1.07</v>
      </c>
      <c r="CF150" s="204">
        <f t="shared" si="9"/>
        <v>1.2353999999999998</v>
      </c>
      <c r="CG150" s="203">
        <f t="shared" si="15"/>
        <v>1.42</v>
      </c>
      <c r="CH150" s="204">
        <f t="shared" si="10"/>
        <v>1.5478000000000001</v>
      </c>
      <c r="CI150" s="203">
        <f t="shared" si="16"/>
        <v>1.7</v>
      </c>
      <c r="CJ150" s="205">
        <f t="shared" si="17"/>
        <v>1.0486</v>
      </c>
      <c r="CK150" s="205">
        <f t="shared" si="18"/>
        <v>1.148922</v>
      </c>
      <c r="CL150" s="205">
        <f t="shared" si="19"/>
        <v>1.3915999999999999</v>
      </c>
      <c r="CM150" s="205">
        <f t="shared" si="20"/>
        <v>1.501366</v>
      </c>
      <c r="CN150" s="206">
        <f t="shared" si="21"/>
        <v>1.6319999999999999</v>
      </c>
      <c r="CO150" s="204">
        <f t="shared" si="25"/>
        <v>1.006656</v>
      </c>
      <c r="CP150" s="207">
        <f t="shared" si="11"/>
        <v>0</v>
      </c>
      <c r="CQ150" s="208">
        <f t="shared" si="12"/>
        <v>0</v>
      </c>
      <c r="CR150" s="209">
        <f t="shared" si="13"/>
        <v>0</v>
      </c>
      <c r="CS150" s="49"/>
      <c r="CT150" s="49"/>
      <c r="CU150" s="49"/>
      <c r="CV150" s="49"/>
      <c r="CW150" s="49"/>
      <c r="CX150" s="49"/>
      <c r="CY150" s="49"/>
      <c r="CZ150" s="49"/>
      <c r="DA150" s="49"/>
      <c r="DB150" s="49"/>
      <c r="DC150" s="49"/>
      <c r="DD150" s="49"/>
      <c r="DE150" s="49"/>
      <c r="DF150" s="49"/>
      <c r="DG150" s="49"/>
      <c r="DH150" s="49"/>
      <c r="DI150" s="49"/>
      <c r="DJ150" s="49"/>
      <c r="DK150" s="49"/>
      <c r="DL150" s="49"/>
      <c r="DM150" s="49"/>
      <c r="DN150" s="49"/>
      <c r="DO150" s="49"/>
      <c r="DP150" s="49"/>
      <c r="DQ150" s="49"/>
      <c r="DR150" s="49"/>
      <c r="DS150" s="49"/>
      <c r="DT150" s="49"/>
      <c r="DU150" s="49"/>
      <c r="DV150" s="49"/>
      <c r="DW150" s="49"/>
      <c r="DX150" s="49"/>
      <c r="DY150" s="49"/>
      <c r="DZ150" s="49"/>
      <c r="EA150" s="49"/>
      <c r="EB150" s="49"/>
      <c r="EC150" s="49"/>
      <c r="ED150" s="49"/>
      <c r="EE150" s="49"/>
      <c r="EF150" s="49"/>
      <c r="EG150" s="49"/>
      <c r="EH150" s="49"/>
      <c r="EI150" s="49"/>
      <c r="EJ150" s="49"/>
      <c r="EK150" s="49"/>
      <c r="EL150" s="49"/>
      <c r="EM150" s="49"/>
      <c r="EN150" s="49"/>
      <c r="EO150" s="49"/>
      <c r="EP150" s="49"/>
      <c r="EQ150" s="49"/>
      <c r="ER150" s="49"/>
      <c r="ES150" s="49"/>
      <c r="ET150" s="49"/>
      <c r="EU150" s="49"/>
      <c r="EV150" s="49"/>
      <c r="EW150" s="49"/>
      <c r="EX150" s="49"/>
      <c r="EY150" s="49"/>
      <c r="EZ150" s="49"/>
      <c r="FA150" s="49"/>
    </row>
    <row r="151" spans="1:157" s="210" customFormat="1" x14ac:dyDescent="0.25">
      <c r="A151" s="113">
        <f>IF(AND('[1]Cockpit Retorno'!$E$67=Sim,Mestre!M151=Mestre!$M$98),0,1)</f>
        <v>1</v>
      </c>
      <c r="B151" s="113">
        <f>IF(AND('[1]Cockpit Retorno'!$E$67=Sim,Mestre!L151=Mestre!$L$48),0,1)</f>
        <v>1</v>
      </c>
      <c r="C151" s="113">
        <f>IF(AND('[1]Cockpit Retorno'!$E$67=Sim,Mestre!M151=Mestre!$M$97),0,1)</f>
        <v>1</v>
      </c>
      <c r="D151" s="148" t="s">
        <v>7</v>
      </c>
      <c r="E151" s="115"/>
      <c r="F151" s="116" t="s">
        <v>107</v>
      </c>
      <c r="G151" s="149"/>
      <c r="H151" s="150" t="s">
        <v>7</v>
      </c>
      <c r="I151" s="151" t="str">
        <f t="shared" si="1"/>
        <v>Mercadorias</v>
      </c>
      <c r="J151" s="150" t="s">
        <v>15</v>
      </c>
      <c r="K151" s="152" t="s">
        <v>7</v>
      </c>
      <c r="L151" s="153" t="s">
        <v>21</v>
      </c>
      <c r="M151" s="154" t="s">
        <v>290</v>
      </c>
      <c r="N151" s="155" t="s">
        <v>291</v>
      </c>
      <c r="O151" s="155" t="s">
        <v>292</v>
      </c>
      <c r="P151" s="155" t="s">
        <v>43</v>
      </c>
      <c r="Q151" s="155" t="s">
        <v>43</v>
      </c>
      <c r="R151" s="155" t="s">
        <v>43</v>
      </c>
      <c r="S151" s="156" t="s">
        <v>43</v>
      </c>
      <c r="T151" s="156" t="s">
        <v>43</v>
      </c>
      <c r="U151" s="150" t="s">
        <v>43</v>
      </c>
      <c r="V151" s="150" t="s">
        <v>43</v>
      </c>
      <c r="W151" s="150" t="s">
        <v>43</v>
      </c>
      <c r="X151" s="157" t="s">
        <v>305</v>
      </c>
      <c r="Y151" s="156">
        <f>($AG$137+$AG$138)*16</f>
        <v>3520</v>
      </c>
      <c r="Z151" s="150" t="s">
        <v>43</v>
      </c>
      <c r="AA151" s="158">
        <v>0</v>
      </c>
      <c r="AB151" s="155" t="s">
        <v>43</v>
      </c>
      <c r="AC151" s="150" t="s">
        <v>43</v>
      </c>
      <c r="AD151" s="155" t="s">
        <v>43</v>
      </c>
      <c r="AE151" s="155"/>
      <c r="AF151" s="150" t="s">
        <v>43</v>
      </c>
      <c r="AG151" s="159">
        <f>Y151*1.15</f>
        <v>4047.9999999999995</v>
      </c>
      <c r="AH151" s="159">
        <v>0.30690000000000001</v>
      </c>
      <c r="AI151" s="202">
        <v>0</v>
      </c>
      <c r="AJ151" s="161">
        <v>7.0000000000000007E-2</v>
      </c>
      <c r="AK151" s="162">
        <v>0.05</v>
      </c>
      <c r="AL151" s="163"/>
      <c r="AM151" s="164">
        <f>(((IF(L151=$L$101,1,IF(L151=$L$47,1,0))*(AH151*(1-AK151)))*AG151)*(1-AL151))</f>
        <v>0</v>
      </c>
      <c r="AN151" s="165">
        <f>IF(K151=$K$50,AM151,IF(K151=$K$53,AM151,IF(K151=$K$54,AM151,IF(K151=$K$55,AM151,IF(K151=$K$56,AM151,IF(K151=$K$57,AM151,IF(K151=$K$58,AM151,IF(K151=$K$65,AM151,IF(K151=$K$66,AM151,IF(K151=$K$67,AM151,IF(K151=$K$68,AM151,IF(K151=$K$69,AM151,IF(K151=$K$51,AM151,(AM151*(1+AI151)))))))))))))))</f>
        <v>0</v>
      </c>
      <c r="AO151" s="166">
        <v>1.4</v>
      </c>
      <c r="AP151" s="160">
        <f t="shared" si="2"/>
        <v>0</v>
      </c>
      <c r="AQ151" s="167">
        <f t="shared" si="24"/>
        <v>0</v>
      </c>
      <c r="AR151" s="160">
        <f t="shared" si="4"/>
        <v>0</v>
      </c>
      <c r="AS151" s="168">
        <f t="shared" si="5"/>
        <v>0</v>
      </c>
      <c r="AT151" s="169" t="str">
        <f>K151</f>
        <v>MI</v>
      </c>
      <c r="AU151" s="169" t="str">
        <f>I151</f>
        <v>Mercadorias</v>
      </c>
      <c r="AV151" s="170"/>
      <c r="AW151" s="171">
        <f>IF(K151=$K$50,0,IF(K151=$K$53,0,IF(K151=$K$54,0,IF(K151=$K$55,0,IF(K151=$K$56,0,IF(K151=$K$57,0,IF(K151=$K$58,0,IF(K151=$K$65,0,IF(K151=$K$66,0,IF(K151=$K$67,0,IF(K151=$K$68,0,IF(K151=$K$69,0,IF(K151=$K$51,0,1))))))))))))*AM151*AI151)</f>
        <v>0</v>
      </c>
      <c r="AX151" s="172">
        <f>IF(K151=$K$50,0,IF(K151=$K$53,0,IF(K151=$K$54,0,IF(K151=$K$55,0,IF(K151=$K$56,0,IF(K151=$K$57,0,IF(K151=$K$58,0,IF(K151=$K$65,0,IF(K151=$K$66,0,IF(K151=$K$67,0,IF(K151=$K$68,0,IF(K151=$K$69,0,IF(K151=$K$51,0,1))))))))))))*AM151*AJ151*$AX$94)</f>
        <v>0</v>
      </c>
      <c r="AY151" s="172">
        <f>IF(K151=$K$53,0,IF(K151=$K$54,0,IF(K151=$K$55,0,IF(K151=$K$56,0,IF(K151=$K$58,0,IF(K151=$K$50,0,IF(K151=$K$65,0,IF(K151=$K$57,0,IF(K151=$K$51,0,AM151*$AY$102)))))))))</f>
        <v>0</v>
      </c>
      <c r="AZ151" s="172">
        <f>IF(K151=$K$53,0,IF(K151=$K$54,0,IF(K151=$K$55,0,IF(K151=$K$56,0,IF(K151=$K$58,0,IF(K151=$K$50,0,IF(K151=$K$65,0,IF(K151=$K$57,0,IF(K151=$K$51,0,AM151*$AZ$102)))))))))</f>
        <v>0</v>
      </c>
      <c r="BA151" s="172">
        <f t="shared" si="6"/>
        <v>0</v>
      </c>
      <c r="BB151" s="173">
        <f>IF($BA$97=1,AQ151*$BB$102,IF(K151=$K$50,0,IF(K151=$K$53,0,IF(K151=$K$54,0,IF(K151=$K$55,0,IF(K151=$K$56,0,IF(K151=$K$57,0,IF(K151=$K$58,0,IF(K151=$K$65,0,IF(K151=$K$66,0,IF(K151=$K$67,0,IF(K151=$K$68,0,IF(K151=$K$69,0,IF(K151=$K$51,0,1)))))))))))*AQ151*$BB$102)))</f>
        <v>0</v>
      </c>
      <c r="BC151" s="172">
        <f t="shared" si="7"/>
        <v>0</v>
      </c>
      <c r="BD151" s="172">
        <f t="shared" si="8"/>
        <v>0</v>
      </c>
      <c r="BE151" s="172">
        <f>IF($BE$95=I151,$BE$97,IF(I151=$BE$96,$BE$97,1))*($BE$102*AQ151)*$AZ$97</f>
        <v>0</v>
      </c>
      <c r="BF151" s="172">
        <f>IF('[1]Cockpit Retorno'!$C$65=Sim,Mestre!BA151,SUM(BB151:BE151)+(IF(K151=$K$56,AQ151*MOE_IRRF_LR,0)))</f>
        <v>0</v>
      </c>
      <c r="BG151" s="174">
        <f>IF(AA151&gt;0,0,IF(Z151=$Z$82,AG151*1,(IF(Z151=$Z$81,AG151*1,0))))</f>
        <v>0</v>
      </c>
      <c r="BH151" s="174">
        <f>IF(AA151&gt;0,0,IF(Z151=$Z$83,AG151*1,IF(Z151=$Z$81,AG151*1,0)))</f>
        <v>0</v>
      </c>
      <c r="BI151" s="174">
        <f>IF(AA151&gt;0,0,IF(Z151=$Z$84,AG151*1,IF(Z151=$Z$93,AG151*2,IF(Z151=$Z$100,AG151,IF(Z151=$Z$81,AG151*2,IF(Z151=$Z$80,AG151*1,IF(Z151=$Z$79,AG151*3,IF(Z151=$Z$78,AG151*2,0))))))))</f>
        <v>0</v>
      </c>
      <c r="BJ151" s="174">
        <f>IF(AA151&gt;0,0,IF(Z151=$Z$85,AG151,IF(Z151=$Z$93,AG151,IF(Z151=$Z$100,AG151,IF(Z151=$Z$81,AG151*1,IF(Z151=$Z$80,AG151*2,IF(Z151=$Z$79,AG151*2,IF(Z151=$Z$78,AG151*2,0))))))))</f>
        <v>0</v>
      </c>
      <c r="BK151" s="174">
        <f>IF(AA151&gt;0,0,IF(Z151=$Z$92,AG151,0))</f>
        <v>0</v>
      </c>
      <c r="BL151" s="174">
        <f>IF(AA151&gt;0,0,IF(Z151=$Z$91,AG151,0))</f>
        <v>0</v>
      </c>
      <c r="BM151" s="174">
        <f>IF(AA151&gt;0,0,IF(Z151=$Z$86,AG151,0))</f>
        <v>0</v>
      </c>
      <c r="BN151" s="174">
        <f>IF(AA151&gt;0,0,IF(Z151=$Z$87,AG151,0))</f>
        <v>0</v>
      </c>
      <c r="BO151" s="174">
        <f>IF(AA151&gt;0,0,IF(Z151=$Z$88,AG151,0))</f>
        <v>0</v>
      </c>
      <c r="BP151" s="174">
        <f>IF(AA151&gt;0,0,IF(Z151=$Z$89,AG151,0))</f>
        <v>0</v>
      </c>
      <c r="BQ151" s="174">
        <f>IF(AA151&gt;0,0,IF(Z151=$Z$90,AG151,0))</f>
        <v>0</v>
      </c>
      <c r="BR151" s="174">
        <f>IF(Z151=$Z$82,AA151*AG151,0)</f>
        <v>0</v>
      </c>
      <c r="BS151" s="174">
        <f>IF(Z151=$Z$83,AA151*AG151,0)</f>
        <v>0</v>
      </c>
      <c r="BT151" s="174">
        <f>IF(AA151&lt;1,0,IF(Z151=$Z$84,AA151*AG151,IF(Z151=$Z$93,"ERRO",IF(Z151=$Z$100,"ERRO",0))))</f>
        <v>0</v>
      </c>
      <c r="BU151" s="174">
        <f>IF(AA151&lt;1,0,IF(Z151=$Z$85,AA151*AG151,IF(Z151=$Z$93,"ERRO",IF(Z151=$Z$100,"ERRO",0))))</f>
        <v>0</v>
      </c>
      <c r="BV151" s="174">
        <f>IF(Z151=$Z$92,AA151*AG151,0)</f>
        <v>0</v>
      </c>
      <c r="BW151" s="174">
        <f>IF(Z151=$Z$91,AA151*AG151,0)</f>
        <v>0</v>
      </c>
      <c r="BX151" s="174">
        <f>IF(Z151=$Z$86,AA151*AG151,0)</f>
        <v>0</v>
      </c>
      <c r="BY151" s="174">
        <f>IF(Z151=$Z$87,AA151*AG151,0)</f>
        <v>0</v>
      </c>
      <c r="BZ151" s="174">
        <f>IF(Z151=$Z$88,AA151*AG151,0)</f>
        <v>0</v>
      </c>
      <c r="CA151" s="174">
        <f>IF(Z151=$Z$89,AA151*AG151,0)</f>
        <v>0</v>
      </c>
      <c r="CB151" s="174">
        <f>IF(Z151=$Z$90,AA151*AG151,0)</f>
        <v>0</v>
      </c>
      <c r="CC151" s="175">
        <f>IFERROR(IF(L151=$L$49,AG151*AH151*(1+AI151)*(1-AK151)*(1-AL151),0),0)</f>
        <v>1180.2146399999999</v>
      </c>
      <c r="CD151" s="203">
        <f>IF(I151=$CD$97,1,IF(I151=$CD$100,2,IF(K151=$K$66,1,IF(K151=$K$69,1,3))))</f>
        <v>1</v>
      </c>
      <c r="CE151" s="203">
        <f t="shared" si="14"/>
        <v>1.07</v>
      </c>
      <c r="CF151" s="204">
        <f t="shared" si="9"/>
        <v>1.2353999999999998</v>
      </c>
      <c r="CG151" s="203">
        <f t="shared" si="15"/>
        <v>1.42</v>
      </c>
      <c r="CH151" s="204">
        <f t="shared" si="10"/>
        <v>1.5478000000000001</v>
      </c>
      <c r="CI151" s="203">
        <f t="shared" si="16"/>
        <v>1.7</v>
      </c>
      <c r="CJ151" s="205">
        <f t="shared" si="17"/>
        <v>1.0486</v>
      </c>
      <c r="CK151" s="205">
        <f t="shared" si="18"/>
        <v>1.148922</v>
      </c>
      <c r="CL151" s="205">
        <f t="shared" si="19"/>
        <v>1.3915999999999999</v>
      </c>
      <c r="CM151" s="205">
        <f t="shared" si="20"/>
        <v>1.501366</v>
      </c>
      <c r="CN151" s="206">
        <f t="shared" si="21"/>
        <v>1.6319999999999999</v>
      </c>
      <c r="CO151" s="204">
        <f t="shared" si="25"/>
        <v>1.006656</v>
      </c>
      <c r="CP151" s="207">
        <f t="shared" si="11"/>
        <v>0</v>
      </c>
      <c r="CQ151" s="208">
        <f t="shared" si="12"/>
        <v>0</v>
      </c>
      <c r="CR151" s="209">
        <f t="shared" si="13"/>
        <v>0</v>
      </c>
      <c r="CS151" s="49"/>
      <c r="CT151" s="49"/>
      <c r="CU151" s="49"/>
      <c r="CV151" s="49"/>
      <c r="CW151" s="49"/>
      <c r="CX151" s="49"/>
      <c r="CY151" s="49"/>
      <c r="CZ151" s="49"/>
      <c r="DA151" s="49"/>
      <c r="DB151" s="49"/>
      <c r="DC151" s="49"/>
      <c r="DD151" s="49"/>
      <c r="DE151" s="49"/>
      <c r="DF151" s="49"/>
      <c r="DG151" s="49"/>
      <c r="DH151" s="49"/>
      <c r="DI151" s="49"/>
      <c r="DJ151" s="49"/>
      <c r="DK151" s="49"/>
      <c r="DL151" s="49"/>
      <c r="DM151" s="49"/>
      <c r="DN151" s="49"/>
      <c r="DO151" s="49"/>
      <c r="DP151" s="49"/>
      <c r="DQ151" s="49"/>
      <c r="DR151" s="49"/>
      <c r="DS151" s="49"/>
      <c r="DT151" s="49"/>
      <c r="DU151" s="49"/>
      <c r="DV151" s="49"/>
      <c r="DW151" s="49"/>
      <c r="DX151" s="49"/>
      <c r="DY151" s="49"/>
      <c r="DZ151" s="49"/>
      <c r="EA151" s="49"/>
      <c r="EB151" s="49"/>
      <c r="EC151" s="49"/>
      <c r="ED151" s="49"/>
      <c r="EE151" s="49"/>
      <c r="EF151" s="49"/>
      <c r="EG151" s="49"/>
      <c r="EH151" s="49"/>
      <c r="EI151" s="49"/>
      <c r="EJ151" s="49"/>
      <c r="EK151" s="49"/>
      <c r="EL151" s="49"/>
      <c r="EM151" s="49"/>
      <c r="EN151" s="49"/>
      <c r="EO151" s="49"/>
      <c r="EP151" s="49"/>
      <c r="EQ151" s="49"/>
      <c r="ER151" s="49"/>
      <c r="ES151" s="49"/>
      <c r="ET151" s="49"/>
      <c r="EU151" s="49"/>
      <c r="EV151" s="49"/>
      <c r="EW151" s="49"/>
      <c r="EX151" s="49"/>
      <c r="EY151" s="49"/>
      <c r="EZ151" s="49"/>
      <c r="FA151" s="49"/>
    </row>
    <row r="152" spans="1:157" s="210" customFormat="1" x14ac:dyDescent="0.25">
      <c r="A152" s="113">
        <f>IF(AND('[1]Cockpit Retorno'!$E$67=Sim,Mestre!M152=Mestre!$M$98),0,1)</f>
        <v>1</v>
      </c>
      <c r="B152" s="113">
        <f>IF(AND('[1]Cockpit Retorno'!$E$67=Sim,Mestre!L152=Mestre!$L$48),0,1)</f>
        <v>1</v>
      </c>
      <c r="C152" s="113">
        <f>IF(AND('[1]Cockpit Retorno'!$E$67=Sim,Mestre!M152=Mestre!$M$97),0,1)</f>
        <v>1</v>
      </c>
      <c r="D152" s="148" t="s">
        <v>7</v>
      </c>
      <c r="E152" s="115"/>
      <c r="F152" s="116" t="s">
        <v>107</v>
      </c>
      <c r="G152" s="149"/>
      <c r="H152" s="150" t="s">
        <v>7</v>
      </c>
      <c r="I152" s="151" t="str">
        <f t="shared" si="1"/>
        <v>Mercadorias</v>
      </c>
      <c r="J152" s="150" t="s">
        <v>15</v>
      </c>
      <c r="K152" s="152" t="s">
        <v>7</v>
      </c>
      <c r="L152" s="153" t="s">
        <v>21</v>
      </c>
      <c r="M152" s="154" t="s">
        <v>290</v>
      </c>
      <c r="N152" s="155" t="s">
        <v>291</v>
      </c>
      <c r="O152" s="155" t="s">
        <v>292</v>
      </c>
      <c r="P152" s="155" t="s">
        <v>43</v>
      </c>
      <c r="Q152" s="155" t="s">
        <v>43</v>
      </c>
      <c r="R152" s="155" t="s">
        <v>43</v>
      </c>
      <c r="S152" s="156" t="s">
        <v>43</v>
      </c>
      <c r="T152" s="156" t="s">
        <v>43</v>
      </c>
      <c r="U152" s="150" t="s">
        <v>43</v>
      </c>
      <c r="V152" s="150" t="s">
        <v>43</v>
      </c>
      <c r="W152" s="150" t="s">
        <v>43</v>
      </c>
      <c r="X152" s="157" t="s">
        <v>306</v>
      </c>
      <c r="Y152" s="156">
        <f>($AG$137+$AG$138)*16</f>
        <v>3520</v>
      </c>
      <c r="Z152" s="150" t="s">
        <v>43</v>
      </c>
      <c r="AA152" s="158">
        <v>0</v>
      </c>
      <c r="AB152" s="155" t="s">
        <v>43</v>
      </c>
      <c r="AC152" s="150" t="s">
        <v>43</v>
      </c>
      <c r="AD152" s="155" t="s">
        <v>43</v>
      </c>
      <c r="AE152" s="155"/>
      <c r="AF152" s="150" t="s">
        <v>43</v>
      </c>
      <c r="AG152" s="159">
        <f>Y152*1.15</f>
        <v>4047.9999999999995</v>
      </c>
      <c r="AH152" s="159">
        <v>0.13950000000000001</v>
      </c>
      <c r="AI152" s="202">
        <v>0</v>
      </c>
      <c r="AJ152" s="161">
        <v>7.0000000000000007E-2</v>
      </c>
      <c r="AK152" s="162">
        <v>0.05</v>
      </c>
      <c r="AL152" s="163"/>
      <c r="AM152" s="164">
        <f>(((IF(L152=$L$101,1,IF(L152=$L$47,1,0))*(AH152*(1-AK152)))*AG152)*(1-AL152))</f>
        <v>0</v>
      </c>
      <c r="AN152" s="165">
        <f>IF(K152=$K$50,AM152,IF(K152=$K$53,AM152,IF(K152=$K$54,AM152,IF(K152=$K$55,AM152,IF(K152=$K$56,AM152,IF(K152=$K$57,AM152,IF(K152=$K$58,AM152,IF(K152=$K$65,AM152,IF(K152=$K$66,AM152,IF(K152=$K$67,AM152,IF(K152=$K$68,AM152,IF(K152=$K$69,AM152,IF(K152=$K$51,AM152,(AM152*(1+AI152)))))))))))))))</f>
        <v>0</v>
      </c>
      <c r="AO152" s="166">
        <v>1.4</v>
      </c>
      <c r="AP152" s="160">
        <f t="shared" si="2"/>
        <v>0</v>
      </c>
      <c r="AQ152" s="167">
        <f t="shared" si="24"/>
        <v>0</v>
      </c>
      <c r="AR152" s="160">
        <f t="shared" si="4"/>
        <v>0</v>
      </c>
      <c r="AS152" s="168">
        <f t="shared" si="5"/>
        <v>0</v>
      </c>
      <c r="AT152" s="169" t="str">
        <f>K152</f>
        <v>MI</v>
      </c>
      <c r="AU152" s="169" t="str">
        <f>I152</f>
        <v>Mercadorias</v>
      </c>
      <c r="AV152" s="170"/>
      <c r="AW152" s="171">
        <f>IF(K152=$K$50,0,IF(K152=$K$53,0,IF(K152=$K$54,0,IF(K152=$K$55,0,IF(K152=$K$56,0,IF(K152=$K$57,0,IF(K152=$K$58,0,IF(K152=$K$65,0,IF(K152=$K$66,0,IF(K152=$K$67,0,IF(K152=$K$68,0,IF(K152=$K$69,0,IF(K152=$K$51,0,1))))))))))))*AM152*AI152)</f>
        <v>0</v>
      </c>
      <c r="AX152" s="172">
        <f>IF(K152=$K$50,0,IF(K152=$K$53,0,IF(K152=$K$54,0,IF(K152=$K$55,0,IF(K152=$K$56,0,IF(K152=$K$57,0,IF(K152=$K$58,0,IF(K152=$K$65,0,IF(K152=$K$66,0,IF(K152=$K$67,0,IF(K152=$K$68,0,IF(K152=$K$69,0,IF(K152=$K$51,0,1))))))))))))*AM152*AJ152*$AX$94)</f>
        <v>0</v>
      </c>
      <c r="AY152" s="172">
        <f>IF(K152=$K$53,0,IF(K152=$K$54,0,IF(K152=$K$55,0,IF(K152=$K$56,0,IF(K152=$K$58,0,IF(K152=$K$50,0,IF(K152=$K$65,0,IF(K152=$K$57,0,IF(K152=$K$51,0,AM152*$AY$102)))))))))</f>
        <v>0</v>
      </c>
      <c r="AZ152" s="172">
        <f>IF(K152=$K$53,0,IF(K152=$K$54,0,IF(K152=$K$55,0,IF(K152=$K$56,0,IF(K152=$K$58,0,IF(K152=$K$50,0,IF(K152=$K$65,0,IF(K152=$K$57,0,IF(K152=$K$51,0,AM152*$AZ$102)))))))))</f>
        <v>0</v>
      </c>
      <c r="BA152" s="172">
        <f t="shared" si="6"/>
        <v>0</v>
      </c>
      <c r="BB152" s="173">
        <f>IF($BA$97=1,AQ152*$BB$102,IF(K152=$K$50,0,IF(K152=$K$53,0,IF(K152=$K$54,0,IF(K152=$K$55,0,IF(K152=$K$56,0,IF(K152=$K$57,0,IF(K152=$K$58,0,IF(K152=$K$65,0,IF(K152=$K$66,0,IF(K152=$K$67,0,IF(K152=$K$68,0,IF(K152=$K$69,0,IF(K152=$K$51,0,1)))))))))))*AQ152*$BB$102)))</f>
        <v>0</v>
      </c>
      <c r="BC152" s="172">
        <f t="shared" si="7"/>
        <v>0</v>
      </c>
      <c r="BD152" s="172">
        <f t="shared" si="8"/>
        <v>0</v>
      </c>
      <c r="BE152" s="172">
        <f>IF($BE$95=I152,$BE$97,IF(I152=$BE$96,$BE$97,1))*($BE$102*AQ152)*$AZ$97</f>
        <v>0</v>
      </c>
      <c r="BF152" s="172">
        <f>IF('[1]Cockpit Retorno'!$C$65=Sim,Mestre!BA152,SUM(BB152:BE152)+(IF(K152=$K$56,AQ152*MOE_IRRF_LR,0)))</f>
        <v>0</v>
      </c>
      <c r="BG152" s="174">
        <f>IF(AA152&gt;0,0,IF(Z152=$Z$82,AG152*1,(IF(Z152=$Z$81,AG152*1,0))))</f>
        <v>0</v>
      </c>
      <c r="BH152" s="174">
        <f>IF(AA152&gt;0,0,IF(Z152=$Z$83,AG152*1,IF(Z152=$Z$81,AG152*1,0)))</f>
        <v>0</v>
      </c>
      <c r="BI152" s="174">
        <f>IF(AA152&gt;0,0,IF(Z152=$Z$84,AG152*1,IF(Z152=$Z$93,AG152*2,IF(Z152=$Z$100,AG152,IF(Z152=$Z$81,AG152*2,IF(Z152=$Z$80,AG152*1,IF(Z152=$Z$79,AG152*3,IF(Z152=$Z$78,AG152*2,0))))))))</f>
        <v>0</v>
      </c>
      <c r="BJ152" s="174">
        <f>IF(AA152&gt;0,0,IF(Z152=$Z$85,AG152,IF(Z152=$Z$93,AG152,IF(Z152=$Z$100,AG152,IF(Z152=$Z$81,AG152*1,IF(Z152=$Z$80,AG152*2,IF(Z152=$Z$79,AG152*2,IF(Z152=$Z$78,AG152*2,0))))))))</f>
        <v>0</v>
      </c>
      <c r="BK152" s="174">
        <f>IF(AA152&gt;0,0,IF(Z152=$Z$92,AG152,0))</f>
        <v>0</v>
      </c>
      <c r="BL152" s="174">
        <f>IF(AA152&gt;0,0,IF(Z152=$Z$91,AG152,0))</f>
        <v>0</v>
      </c>
      <c r="BM152" s="174">
        <f>IF(AA152&gt;0,0,IF(Z152=$Z$86,AG152,0))</f>
        <v>0</v>
      </c>
      <c r="BN152" s="174">
        <f>IF(AA152&gt;0,0,IF(Z152=$Z$87,AG152,0))</f>
        <v>0</v>
      </c>
      <c r="BO152" s="174">
        <f>IF(AA152&gt;0,0,IF(Z152=$Z$88,AG152,0))</f>
        <v>0</v>
      </c>
      <c r="BP152" s="174">
        <f>IF(AA152&gt;0,0,IF(Z152=$Z$89,AG152,0))</f>
        <v>0</v>
      </c>
      <c r="BQ152" s="174">
        <f>IF(AA152&gt;0,0,IF(Z152=$Z$90,AG152,0))</f>
        <v>0</v>
      </c>
      <c r="BR152" s="174">
        <f>IF(Z152=$Z$82,AA152*AG152,0)</f>
        <v>0</v>
      </c>
      <c r="BS152" s="174">
        <f>IF(Z152=$Z$83,AA152*AG152,0)</f>
        <v>0</v>
      </c>
      <c r="BT152" s="174">
        <f>IF(AA152&lt;1,0,IF(Z152=$Z$84,AA152*AG152,IF(Z152=$Z$93,"ERRO",IF(Z152=$Z$100,"ERRO",0))))</f>
        <v>0</v>
      </c>
      <c r="BU152" s="174">
        <f>IF(AA152&lt;1,0,IF(Z152=$Z$85,AA152*AG152,IF(Z152=$Z$93,"ERRO",IF(Z152=$Z$100,"ERRO",0))))</f>
        <v>0</v>
      </c>
      <c r="BV152" s="174">
        <f>IF(Z152=$Z$92,AA152*AG152,0)</f>
        <v>0</v>
      </c>
      <c r="BW152" s="174">
        <f>IF(Z152=$Z$91,AA152*AG152,0)</f>
        <v>0</v>
      </c>
      <c r="BX152" s="174">
        <f>IF(Z152=$Z$86,AA152*AG152,0)</f>
        <v>0</v>
      </c>
      <c r="BY152" s="174">
        <f>IF(Z152=$Z$87,AA152*AG152,0)</f>
        <v>0</v>
      </c>
      <c r="BZ152" s="174">
        <f>IF(Z152=$Z$88,AA152*AG152,0)</f>
        <v>0</v>
      </c>
      <c r="CA152" s="174">
        <f>IF(Z152=$Z$89,AA152*AG152,0)</f>
        <v>0</v>
      </c>
      <c r="CB152" s="174">
        <f>IF(Z152=$Z$90,AA152*AG152,0)</f>
        <v>0</v>
      </c>
      <c r="CC152" s="175">
        <f>IFERROR(IF(L152=$L$49,AG152*AH152*(1+AI152)*(1-AK152)*(1-AL152),0),0)</f>
        <v>536.46119999999996</v>
      </c>
      <c r="CD152" s="203">
        <f>IF(I152=$CD$97,1,IF(I152=$CD$100,2,IF(K152=$K$66,1,IF(K152=$K$69,1,3))))</f>
        <v>1</v>
      </c>
      <c r="CE152" s="203">
        <f t="shared" si="14"/>
        <v>1.07</v>
      </c>
      <c r="CF152" s="204">
        <f t="shared" si="9"/>
        <v>1.2353999999999998</v>
      </c>
      <c r="CG152" s="203">
        <f t="shared" si="15"/>
        <v>1.42</v>
      </c>
      <c r="CH152" s="204">
        <f t="shared" si="10"/>
        <v>1.5478000000000001</v>
      </c>
      <c r="CI152" s="203">
        <f t="shared" si="16"/>
        <v>1.7</v>
      </c>
      <c r="CJ152" s="205">
        <f t="shared" si="17"/>
        <v>1.0486</v>
      </c>
      <c r="CK152" s="205">
        <f t="shared" si="18"/>
        <v>1.148922</v>
      </c>
      <c r="CL152" s="205">
        <f t="shared" si="19"/>
        <v>1.3915999999999999</v>
      </c>
      <c r="CM152" s="205">
        <f t="shared" si="20"/>
        <v>1.501366</v>
      </c>
      <c r="CN152" s="206">
        <f t="shared" si="21"/>
        <v>1.6319999999999999</v>
      </c>
      <c r="CO152" s="204">
        <f t="shared" si="25"/>
        <v>1.006656</v>
      </c>
      <c r="CP152" s="207">
        <f t="shared" si="11"/>
        <v>0</v>
      </c>
      <c r="CQ152" s="208">
        <f t="shared" si="12"/>
        <v>0</v>
      </c>
      <c r="CR152" s="209">
        <f t="shared" si="13"/>
        <v>0</v>
      </c>
      <c r="CS152" s="49"/>
      <c r="CT152" s="49"/>
      <c r="CU152" s="49"/>
      <c r="CV152" s="49"/>
      <c r="CW152" s="49"/>
      <c r="CX152" s="49"/>
      <c r="CY152" s="49"/>
      <c r="CZ152" s="49"/>
      <c r="DA152" s="49"/>
      <c r="DB152" s="49"/>
      <c r="DC152" s="49"/>
      <c r="DD152" s="49"/>
      <c r="DE152" s="49"/>
      <c r="DF152" s="49"/>
      <c r="DG152" s="49"/>
      <c r="DH152" s="49"/>
      <c r="DI152" s="49"/>
      <c r="DJ152" s="49"/>
      <c r="DK152" s="49"/>
      <c r="DL152" s="49"/>
      <c r="DM152" s="49"/>
      <c r="DN152" s="49"/>
      <c r="DO152" s="49"/>
      <c r="DP152" s="49"/>
      <c r="DQ152" s="49"/>
      <c r="DR152" s="49"/>
      <c r="DS152" s="49"/>
      <c r="DT152" s="49"/>
      <c r="DU152" s="49"/>
      <c r="DV152" s="49"/>
      <c r="DW152" s="49"/>
      <c r="DX152" s="49"/>
      <c r="DY152" s="49"/>
      <c r="DZ152" s="49"/>
      <c r="EA152" s="49"/>
      <c r="EB152" s="49"/>
      <c r="EC152" s="49"/>
      <c r="ED152" s="49"/>
      <c r="EE152" s="49"/>
      <c r="EF152" s="49"/>
      <c r="EG152" s="49"/>
      <c r="EH152" s="49"/>
      <c r="EI152" s="49"/>
      <c r="EJ152" s="49"/>
      <c r="EK152" s="49"/>
      <c r="EL152" s="49"/>
      <c r="EM152" s="49"/>
      <c r="EN152" s="49"/>
      <c r="EO152" s="49"/>
      <c r="EP152" s="49"/>
      <c r="EQ152" s="49"/>
      <c r="ER152" s="49"/>
      <c r="ES152" s="49"/>
      <c r="ET152" s="49"/>
      <c r="EU152" s="49"/>
      <c r="EV152" s="49"/>
      <c r="EW152" s="49"/>
      <c r="EX152" s="49"/>
      <c r="EY152" s="49"/>
      <c r="EZ152" s="49"/>
      <c r="FA152" s="49"/>
    </row>
    <row r="153" spans="1:157" s="210" customFormat="1" x14ac:dyDescent="0.25">
      <c r="A153" s="113">
        <f>IF(AND('[1]Cockpit Retorno'!$E$67=Sim,Mestre!M153=Mestre!$M$98),0,1)</f>
        <v>1</v>
      </c>
      <c r="B153" s="113">
        <f>IF(AND('[1]Cockpit Retorno'!$E$67=Sim,Mestre!L153=Mestre!$L$48),0,1)</f>
        <v>1</v>
      </c>
      <c r="C153" s="113">
        <f>IF(AND('[1]Cockpit Retorno'!$E$67=Sim,Mestre!M153=Mestre!$M$97),0,1)</f>
        <v>1</v>
      </c>
      <c r="D153" s="148" t="s">
        <v>7</v>
      </c>
      <c r="E153" s="115"/>
      <c r="F153" s="116" t="s">
        <v>107</v>
      </c>
      <c r="G153" s="149"/>
      <c r="H153" s="150" t="s">
        <v>7</v>
      </c>
      <c r="I153" s="151" t="str">
        <f t="shared" si="1"/>
        <v>Mercadorias</v>
      </c>
      <c r="J153" s="150" t="s">
        <v>15</v>
      </c>
      <c r="K153" s="152" t="s">
        <v>7</v>
      </c>
      <c r="L153" s="153" t="s">
        <v>21</v>
      </c>
      <c r="M153" s="154" t="s">
        <v>290</v>
      </c>
      <c r="N153" s="155" t="s">
        <v>291</v>
      </c>
      <c r="O153" s="155" t="s">
        <v>292</v>
      </c>
      <c r="P153" s="155" t="s">
        <v>43</v>
      </c>
      <c r="Q153" s="155" t="s">
        <v>43</v>
      </c>
      <c r="R153" s="155" t="s">
        <v>43</v>
      </c>
      <c r="S153" s="156" t="s">
        <v>43</v>
      </c>
      <c r="T153" s="156" t="s">
        <v>43</v>
      </c>
      <c r="U153" s="150" t="s">
        <v>43</v>
      </c>
      <c r="V153" s="150" t="s">
        <v>43</v>
      </c>
      <c r="W153" s="150" t="s">
        <v>43</v>
      </c>
      <c r="X153" s="157" t="s">
        <v>307</v>
      </c>
      <c r="Y153" s="156">
        <f>($AG$137+$AG$138)*16</f>
        <v>3520</v>
      </c>
      <c r="Z153" s="150" t="s">
        <v>43</v>
      </c>
      <c r="AA153" s="158">
        <v>0</v>
      </c>
      <c r="AB153" s="155" t="s">
        <v>43</v>
      </c>
      <c r="AC153" s="150" t="s">
        <v>43</v>
      </c>
      <c r="AD153" s="155" t="s">
        <v>43</v>
      </c>
      <c r="AE153" s="155"/>
      <c r="AF153" s="150" t="s">
        <v>43</v>
      </c>
      <c r="AG153" s="159">
        <f>Y153*1.15</f>
        <v>4047.9999999999995</v>
      </c>
      <c r="AH153" s="159">
        <v>0.1023</v>
      </c>
      <c r="AI153" s="202">
        <v>0</v>
      </c>
      <c r="AJ153" s="161">
        <v>7.0000000000000007E-2</v>
      </c>
      <c r="AK153" s="162">
        <v>0.05</v>
      </c>
      <c r="AL153" s="163"/>
      <c r="AM153" s="164">
        <f>(((IF(L153=$L$101,1,IF(L153=$L$47,1,0))*(AH153*(1-AK153)))*AG153)*(1-AL153))</f>
        <v>0</v>
      </c>
      <c r="AN153" s="165">
        <f>IF(K153=$K$50,AM153,IF(K153=$K$53,AM153,IF(K153=$K$54,AM153,IF(K153=$K$55,AM153,IF(K153=$K$56,AM153,IF(K153=$K$57,AM153,IF(K153=$K$58,AM153,IF(K153=$K$65,AM153,IF(K153=$K$66,AM153,IF(K153=$K$67,AM153,IF(K153=$K$68,AM153,IF(K153=$K$69,AM153,IF(K153=$K$51,AM153,(AM153*(1+AI153)))))))))))))))</f>
        <v>0</v>
      </c>
      <c r="AO153" s="166">
        <v>1.4</v>
      </c>
      <c r="AP153" s="160">
        <f t="shared" si="2"/>
        <v>0</v>
      </c>
      <c r="AQ153" s="167">
        <f t="shared" si="24"/>
        <v>0</v>
      </c>
      <c r="AR153" s="160">
        <f t="shared" si="4"/>
        <v>0</v>
      </c>
      <c r="AS153" s="168">
        <f t="shared" si="5"/>
        <v>0</v>
      </c>
      <c r="AT153" s="169" t="str">
        <f>K153</f>
        <v>MI</v>
      </c>
      <c r="AU153" s="169" t="str">
        <f>I153</f>
        <v>Mercadorias</v>
      </c>
      <c r="AV153" s="170"/>
      <c r="AW153" s="171">
        <f>IF(K153=$K$50,0,IF(K153=$K$53,0,IF(K153=$K$54,0,IF(K153=$K$55,0,IF(K153=$K$56,0,IF(K153=$K$57,0,IF(K153=$K$58,0,IF(K153=$K$65,0,IF(K153=$K$66,0,IF(K153=$K$67,0,IF(K153=$K$68,0,IF(K153=$K$69,0,IF(K153=$K$51,0,1))))))))))))*AM153*AI153)</f>
        <v>0</v>
      </c>
      <c r="AX153" s="172">
        <f>IF(K153=$K$50,0,IF(K153=$K$53,0,IF(K153=$K$54,0,IF(K153=$K$55,0,IF(K153=$K$56,0,IF(K153=$K$57,0,IF(K153=$K$58,0,IF(K153=$K$65,0,IF(K153=$K$66,0,IF(K153=$K$67,0,IF(K153=$K$68,0,IF(K153=$K$69,0,IF(K153=$K$51,0,1))))))))))))*AM153*AJ153*$AX$94)</f>
        <v>0</v>
      </c>
      <c r="AY153" s="172">
        <f>IF(K153=$K$53,0,IF(K153=$K$54,0,IF(K153=$K$55,0,IF(K153=$K$56,0,IF(K153=$K$58,0,IF(K153=$K$50,0,IF(K153=$K$65,0,IF(K153=$K$57,0,IF(K153=$K$51,0,AM153*$AY$102)))))))))</f>
        <v>0</v>
      </c>
      <c r="AZ153" s="172">
        <f>IF(K153=$K$53,0,IF(K153=$K$54,0,IF(K153=$K$55,0,IF(K153=$K$56,0,IF(K153=$K$58,0,IF(K153=$K$50,0,IF(K153=$K$65,0,IF(K153=$K$57,0,IF(K153=$K$51,0,AM153*$AZ$102)))))))))</f>
        <v>0</v>
      </c>
      <c r="BA153" s="172">
        <f t="shared" si="6"/>
        <v>0</v>
      </c>
      <c r="BB153" s="173">
        <f>IF($BA$97=1,AQ153*$BB$102,IF(K153=$K$50,0,IF(K153=$K$53,0,IF(K153=$K$54,0,IF(K153=$K$55,0,IF(K153=$K$56,0,IF(K153=$K$57,0,IF(K153=$K$58,0,IF(K153=$K$65,0,IF(K153=$K$66,0,IF(K153=$K$67,0,IF(K153=$K$68,0,IF(K153=$K$69,0,IF(K153=$K$51,0,1)))))))))))*AQ153*$BB$102)))</f>
        <v>0</v>
      </c>
      <c r="BC153" s="172">
        <f t="shared" si="7"/>
        <v>0</v>
      </c>
      <c r="BD153" s="172">
        <f t="shared" si="8"/>
        <v>0</v>
      </c>
      <c r="BE153" s="172">
        <f>IF($BE$95=I153,$BE$97,IF(I153=$BE$96,$BE$97,1))*($BE$102*AQ153)*$AZ$97</f>
        <v>0</v>
      </c>
      <c r="BF153" s="172">
        <f>IF('[1]Cockpit Retorno'!$C$65=Sim,Mestre!BA153,SUM(BB153:BE153)+(IF(K153=$K$56,AQ153*MOE_IRRF_LR,0)))</f>
        <v>0</v>
      </c>
      <c r="BG153" s="174">
        <f>IF(AA153&gt;0,0,IF(Z153=$Z$82,AG153*1,(IF(Z153=$Z$81,AG153*1,0))))</f>
        <v>0</v>
      </c>
      <c r="BH153" s="174">
        <f>IF(AA153&gt;0,0,IF(Z153=$Z$83,AG153*1,IF(Z153=$Z$81,AG153*1,0)))</f>
        <v>0</v>
      </c>
      <c r="BI153" s="174">
        <f>IF(AA153&gt;0,0,IF(Z153=$Z$84,AG153*1,IF(Z153=$Z$93,AG153*2,IF(Z153=$Z$100,AG153,IF(Z153=$Z$81,AG153*2,IF(Z153=$Z$80,AG153*1,IF(Z153=$Z$79,AG153*3,IF(Z153=$Z$78,AG153*2,0))))))))</f>
        <v>0</v>
      </c>
      <c r="BJ153" s="174">
        <f>IF(AA153&gt;0,0,IF(Z153=$Z$85,AG153,IF(Z153=$Z$93,AG153,IF(Z153=$Z$100,AG153,IF(Z153=$Z$81,AG153*1,IF(Z153=$Z$80,AG153*2,IF(Z153=$Z$79,AG153*2,IF(Z153=$Z$78,AG153*2,0))))))))</f>
        <v>0</v>
      </c>
      <c r="BK153" s="174">
        <f>IF(AA153&gt;0,0,IF(Z153=$Z$92,AG153,0))</f>
        <v>0</v>
      </c>
      <c r="BL153" s="174">
        <f>IF(AA153&gt;0,0,IF(Z153=$Z$91,AG153,0))</f>
        <v>0</v>
      </c>
      <c r="BM153" s="174">
        <f>IF(AA153&gt;0,0,IF(Z153=$Z$86,AG153,0))</f>
        <v>0</v>
      </c>
      <c r="BN153" s="174">
        <f>IF(AA153&gt;0,0,IF(Z153=$Z$87,AG153,0))</f>
        <v>0</v>
      </c>
      <c r="BO153" s="174">
        <f>IF(AA153&gt;0,0,IF(Z153=$Z$88,AG153,0))</f>
        <v>0</v>
      </c>
      <c r="BP153" s="174">
        <f>IF(AA153&gt;0,0,IF(Z153=$Z$89,AG153,0))</f>
        <v>0</v>
      </c>
      <c r="BQ153" s="174">
        <f>IF(AA153&gt;0,0,IF(Z153=$Z$90,AG153,0))</f>
        <v>0</v>
      </c>
      <c r="BR153" s="174">
        <f>IF(Z153=$Z$82,AA153*AG153,0)</f>
        <v>0</v>
      </c>
      <c r="BS153" s="174">
        <f>IF(Z153=$Z$83,AA153*AG153,0)</f>
        <v>0</v>
      </c>
      <c r="BT153" s="174">
        <f>IF(AA153&lt;1,0,IF(Z153=$Z$84,AA153*AG153,IF(Z153=$Z$93,"ERRO",IF(Z153=$Z$100,"ERRO",0))))</f>
        <v>0</v>
      </c>
      <c r="BU153" s="174">
        <f>IF(AA153&lt;1,0,IF(Z153=$Z$85,AA153*AG153,IF(Z153=$Z$93,"ERRO",IF(Z153=$Z$100,"ERRO",0))))</f>
        <v>0</v>
      </c>
      <c r="BV153" s="174">
        <f>IF(Z153=$Z$92,AA153*AG153,0)</f>
        <v>0</v>
      </c>
      <c r="BW153" s="174">
        <f>IF(Z153=$Z$91,AA153*AG153,0)</f>
        <v>0</v>
      </c>
      <c r="BX153" s="174">
        <f>IF(Z153=$Z$86,AA153*AG153,0)</f>
        <v>0</v>
      </c>
      <c r="BY153" s="174">
        <f>IF(Z153=$Z$87,AA153*AG153,0)</f>
        <v>0</v>
      </c>
      <c r="BZ153" s="174">
        <f>IF(Z153=$Z$88,AA153*AG153,0)</f>
        <v>0</v>
      </c>
      <c r="CA153" s="174">
        <f>IF(Z153=$Z$89,AA153*AG153,0)</f>
        <v>0</v>
      </c>
      <c r="CB153" s="174">
        <f>IF(Z153=$Z$90,AA153*AG153,0)</f>
        <v>0</v>
      </c>
      <c r="CC153" s="175">
        <f>IFERROR(IF(L153=$L$49,AG153*AH153*(1+AI153)*(1-AK153)*(1-AL153),0),0)</f>
        <v>393.40487999999993</v>
      </c>
      <c r="CD153" s="203">
        <f>IF(I153=$CD$97,1,IF(I153=$CD$100,2,IF(K153=$K$66,1,IF(K153=$K$69,1,3))))</f>
        <v>1</v>
      </c>
      <c r="CE153" s="203">
        <f t="shared" si="14"/>
        <v>1.07</v>
      </c>
      <c r="CF153" s="204">
        <f t="shared" si="9"/>
        <v>1.2353999999999998</v>
      </c>
      <c r="CG153" s="203">
        <f t="shared" si="15"/>
        <v>1.42</v>
      </c>
      <c r="CH153" s="204">
        <f t="shared" si="10"/>
        <v>1.5478000000000001</v>
      </c>
      <c r="CI153" s="203">
        <f t="shared" si="16"/>
        <v>1.7</v>
      </c>
      <c r="CJ153" s="205">
        <f t="shared" si="17"/>
        <v>1.0486</v>
      </c>
      <c r="CK153" s="205">
        <f t="shared" si="18"/>
        <v>1.148922</v>
      </c>
      <c r="CL153" s="205">
        <f t="shared" si="19"/>
        <v>1.3915999999999999</v>
      </c>
      <c r="CM153" s="205">
        <f t="shared" si="20"/>
        <v>1.501366</v>
      </c>
      <c r="CN153" s="206">
        <f t="shared" si="21"/>
        <v>1.6319999999999999</v>
      </c>
      <c r="CO153" s="204">
        <f t="shared" si="25"/>
        <v>1.006656</v>
      </c>
      <c r="CP153" s="207">
        <f t="shared" si="11"/>
        <v>0</v>
      </c>
      <c r="CQ153" s="208">
        <f t="shared" si="12"/>
        <v>0</v>
      </c>
      <c r="CR153" s="209">
        <f t="shared" si="13"/>
        <v>0</v>
      </c>
      <c r="CS153" s="49"/>
      <c r="CT153" s="49"/>
      <c r="CU153" s="49"/>
      <c r="CV153" s="49"/>
      <c r="CW153" s="49"/>
      <c r="CX153" s="49"/>
      <c r="CY153" s="49"/>
      <c r="CZ153" s="49"/>
      <c r="DA153" s="49"/>
      <c r="DB153" s="49"/>
      <c r="DC153" s="49"/>
      <c r="DD153" s="49"/>
      <c r="DE153" s="49"/>
      <c r="DF153" s="49"/>
      <c r="DG153" s="49"/>
      <c r="DH153" s="49"/>
      <c r="DI153" s="49"/>
      <c r="DJ153" s="49"/>
      <c r="DK153" s="49"/>
      <c r="DL153" s="49"/>
      <c r="DM153" s="49"/>
      <c r="DN153" s="49"/>
      <c r="DO153" s="49"/>
      <c r="DP153" s="49"/>
      <c r="DQ153" s="49"/>
      <c r="DR153" s="49"/>
      <c r="DS153" s="49"/>
      <c r="DT153" s="49"/>
      <c r="DU153" s="49"/>
      <c r="DV153" s="49"/>
      <c r="DW153" s="49"/>
      <c r="DX153" s="49"/>
      <c r="DY153" s="49"/>
      <c r="DZ153" s="49"/>
      <c r="EA153" s="49"/>
      <c r="EB153" s="49"/>
      <c r="EC153" s="49"/>
      <c r="ED153" s="49"/>
      <c r="EE153" s="49"/>
      <c r="EF153" s="49"/>
      <c r="EG153" s="49"/>
      <c r="EH153" s="49"/>
      <c r="EI153" s="49"/>
      <c r="EJ153" s="49"/>
      <c r="EK153" s="49"/>
      <c r="EL153" s="49"/>
      <c r="EM153" s="49"/>
      <c r="EN153" s="49"/>
      <c r="EO153" s="49"/>
      <c r="EP153" s="49"/>
      <c r="EQ153" s="49"/>
      <c r="ER153" s="49"/>
      <c r="ES153" s="49"/>
      <c r="ET153" s="49"/>
      <c r="EU153" s="49"/>
      <c r="EV153" s="49"/>
      <c r="EW153" s="49"/>
      <c r="EX153" s="49"/>
      <c r="EY153" s="49"/>
      <c r="EZ153" s="49"/>
      <c r="FA153" s="49"/>
    </row>
    <row r="154" spans="1:157" s="210" customFormat="1" x14ac:dyDescent="0.25">
      <c r="A154" s="113">
        <f>IF(AND('[1]Cockpit Retorno'!$E$67=Sim,Mestre!M154=Mestre!$M$98),0,1)</f>
        <v>1</v>
      </c>
      <c r="B154" s="113">
        <f>IF(AND('[1]Cockpit Retorno'!$E$67=Sim,Mestre!L154=Mestre!$L$48),0,1)</f>
        <v>1</v>
      </c>
      <c r="C154" s="113">
        <f>IF(AND('[1]Cockpit Retorno'!$E$67=Sim,Mestre!M154=Mestre!$M$97),0,1)</f>
        <v>1</v>
      </c>
      <c r="D154" s="148" t="s">
        <v>7</v>
      </c>
      <c r="E154" s="115"/>
      <c r="F154" s="116" t="s">
        <v>107</v>
      </c>
      <c r="G154" s="149"/>
      <c r="H154" s="150" t="s">
        <v>7</v>
      </c>
      <c r="I154" s="151" t="str">
        <f t="shared" si="1"/>
        <v>Mercadorias</v>
      </c>
      <c r="J154" s="150" t="s">
        <v>15</v>
      </c>
      <c r="K154" s="152" t="s">
        <v>7</v>
      </c>
      <c r="L154" s="153" t="s">
        <v>21</v>
      </c>
      <c r="M154" s="154" t="s">
        <v>290</v>
      </c>
      <c r="N154" s="155" t="s">
        <v>291</v>
      </c>
      <c r="O154" s="155" t="s">
        <v>292</v>
      </c>
      <c r="P154" s="155" t="s">
        <v>43</v>
      </c>
      <c r="Q154" s="155" t="s">
        <v>43</v>
      </c>
      <c r="R154" s="155" t="s">
        <v>43</v>
      </c>
      <c r="S154" s="156" t="s">
        <v>43</v>
      </c>
      <c r="T154" s="156" t="s">
        <v>43</v>
      </c>
      <c r="U154" s="150" t="s">
        <v>43</v>
      </c>
      <c r="V154" s="150" t="s">
        <v>43</v>
      </c>
      <c r="W154" s="150" t="s">
        <v>43</v>
      </c>
      <c r="X154" s="157" t="s">
        <v>308</v>
      </c>
      <c r="Y154" s="150" t="s">
        <v>43</v>
      </c>
      <c r="Z154" s="150" t="s">
        <v>43</v>
      </c>
      <c r="AA154" s="158">
        <v>0</v>
      </c>
      <c r="AB154" s="155" t="s">
        <v>43</v>
      </c>
      <c r="AC154" s="150" t="s">
        <v>43</v>
      </c>
      <c r="AD154" s="155" t="s">
        <v>43</v>
      </c>
      <c r="AE154" s="155"/>
      <c r="AF154" s="150" t="s">
        <v>43</v>
      </c>
      <c r="AG154" s="159">
        <v>400</v>
      </c>
      <c r="AH154" s="159">
        <v>0.67890000000000006</v>
      </c>
      <c r="AI154" s="202">
        <v>0</v>
      </c>
      <c r="AJ154" s="161">
        <v>7.0000000000000007E-2</v>
      </c>
      <c r="AK154" s="162">
        <v>0.05</v>
      </c>
      <c r="AL154" s="163"/>
      <c r="AM154" s="164">
        <f>(((IF(L154=$L$101,1,IF(L154=$L$47,1,0))*(AH154*(1-AK154)))*AG154)*(1-AL154))</f>
        <v>0</v>
      </c>
      <c r="AN154" s="165">
        <f>IF(K154=$K$50,AM154,IF(K154=$K$53,AM154,IF(K154=$K$54,AM154,IF(K154=$K$55,AM154,IF(K154=$K$56,AM154,IF(K154=$K$57,AM154,IF(K154=$K$58,AM154,IF(K154=$K$65,AM154,IF(K154=$K$66,AM154,IF(K154=$K$67,AM154,IF(K154=$K$68,AM154,IF(K154=$K$69,AM154,IF(K154=$K$51,AM154,(AM154*(1+AI154)))))))))))))))</f>
        <v>0</v>
      </c>
      <c r="AO154" s="166">
        <v>1.4</v>
      </c>
      <c r="AP154" s="160">
        <f t="shared" si="2"/>
        <v>0</v>
      </c>
      <c r="AQ154" s="167">
        <f t="shared" si="24"/>
        <v>0</v>
      </c>
      <c r="AR154" s="160">
        <f t="shared" si="4"/>
        <v>0</v>
      </c>
      <c r="AS154" s="168">
        <f t="shared" si="5"/>
        <v>0</v>
      </c>
      <c r="AT154" s="169" t="str">
        <f>K154</f>
        <v>MI</v>
      </c>
      <c r="AU154" s="169" t="str">
        <f>I154</f>
        <v>Mercadorias</v>
      </c>
      <c r="AV154" s="170"/>
      <c r="AW154" s="171">
        <f>IF(K154=$K$50,0,IF(K154=$K$53,0,IF(K154=$K$54,0,IF(K154=$K$55,0,IF(K154=$K$56,0,IF(K154=$K$57,0,IF(K154=$K$58,0,IF(K154=$K$65,0,IF(K154=$K$66,0,IF(K154=$K$67,0,IF(K154=$K$68,0,IF(K154=$K$69,0,IF(K154=$K$51,0,1))))))))))))*AM154*AI154)</f>
        <v>0</v>
      </c>
      <c r="AX154" s="172">
        <f>IF(K154=$K$50,0,IF(K154=$K$53,0,IF(K154=$K$54,0,IF(K154=$K$55,0,IF(K154=$K$56,0,IF(K154=$K$57,0,IF(K154=$K$58,0,IF(K154=$K$65,0,IF(K154=$K$66,0,IF(K154=$K$67,0,IF(K154=$K$68,0,IF(K154=$K$69,0,IF(K154=$K$51,0,1))))))))))))*AM154*AJ154*$AX$94)</f>
        <v>0</v>
      </c>
      <c r="AY154" s="172">
        <f>IF(K154=$K$53,0,IF(K154=$K$54,0,IF(K154=$K$55,0,IF(K154=$K$56,0,IF(K154=$K$58,0,IF(K154=$K$50,0,IF(K154=$K$65,0,IF(K154=$K$57,0,IF(K154=$K$51,0,AM154*$AY$102)))))))))</f>
        <v>0</v>
      </c>
      <c r="AZ154" s="172">
        <f>IF(K154=$K$53,0,IF(K154=$K$54,0,IF(K154=$K$55,0,IF(K154=$K$56,0,IF(K154=$K$58,0,IF(K154=$K$50,0,IF(K154=$K$65,0,IF(K154=$K$57,0,IF(K154=$K$51,0,AM154*$AZ$102)))))))))</f>
        <v>0</v>
      </c>
      <c r="BA154" s="172">
        <f t="shared" si="6"/>
        <v>0</v>
      </c>
      <c r="BB154" s="173">
        <f>IF($BA$97=1,AQ154*$BB$102,IF(K154=$K$50,0,IF(K154=$K$53,0,IF(K154=$K$54,0,IF(K154=$K$55,0,IF(K154=$K$56,0,IF(K154=$K$57,0,IF(K154=$K$58,0,IF(K154=$K$65,0,IF(K154=$K$66,0,IF(K154=$K$67,0,IF(K154=$K$68,0,IF(K154=$K$69,0,IF(K154=$K$51,0,1)))))))))))*AQ154*$BB$102)))</f>
        <v>0</v>
      </c>
      <c r="BC154" s="172">
        <f t="shared" si="7"/>
        <v>0</v>
      </c>
      <c r="BD154" s="172">
        <f t="shared" si="8"/>
        <v>0</v>
      </c>
      <c r="BE154" s="172">
        <f>IF($BE$95=I154,$BE$97,IF(I154=$BE$96,$BE$97,1))*($BE$102*AQ154)*$AZ$97</f>
        <v>0</v>
      </c>
      <c r="BF154" s="172">
        <f>IF('[1]Cockpit Retorno'!$C$65=Sim,Mestre!BA154,SUM(BB154:BE154)+(IF(K154=$K$56,AQ154*MOE_IRRF_LR,0)))</f>
        <v>0</v>
      </c>
      <c r="BG154" s="174">
        <f>IF(AA154&gt;0,0,IF(Z154=$Z$82,AG154*1,(IF(Z154=$Z$81,AG154*1,0))))</f>
        <v>0</v>
      </c>
      <c r="BH154" s="174">
        <f>IF(AA154&gt;0,0,IF(Z154=$Z$83,AG154*1,IF(Z154=$Z$81,AG154*1,0)))</f>
        <v>0</v>
      </c>
      <c r="BI154" s="174">
        <f>IF(AA154&gt;0,0,IF(Z154=$Z$84,AG154*1,IF(Z154=$Z$93,AG154*2,IF(Z154=$Z$100,AG154,IF(Z154=$Z$81,AG154*2,IF(Z154=$Z$80,AG154*1,IF(Z154=$Z$79,AG154*3,IF(Z154=$Z$78,AG154*2,0))))))))</f>
        <v>0</v>
      </c>
      <c r="BJ154" s="174">
        <f>IF(AA154&gt;0,0,IF(Z154=$Z$85,AG154,IF(Z154=$Z$93,AG154,IF(Z154=$Z$100,AG154,IF(Z154=$Z$81,AG154*1,IF(Z154=$Z$80,AG154*2,IF(Z154=$Z$79,AG154*2,IF(Z154=$Z$78,AG154*2,0))))))))</f>
        <v>0</v>
      </c>
      <c r="BK154" s="174">
        <f>IF(AA154&gt;0,0,IF(Z154=$Z$92,AG154,0))</f>
        <v>0</v>
      </c>
      <c r="BL154" s="174">
        <f>IF(AA154&gt;0,0,IF(Z154=$Z$91,AG154,0))</f>
        <v>0</v>
      </c>
      <c r="BM154" s="174">
        <f>IF(AA154&gt;0,0,IF(Z154=$Z$86,AG154,0))</f>
        <v>0</v>
      </c>
      <c r="BN154" s="174">
        <f>IF(AA154&gt;0,0,IF(Z154=$Z$87,AG154,0))</f>
        <v>0</v>
      </c>
      <c r="BO154" s="174">
        <f>IF(AA154&gt;0,0,IF(Z154=$Z$88,AG154,0))</f>
        <v>0</v>
      </c>
      <c r="BP154" s="174">
        <f>IF(AA154&gt;0,0,IF(Z154=$Z$89,AG154,0))</f>
        <v>0</v>
      </c>
      <c r="BQ154" s="174">
        <f>IF(AA154&gt;0,0,IF(Z154=$Z$90,AG154,0))</f>
        <v>0</v>
      </c>
      <c r="BR154" s="174">
        <f>IF(Z154=$Z$82,AA154*AG154,0)</f>
        <v>0</v>
      </c>
      <c r="BS154" s="174">
        <f>IF(Z154=$Z$83,AA154*AG154,0)</f>
        <v>0</v>
      </c>
      <c r="BT154" s="174">
        <f>IF(AA154&lt;1,0,IF(Z154=$Z$84,AA154*AG154,IF(Z154=$Z$93,"ERRO",IF(Z154=$Z$100,"ERRO",0))))</f>
        <v>0</v>
      </c>
      <c r="BU154" s="174">
        <f>IF(AA154&lt;1,0,IF(Z154=$Z$85,AA154*AG154,IF(Z154=$Z$93,"ERRO",IF(Z154=$Z$100,"ERRO",0))))</f>
        <v>0</v>
      </c>
      <c r="BV154" s="174">
        <f>IF(Z154=$Z$92,AA154*AG154,0)</f>
        <v>0</v>
      </c>
      <c r="BW154" s="174">
        <f>IF(Z154=$Z$91,AA154*AG154,0)</f>
        <v>0</v>
      </c>
      <c r="BX154" s="174">
        <f>IF(Z154=$Z$86,AA154*AG154,0)</f>
        <v>0</v>
      </c>
      <c r="BY154" s="174">
        <f>IF(Z154=$Z$87,AA154*AG154,0)</f>
        <v>0</v>
      </c>
      <c r="BZ154" s="174">
        <f>IF(Z154=$Z$88,AA154*AG154,0)</f>
        <v>0</v>
      </c>
      <c r="CA154" s="174">
        <f>IF(Z154=$Z$89,AA154*AG154,0)</f>
        <v>0</v>
      </c>
      <c r="CB154" s="174">
        <f>IF(Z154=$Z$90,AA154*AG154,0)</f>
        <v>0</v>
      </c>
      <c r="CC154" s="175">
        <f>IFERROR(IF(L154=$L$49,AG154*AH154*(1+AI154)*(1-AK154)*(1-AL154),0),0)</f>
        <v>257.98199999999997</v>
      </c>
      <c r="CD154" s="203">
        <f>IF(I154=$CD$97,1,IF(I154=$CD$100,2,IF(K154=$K$66,1,IF(K154=$K$69,1,3))))</f>
        <v>1</v>
      </c>
      <c r="CE154" s="203">
        <f t="shared" si="14"/>
        <v>1.07</v>
      </c>
      <c r="CF154" s="204">
        <f t="shared" si="9"/>
        <v>1.2353999999999998</v>
      </c>
      <c r="CG154" s="203">
        <f t="shared" si="15"/>
        <v>1.42</v>
      </c>
      <c r="CH154" s="204">
        <f t="shared" si="10"/>
        <v>1.5478000000000001</v>
      </c>
      <c r="CI154" s="203">
        <f t="shared" si="16"/>
        <v>1.7</v>
      </c>
      <c r="CJ154" s="205">
        <f t="shared" si="17"/>
        <v>1.0486</v>
      </c>
      <c r="CK154" s="205">
        <f t="shared" si="18"/>
        <v>1.148922</v>
      </c>
      <c r="CL154" s="205">
        <f t="shared" si="19"/>
        <v>1.3915999999999999</v>
      </c>
      <c r="CM154" s="205">
        <f t="shared" si="20"/>
        <v>1.501366</v>
      </c>
      <c r="CN154" s="206">
        <f t="shared" si="21"/>
        <v>1.6319999999999999</v>
      </c>
      <c r="CO154" s="204">
        <f t="shared" si="25"/>
        <v>1.006656</v>
      </c>
      <c r="CP154" s="207">
        <f t="shared" si="11"/>
        <v>0</v>
      </c>
      <c r="CQ154" s="208">
        <f t="shared" si="12"/>
        <v>0</v>
      </c>
      <c r="CR154" s="209">
        <f t="shared" si="13"/>
        <v>0</v>
      </c>
      <c r="CS154" s="49"/>
      <c r="CT154" s="49"/>
      <c r="CU154" s="49"/>
      <c r="CV154" s="49"/>
      <c r="CW154" s="49"/>
      <c r="CX154" s="49"/>
      <c r="CY154" s="49"/>
      <c r="CZ154" s="49"/>
      <c r="DA154" s="49"/>
      <c r="DB154" s="49"/>
      <c r="DC154" s="49"/>
      <c r="DD154" s="49"/>
      <c r="DE154" s="49"/>
      <c r="DF154" s="49"/>
      <c r="DG154" s="49"/>
      <c r="DH154" s="49"/>
      <c r="DI154" s="49"/>
      <c r="DJ154" s="49"/>
      <c r="DK154" s="49"/>
      <c r="DL154" s="49"/>
      <c r="DM154" s="49"/>
      <c r="DN154" s="49"/>
      <c r="DO154" s="49"/>
      <c r="DP154" s="49"/>
      <c r="DQ154" s="49"/>
      <c r="DR154" s="49"/>
      <c r="DS154" s="49"/>
      <c r="DT154" s="49"/>
      <c r="DU154" s="49"/>
      <c r="DV154" s="49"/>
      <c r="DW154" s="49"/>
      <c r="DX154" s="49"/>
      <c r="DY154" s="49"/>
      <c r="DZ154" s="49"/>
      <c r="EA154" s="49"/>
      <c r="EB154" s="49"/>
      <c r="EC154" s="49"/>
      <c r="ED154" s="49"/>
      <c r="EE154" s="49"/>
      <c r="EF154" s="49"/>
      <c r="EG154" s="49"/>
      <c r="EH154" s="49"/>
      <c r="EI154" s="49"/>
      <c r="EJ154" s="49"/>
      <c r="EK154" s="49"/>
      <c r="EL154" s="49"/>
      <c r="EM154" s="49"/>
      <c r="EN154" s="49"/>
      <c r="EO154" s="49"/>
      <c r="EP154" s="49"/>
      <c r="EQ154" s="49"/>
      <c r="ER154" s="49"/>
      <c r="ES154" s="49"/>
      <c r="ET154" s="49"/>
      <c r="EU154" s="49"/>
      <c r="EV154" s="49"/>
      <c r="EW154" s="49"/>
      <c r="EX154" s="49"/>
      <c r="EY154" s="49"/>
      <c r="EZ154" s="49"/>
      <c r="FA154" s="49"/>
    </row>
    <row r="155" spans="1:157" s="210" customFormat="1" ht="51" x14ac:dyDescent="0.25">
      <c r="A155" s="113">
        <f>IF(AND('[1]Cockpit Retorno'!$E$67=Sim,Mestre!M155=Mestre!$M$98),0,1)</f>
        <v>1</v>
      </c>
      <c r="B155" s="113">
        <f>IF(AND('[1]Cockpit Retorno'!$E$67=Sim,Mestre!L155=Mestre!$L$48),0,1)</f>
        <v>1</v>
      </c>
      <c r="C155" s="113">
        <f>IF(AND('[1]Cockpit Retorno'!$E$67=Sim,Mestre!M155=Mestre!$M$97),0,1)</f>
        <v>1</v>
      </c>
      <c r="D155" s="148" t="s">
        <v>7</v>
      </c>
      <c r="E155" s="115"/>
      <c r="F155" s="116" t="s">
        <v>107</v>
      </c>
      <c r="G155" s="149">
        <v>8</v>
      </c>
      <c r="H155" s="150" t="s">
        <v>7</v>
      </c>
      <c r="I155" s="151" t="str">
        <f t="shared" si="1"/>
        <v>Mercadorias</v>
      </c>
      <c r="J155" s="150" t="s">
        <v>15</v>
      </c>
      <c r="K155" s="152" t="s">
        <v>7</v>
      </c>
      <c r="L155" s="153" t="s">
        <v>21</v>
      </c>
      <c r="M155" s="154" t="s">
        <v>290</v>
      </c>
      <c r="N155" s="155" t="s">
        <v>309</v>
      </c>
      <c r="O155" s="155" t="s">
        <v>292</v>
      </c>
      <c r="P155" s="155" t="s">
        <v>43</v>
      </c>
      <c r="Q155" s="155" t="s">
        <v>43</v>
      </c>
      <c r="R155" s="155" t="s">
        <v>43</v>
      </c>
      <c r="S155" s="156" t="s">
        <v>43</v>
      </c>
      <c r="T155" s="156" t="s">
        <v>43</v>
      </c>
      <c r="U155" s="150" t="s">
        <v>43</v>
      </c>
      <c r="V155" s="150" t="s">
        <v>43</v>
      </c>
      <c r="W155" s="150" t="s">
        <v>43</v>
      </c>
      <c r="X155" s="157" t="s">
        <v>293</v>
      </c>
      <c r="Y155" s="150"/>
      <c r="Z155" s="150"/>
      <c r="AA155" s="158">
        <v>0</v>
      </c>
      <c r="AB155" s="155" t="s">
        <v>43</v>
      </c>
      <c r="AC155" s="150" t="s">
        <v>43</v>
      </c>
      <c r="AD155" s="155" t="s">
        <v>43</v>
      </c>
      <c r="AE155" s="155"/>
      <c r="AF155" s="150" t="s">
        <v>43</v>
      </c>
      <c r="AG155" s="159">
        <v>80</v>
      </c>
      <c r="AH155" s="159">
        <v>144.16860000000003</v>
      </c>
      <c r="AI155" s="202">
        <v>0</v>
      </c>
      <c r="AJ155" s="161">
        <v>7.0000000000000007E-2</v>
      </c>
      <c r="AK155" s="162">
        <v>0.05</v>
      </c>
      <c r="AL155" s="163"/>
      <c r="AM155" s="164">
        <f>(((IF(L155=$L$101,1,IF(L155=$L$47,1,0))*(AH155*(1-AK155)))*AG155)*(1-AL155))</f>
        <v>0</v>
      </c>
      <c r="AN155" s="165">
        <f>IF(K155=$K$50,AM155,IF(K155=$K$53,AM155,IF(K155=$K$54,AM155,IF(K155=$K$55,AM155,IF(K155=$K$56,AM155,IF(K155=$K$57,AM155,IF(K155=$K$58,AM155,IF(K155=$K$65,AM155,IF(K155=$K$66,AM155,IF(K155=$K$67,AM155,IF(K155=$K$68,AM155,IF(K155=$K$69,AM155,IF(K155=$K$51,AM155,(AM155*(1+AI155)))))))))))))))</f>
        <v>0</v>
      </c>
      <c r="AO155" s="166">
        <v>1.4</v>
      </c>
      <c r="AP155" s="160">
        <f t="shared" si="2"/>
        <v>0</v>
      </c>
      <c r="AQ155" s="167">
        <f t="shared" si="24"/>
        <v>0</v>
      </c>
      <c r="AR155" s="160">
        <f t="shared" si="4"/>
        <v>0</v>
      </c>
      <c r="AS155" s="168">
        <f t="shared" si="5"/>
        <v>0</v>
      </c>
      <c r="AT155" s="169" t="str">
        <f>K155</f>
        <v>MI</v>
      </c>
      <c r="AU155" s="169" t="str">
        <f>I155</f>
        <v>Mercadorias</v>
      </c>
      <c r="AV155" s="170"/>
      <c r="AW155" s="171">
        <f>IF(K155=$K$50,0,IF(K155=$K$53,0,IF(K155=$K$54,0,IF(K155=$K$55,0,IF(K155=$K$56,0,IF(K155=$K$57,0,IF(K155=$K$58,0,IF(K155=$K$65,0,IF(K155=$K$66,0,IF(K155=$K$67,0,IF(K155=$K$68,0,IF(K155=$K$69,0,IF(K155=$K$51,0,1))))))))))))*AM155*AI155)</f>
        <v>0</v>
      </c>
      <c r="AX155" s="172">
        <f>IF(K155=$K$50,0,IF(K155=$K$53,0,IF(K155=$K$54,0,IF(K155=$K$55,0,IF(K155=$K$56,0,IF(K155=$K$57,0,IF(K155=$K$58,0,IF(K155=$K$65,0,IF(K155=$K$66,0,IF(K155=$K$67,0,IF(K155=$K$68,0,IF(K155=$K$69,0,IF(K155=$K$51,0,1))))))))))))*AM155*AJ155*$AX$94)</f>
        <v>0</v>
      </c>
      <c r="AY155" s="172">
        <f>IF(K155=$K$53,0,IF(K155=$K$54,0,IF(K155=$K$55,0,IF(K155=$K$56,0,IF(K155=$K$58,0,IF(K155=$K$50,0,IF(K155=$K$65,0,IF(K155=$K$57,0,IF(K155=$K$51,0,AM155*$AY$102)))))))))</f>
        <v>0</v>
      </c>
      <c r="AZ155" s="172">
        <f>IF(K155=$K$53,0,IF(K155=$K$54,0,IF(K155=$K$55,0,IF(K155=$K$56,0,IF(K155=$K$58,0,IF(K155=$K$50,0,IF(K155=$K$65,0,IF(K155=$K$57,0,IF(K155=$K$51,0,AM155*$AZ$102)))))))))</f>
        <v>0</v>
      </c>
      <c r="BA155" s="172">
        <f t="shared" si="6"/>
        <v>0</v>
      </c>
      <c r="BB155" s="173">
        <f>IF($BA$97=1,AQ155*$BB$102,IF(K155=$K$50,0,IF(K155=$K$53,0,IF(K155=$K$54,0,IF(K155=$K$55,0,IF(K155=$K$56,0,IF(K155=$K$57,0,IF(K155=$K$58,0,IF(K155=$K$65,0,IF(K155=$K$66,0,IF(K155=$K$67,0,IF(K155=$K$68,0,IF(K155=$K$69,0,IF(K155=$K$51,0,1)))))))))))*AQ155*$BB$102)))</f>
        <v>0</v>
      </c>
      <c r="BC155" s="172">
        <f t="shared" si="7"/>
        <v>0</v>
      </c>
      <c r="BD155" s="172">
        <f t="shared" si="8"/>
        <v>0</v>
      </c>
      <c r="BE155" s="172">
        <f>IF($BE$95=I155,$BE$97,IF(I155=$BE$96,$BE$97,1))*($BE$102*AQ155)*$AZ$97</f>
        <v>0</v>
      </c>
      <c r="BF155" s="172">
        <f>IF('[1]Cockpit Retorno'!$C$65=Sim,Mestre!BA155,SUM(BB155:BE155)+(IF(K155=$K$56,AQ155*MOE_IRRF_LR,0)))</f>
        <v>0</v>
      </c>
      <c r="BG155" s="174">
        <f>IF(AA155&gt;0,0,IF(Z155=$Z$82,AG155*1,(IF(Z155=$Z$81,AG155*1,0))))</f>
        <v>0</v>
      </c>
      <c r="BH155" s="174">
        <f>IF(AA155&gt;0,0,IF(Z155=$Z$83,AG155*1,IF(Z155=$Z$81,AG155*1,0)))</f>
        <v>0</v>
      </c>
      <c r="BI155" s="174">
        <f>IF(AA155&gt;0,0,IF(Z155=$Z$84,AG155*1,IF(Z155=$Z$93,AG155*2,IF(Z155=$Z$100,AG155,IF(Z155=$Z$81,AG155*2,IF(Z155=$Z$80,AG155*1,IF(Z155=$Z$79,AG155*3,IF(Z155=$Z$78,AG155*2,0))))))))</f>
        <v>0</v>
      </c>
      <c r="BJ155" s="174">
        <f>IF(AA155&gt;0,0,IF(Z155=$Z$85,AG155,IF(Z155=$Z$93,AG155,IF(Z155=$Z$100,AG155,IF(Z155=$Z$81,AG155*1,IF(Z155=$Z$80,AG155*2,IF(Z155=$Z$79,AG155*2,IF(Z155=$Z$78,AG155*2,0))))))))</f>
        <v>0</v>
      </c>
      <c r="BK155" s="174">
        <f>IF(AA155&gt;0,0,IF(Z155=$Z$92,AG155,0))</f>
        <v>0</v>
      </c>
      <c r="BL155" s="174">
        <f>IF(AA155&gt;0,0,IF(Z155=$Z$91,AG155,0))</f>
        <v>0</v>
      </c>
      <c r="BM155" s="174">
        <f>IF(AA155&gt;0,0,IF(Z155=$Z$86,AG155,0))</f>
        <v>0</v>
      </c>
      <c r="BN155" s="174">
        <f>IF(AA155&gt;0,0,IF(Z155=$Z$87,AG155,0))</f>
        <v>0</v>
      </c>
      <c r="BO155" s="174">
        <f>IF(AA155&gt;0,0,IF(Z155=$Z$88,AG155,0))</f>
        <v>0</v>
      </c>
      <c r="BP155" s="174">
        <f>IF(AA155&gt;0,0,IF(Z155=$Z$89,AG155,0))</f>
        <v>0</v>
      </c>
      <c r="BQ155" s="174">
        <f>IF(AA155&gt;0,0,IF(Z155=$Z$90,AG155,0))</f>
        <v>0</v>
      </c>
      <c r="BR155" s="174">
        <f>IF(Z155=$Z$82,AA155*AG155,0)</f>
        <v>0</v>
      </c>
      <c r="BS155" s="174">
        <f>IF(Z155=$Z$83,AA155*AG155,0)</f>
        <v>0</v>
      </c>
      <c r="BT155" s="174">
        <f>IF(AA155&lt;1,0,IF(Z155=$Z$84,AA155*AG155,IF(Z155=$Z$93,"ERRO",IF(Z155=$Z$100,"ERRO",0))))</f>
        <v>0</v>
      </c>
      <c r="BU155" s="174">
        <f>IF(AA155&lt;1,0,IF(Z155=$Z$85,AA155*AG155,IF(Z155=$Z$93,"ERRO",IF(Z155=$Z$100,"ERRO",0))))</f>
        <v>0</v>
      </c>
      <c r="BV155" s="174">
        <f>IF(Z155=$Z$92,AA155*AG155,0)</f>
        <v>0</v>
      </c>
      <c r="BW155" s="174">
        <f>IF(Z155=$Z$91,AA155*AG155,0)</f>
        <v>0</v>
      </c>
      <c r="BX155" s="174">
        <f>IF(Z155=$Z$86,AA155*AG155,0)</f>
        <v>0</v>
      </c>
      <c r="BY155" s="174">
        <f>IF(Z155=$Z$87,AA155*AG155,0)</f>
        <v>0</v>
      </c>
      <c r="BZ155" s="174">
        <f>IF(Z155=$Z$88,AA155*AG155,0)</f>
        <v>0</v>
      </c>
      <c r="CA155" s="174">
        <f>IF(Z155=$Z$89,AA155*AG155,0)</f>
        <v>0</v>
      </c>
      <c r="CB155" s="174">
        <f>IF(Z155=$Z$90,AA155*AG155,0)</f>
        <v>0</v>
      </c>
      <c r="CC155" s="175">
        <f>IFERROR(IF(L155=$L$49,AG155*AH155*(1+AI155)*(1-AK155)*(1-AL155),0),0)</f>
        <v>10956.813600000001</v>
      </c>
      <c r="CD155" s="203">
        <f>IF(I155=$CD$97,1,IF(I155=$CD$100,2,IF(K155=$K$66,1,IF(K155=$K$69,1,3))))</f>
        <v>1</v>
      </c>
      <c r="CE155" s="203">
        <f t="shared" si="14"/>
        <v>1.07</v>
      </c>
      <c r="CF155" s="204">
        <f t="shared" si="9"/>
        <v>1.2353999999999998</v>
      </c>
      <c r="CG155" s="203">
        <f t="shared" si="15"/>
        <v>1.42</v>
      </c>
      <c r="CH155" s="204">
        <f t="shared" si="10"/>
        <v>1.5478000000000001</v>
      </c>
      <c r="CI155" s="203">
        <f t="shared" si="16"/>
        <v>1.7</v>
      </c>
      <c r="CJ155" s="205">
        <f t="shared" si="17"/>
        <v>1.0486</v>
      </c>
      <c r="CK155" s="205">
        <f t="shared" si="18"/>
        <v>1.148922</v>
      </c>
      <c r="CL155" s="205">
        <f t="shared" si="19"/>
        <v>1.3915999999999999</v>
      </c>
      <c r="CM155" s="205">
        <f t="shared" si="20"/>
        <v>1.501366</v>
      </c>
      <c r="CN155" s="206">
        <f t="shared" si="21"/>
        <v>1.6319999999999999</v>
      </c>
      <c r="CO155" s="204">
        <f t="shared" si="25"/>
        <v>1.006656</v>
      </c>
      <c r="CP155" s="207">
        <f t="shared" si="11"/>
        <v>0</v>
      </c>
      <c r="CQ155" s="208">
        <f t="shared" si="12"/>
        <v>0</v>
      </c>
      <c r="CR155" s="209">
        <f t="shared" si="13"/>
        <v>0</v>
      </c>
      <c r="CS155" s="49"/>
      <c r="CT155" s="49"/>
      <c r="CU155" s="49"/>
      <c r="CV155" s="49"/>
      <c r="CW155" s="49"/>
      <c r="CX155" s="49"/>
      <c r="CY155" s="49"/>
      <c r="CZ155" s="49"/>
      <c r="DA155" s="49"/>
      <c r="DB155" s="49"/>
      <c r="DC155" s="49"/>
      <c r="DD155" s="49"/>
      <c r="DE155" s="49"/>
      <c r="DF155" s="49"/>
      <c r="DG155" s="49"/>
      <c r="DH155" s="49"/>
      <c r="DI155" s="49"/>
      <c r="DJ155" s="49"/>
      <c r="DK155" s="49"/>
      <c r="DL155" s="49"/>
      <c r="DM155" s="49"/>
      <c r="DN155" s="49"/>
      <c r="DO155" s="49"/>
      <c r="DP155" s="49"/>
      <c r="DQ155" s="49"/>
      <c r="DR155" s="49"/>
      <c r="DS155" s="49"/>
      <c r="DT155" s="49"/>
      <c r="DU155" s="49"/>
      <c r="DV155" s="49"/>
      <c r="DW155" s="49"/>
      <c r="DX155" s="49"/>
      <c r="DY155" s="49"/>
      <c r="DZ155" s="49"/>
      <c r="EA155" s="49"/>
      <c r="EB155" s="49"/>
      <c r="EC155" s="49"/>
      <c r="ED155" s="49"/>
      <c r="EE155" s="49"/>
      <c r="EF155" s="49"/>
      <c r="EG155" s="49"/>
      <c r="EH155" s="49"/>
      <c r="EI155" s="49"/>
      <c r="EJ155" s="49"/>
      <c r="EK155" s="49"/>
      <c r="EL155" s="49"/>
      <c r="EM155" s="49"/>
      <c r="EN155" s="49"/>
      <c r="EO155" s="49"/>
      <c r="EP155" s="49"/>
      <c r="EQ155" s="49"/>
      <c r="ER155" s="49"/>
      <c r="ES155" s="49"/>
      <c r="ET155" s="49"/>
      <c r="EU155" s="49"/>
      <c r="EV155" s="49"/>
      <c r="EW155" s="49"/>
      <c r="EX155" s="49"/>
      <c r="EY155" s="49"/>
      <c r="EZ155" s="49"/>
      <c r="FA155" s="49"/>
    </row>
    <row r="156" spans="1:157" s="210" customFormat="1" ht="51" x14ac:dyDescent="0.25">
      <c r="A156" s="113">
        <f>IF(AND('[1]Cockpit Retorno'!$E$67=Sim,Mestre!M156=Mestre!$M$98),0,1)</f>
        <v>1</v>
      </c>
      <c r="B156" s="113">
        <f>IF(AND('[1]Cockpit Retorno'!$E$67=Sim,Mestre!L156=Mestre!$L$48),0,1)</f>
        <v>1</v>
      </c>
      <c r="C156" s="113">
        <f>IF(AND('[1]Cockpit Retorno'!$E$67=Sim,Mestre!M156=Mestre!$M$97),0,1)</f>
        <v>1</v>
      </c>
      <c r="D156" s="148" t="s">
        <v>7</v>
      </c>
      <c r="E156" s="115"/>
      <c r="F156" s="116" t="s">
        <v>107</v>
      </c>
      <c r="G156" s="149">
        <v>8</v>
      </c>
      <c r="H156" s="150" t="s">
        <v>7</v>
      </c>
      <c r="I156" s="151" t="str">
        <f t="shared" si="1"/>
        <v>Mercadorias</v>
      </c>
      <c r="J156" s="150" t="s">
        <v>15</v>
      </c>
      <c r="K156" s="152" t="s">
        <v>7</v>
      </c>
      <c r="L156" s="153" t="s">
        <v>21</v>
      </c>
      <c r="M156" s="154" t="s">
        <v>290</v>
      </c>
      <c r="N156" s="155" t="s">
        <v>309</v>
      </c>
      <c r="O156" s="155" t="s">
        <v>292</v>
      </c>
      <c r="P156" s="155" t="s">
        <v>43</v>
      </c>
      <c r="Q156" s="155" t="s">
        <v>43</v>
      </c>
      <c r="R156" s="155" t="s">
        <v>43</v>
      </c>
      <c r="S156" s="156" t="s">
        <v>43</v>
      </c>
      <c r="T156" s="156" t="s">
        <v>43</v>
      </c>
      <c r="U156" s="150" t="s">
        <v>43</v>
      </c>
      <c r="V156" s="150" t="s">
        <v>43</v>
      </c>
      <c r="W156" s="150" t="s">
        <v>43</v>
      </c>
      <c r="X156" s="157" t="s">
        <v>310</v>
      </c>
      <c r="Y156" s="150"/>
      <c r="Z156" s="150"/>
      <c r="AA156" s="158">
        <v>0</v>
      </c>
      <c r="AB156" s="155" t="s">
        <v>43</v>
      </c>
      <c r="AC156" s="150" t="s">
        <v>43</v>
      </c>
      <c r="AD156" s="155" t="s">
        <v>43</v>
      </c>
      <c r="AE156" s="155"/>
      <c r="AF156" s="150" t="s">
        <v>43</v>
      </c>
      <c r="AG156" s="159">
        <v>420</v>
      </c>
      <c r="AH156" s="159">
        <v>161.63400000000001</v>
      </c>
      <c r="AI156" s="202">
        <v>0</v>
      </c>
      <c r="AJ156" s="161">
        <v>7.0000000000000007E-2</v>
      </c>
      <c r="AK156" s="162">
        <v>0.05</v>
      </c>
      <c r="AL156" s="163"/>
      <c r="AM156" s="164">
        <f>(((IF(L156=$L$101,1,IF(L156=$L$47,1,0))*(AH156*(1-AK156)))*AG156)*(1-AL156))</f>
        <v>0</v>
      </c>
      <c r="AN156" s="165">
        <f>IF(K156=$K$50,AM156,IF(K156=$K$53,AM156,IF(K156=$K$54,AM156,IF(K156=$K$55,AM156,IF(K156=$K$56,AM156,IF(K156=$K$57,AM156,IF(K156=$K$58,AM156,IF(K156=$K$65,AM156,IF(K156=$K$66,AM156,IF(K156=$K$67,AM156,IF(K156=$K$68,AM156,IF(K156=$K$69,AM156,IF(K156=$K$51,AM156,(AM156*(1+AI156)))))))))))))))</f>
        <v>0</v>
      </c>
      <c r="AO156" s="166">
        <v>1.4</v>
      </c>
      <c r="AP156" s="160">
        <f t="shared" si="2"/>
        <v>0</v>
      </c>
      <c r="AQ156" s="167">
        <f t="shared" si="24"/>
        <v>0</v>
      </c>
      <c r="AR156" s="160">
        <f t="shared" si="4"/>
        <v>0</v>
      </c>
      <c r="AS156" s="168">
        <f t="shared" si="5"/>
        <v>0</v>
      </c>
      <c r="AT156" s="169" t="str">
        <f>K156</f>
        <v>MI</v>
      </c>
      <c r="AU156" s="169" t="str">
        <f>I156</f>
        <v>Mercadorias</v>
      </c>
      <c r="AV156" s="170"/>
      <c r="AW156" s="171">
        <f>IF(K156=$K$50,0,IF(K156=$K$53,0,IF(K156=$K$54,0,IF(K156=$K$55,0,IF(K156=$K$56,0,IF(K156=$K$57,0,IF(K156=$K$58,0,IF(K156=$K$65,0,IF(K156=$K$66,0,IF(K156=$K$67,0,IF(K156=$K$68,0,IF(K156=$K$69,0,IF(K156=$K$51,0,1))))))))))))*AM156*AI156)</f>
        <v>0</v>
      </c>
      <c r="AX156" s="172">
        <f>IF(K156=$K$50,0,IF(K156=$K$53,0,IF(K156=$K$54,0,IF(K156=$K$55,0,IF(K156=$K$56,0,IF(K156=$K$57,0,IF(K156=$K$58,0,IF(K156=$K$65,0,IF(K156=$K$66,0,IF(K156=$K$67,0,IF(K156=$K$68,0,IF(K156=$K$69,0,IF(K156=$K$51,0,1))))))))))))*AM156*AJ156*$AX$94)</f>
        <v>0</v>
      </c>
      <c r="AY156" s="172">
        <f>IF(K156=$K$53,0,IF(K156=$K$54,0,IF(K156=$K$55,0,IF(K156=$K$56,0,IF(K156=$K$58,0,IF(K156=$K$50,0,IF(K156=$K$65,0,IF(K156=$K$57,0,IF(K156=$K$51,0,AM156*$AY$102)))))))))</f>
        <v>0</v>
      </c>
      <c r="AZ156" s="172">
        <f>IF(K156=$K$53,0,IF(K156=$K$54,0,IF(K156=$K$55,0,IF(K156=$K$56,0,IF(K156=$K$58,0,IF(K156=$K$50,0,IF(K156=$K$65,0,IF(K156=$K$57,0,IF(K156=$K$51,0,AM156*$AZ$102)))))))))</f>
        <v>0</v>
      </c>
      <c r="BA156" s="172">
        <f t="shared" si="6"/>
        <v>0</v>
      </c>
      <c r="BB156" s="173">
        <f>IF($BA$97=1,AQ156*$BB$102,IF(K156=$K$50,0,IF(K156=$K$53,0,IF(K156=$K$54,0,IF(K156=$K$55,0,IF(K156=$K$56,0,IF(K156=$K$57,0,IF(K156=$K$58,0,IF(K156=$K$65,0,IF(K156=$K$66,0,IF(K156=$K$67,0,IF(K156=$K$68,0,IF(K156=$K$69,0,IF(K156=$K$51,0,1)))))))))))*AQ156*$BB$102)))</f>
        <v>0</v>
      </c>
      <c r="BC156" s="172">
        <f t="shared" si="7"/>
        <v>0</v>
      </c>
      <c r="BD156" s="172">
        <f t="shared" si="8"/>
        <v>0</v>
      </c>
      <c r="BE156" s="172">
        <f>IF($BE$95=I156,$BE$97,IF(I156=$BE$96,$BE$97,1))*($BE$102*AQ156)*$AZ$97</f>
        <v>0</v>
      </c>
      <c r="BF156" s="172">
        <f>IF('[1]Cockpit Retorno'!$C$65=Sim,Mestre!BA156,SUM(BB156:BE156)+(IF(K156=$K$56,AQ156*MOE_IRRF_LR,0)))</f>
        <v>0</v>
      </c>
      <c r="BG156" s="174">
        <f>IF(AA156&gt;0,0,IF(Z156=$Z$82,AG156*1,(IF(Z156=$Z$81,AG156*1,0))))</f>
        <v>0</v>
      </c>
      <c r="BH156" s="174">
        <f>IF(AA156&gt;0,0,IF(Z156=$Z$83,AG156*1,IF(Z156=$Z$81,AG156*1,0)))</f>
        <v>0</v>
      </c>
      <c r="BI156" s="174">
        <f>IF(AA156&gt;0,0,IF(Z156=$Z$84,AG156*1,IF(Z156=$Z$93,AG156*2,IF(Z156=$Z$100,AG156,IF(Z156=$Z$81,AG156*2,IF(Z156=$Z$80,AG156*1,IF(Z156=$Z$79,AG156*3,IF(Z156=$Z$78,AG156*2,0))))))))</f>
        <v>0</v>
      </c>
      <c r="BJ156" s="174">
        <f>IF(AA156&gt;0,0,IF(Z156=$Z$85,AG156,IF(Z156=$Z$93,AG156,IF(Z156=$Z$100,AG156,IF(Z156=$Z$81,AG156*1,IF(Z156=$Z$80,AG156*2,IF(Z156=$Z$79,AG156*2,IF(Z156=$Z$78,AG156*2,0))))))))</f>
        <v>0</v>
      </c>
      <c r="BK156" s="174">
        <f>IF(AA156&gt;0,0,IF(Z156=$Z$92,AG156,0))</f>
        <v>0</v>
      </c>
      <c r="BL156" s="174">
        <f>IF(AA156&gt;0,0,IF(Z156=$Z$91,AG156,0))</f>
        <v>0</v>
      </c>
      <c r="BM156" s="174">
        <f>IF(AA156&gt;0,0,IF(Z156=$Z$86,AG156,0))</f>
        <v>0</v>
      </c>
      <c r="BN156" s="174">
        <f>IF(AA156&gt;0,0,IF(Z156=$Z$87,AG156,0))</f>
        <v>0</v>
      </c>
      <c r="BO156" s="174">
        <f>IF(AA156&gt;0,0,IF(Z156=$Z$88,AG156,0))</f>
        <v>0</v>
      </c>
      <c r="BP156" s="174">
        <f>IF(AA156&gt;0,0,IF(Z156=$Z$89,AG156,0))</f>
        <v>0</v>
      </c>
      <c r="BQ156" s="174">
        <f>IF(AA156&gt;0,0,IF(Z156=$Z$90,AG156,0))</f>
        <v>0</v>
      </c>
      <c r="BR156" s="174">
        <f>IF(Z156=$Z$82,AA156*AG156,0)</f>
        <v>0</v>
      </c>
      <c r="BS156" s="174">
        <f>IF(Z156=$Z$83,AA156*AG156,0)</f>
        <v>0</v>
      </c>
      <c r="BT156" s="174">
        <f>IF(AA156&lt;1,0,IF(Z156=$Z$84,AA156*AG156,IF(Z156=$Z$93,"ERRO",IF(Z156=$Z$100,"ERRO",0))))</f>
        <v>0</v>
      </c>
      <c r="BU156" s="174">
        <f>IF(AA156&lt;1,0,IF(Z156=$Z$85,AA156*AG156,IF(Z156=$Z$93,"ERRO",IF(Z156=$Z$100,"ERRO",0))))</f>
        <v>0</v>
      </c>
      <c r="BV156" s="174">
        <f>IF(Z156=$Z$92,AA156*AG156,0)</f>
        <v>0</v>
      </c>
      <c r="BW156" s="174">
        <f>IF(Z156=$Z$91,AA156*AG156,0)</f>
        <v>0</v>
      </c>
      <c r="BX156" s="174">
        <f>IF(Z156=$Z$86,AA156*AG156,0)</f>
        <v>0</v>
      </c>
      <c r="BY156" s="174">
        <f>IF(Z156=$Z$87,AA156*AG156,0)</f>
        <v>0</v>
      </c>
      <c r="BZ156" s="174">
        <f>IF(Z156=$Z$88,AA156*AG156,0)</f>
        <v>0</v>
      </c>
      <c r="CA156" s="174">
        <f>IF(Z156=$Z$89,AA156*AG156,0)</f>
        <v>0</v>
      </c>
      <c r="CB156" s="174">
        <f>IF(Z156=$Z$90,AA156*AG156,0)</f>
        <v>0</v>
      </c>
      <c r="CC156" s="175">
        <f>IFERROR(IF(L156=$L$49,AG156*AH156*(1+AI156)*(1-AK156)*(1-AL156),0),0)</f>
        <v>64491.965999999993</v>
      </c>
      <c r="CD156" s="203">
        <f>IF(I156=$CD$97,1,IF(I156=$CD$100,2,IF(K156=$K$66,1,IF(K156=$K$69,1,3))))</f>
        <v>1</v>
      </c>
      <c r="CE156" s="203">
        <f t="shared" si="14"/>
        <v>1.07</v>
      </c>
      <c r="CF156" s="204">
        <f t="shared" si="9"/>
        <v>1.2353999999999998</v>
      </c>
      <c r="CG156" s="203">
        <f t="shared" si="15"/>
        <v>1.42</v>
      </c>
      <c r="CH156" s="204">
        <f t="shared" si="10"/>
        <v>1.5478000000000001</v>
      </c>
      <c r="CI156" s="203">
        <f t="shared" si="16"/>
        <v>1.7</v>
      </c>
      <c r="CJ156" s="205">
        <f t="shared" si="17"/>
        <v>1.0486</v>
      </c>
      <c r="CK156" s="205">
        <f t="shared" si="18"/>
        <v>1.148922</v>
      </c>
      <c r="CL156" s="205">
        <f t="shared" si="19"/>
        <v>1.3915999999999999</v>
      </c>
      <c r="CM156" s="205">
        <f t="shared" si="20"/>
        <v>1.501366</v>
      </c>
      <c r="CN156" s="206">
        <f t="shared" si="21"/>
        <v>1.6319999999999999</v>
      </c>
      <c r="CO156" s="204">
        <f t="shared" si="25"/>
        <v>1.006656</v>
      </c>
      <c r="CP156" s="207">
        <f t="shared" si="11"/>
        <v>0</v>
      </c>
      <c r="CQ156" s="208">
        <f t="shared" si="12"/>
        <v>0</v>
      </c>
      <c r="CR156" s="209">
        <f t="shared" si="13"/>
        <v>0</v>
      </c>
      <c r="CS156" s="49"/>
      <c r="CT156" s="49"/>
      <c r="CU156" s="49"/>
      <c r="CV156" s="49"/>
      <c r="CW156" s="49"/>
      <c r="CX156" s="49"/>
      <c r="CY156" s="49"/>
      <c r="CZ156" s="49"/>
      <c r="DA156" s="49"/>
      <c r="DB156" s="49"/>
      <c r="DC156" s="49"/>
      <c r="DD156" s="49"/>
      <c r="DE156" s="49"/>
      <c r="DF156" s="49"/>
      <c r="DG156" s="49"/>
      <c r="DH156" s="49"/>
      <c r="DI156" s="49"/>
      <c r="DJ156" s="49"/>
      <c r="DK156" s="49"/>
      <c r="DL156" s="49"/>
      <c r="DM156" s="49"/>
      <c r="DN156" s="49"/>
      <c r="DO156" s="49"/>
      <c r="DP156" s="49"/>
      <c r="DQ156" s="49"/>
      <c r="DR156" s="49"/>
      <c r="DS156" s="49"/>
      <c r="DT156" s="49"/>
      <c r="DU156" s="49"/>
      <c r="DV156" s="49"/>
      <c r="DW156" s="49"/>
      <c r="DX156" s="49"/>
      <c r="DY156" s="49"/>
      <c r="DZ156" s="49"/>
      <c r="EA156" s="49"/>
      <c r="EB156" s="49"/>
      <c r="EC156" s="49"/>
      <c r="ED156" s="49"/>
      <c r="EE156" s="49"/>
      <c r="EF156" s="49"/>
      <c r="EG156" s="49"/>
      <c r="EH156" s="49"/>
      <c r="EI156" s="49"/>
      <c r="EJ156" s="49"/>
      <c r="EK156" s="49"/>
      <c r="EL156" s="49"/>
      <c r="EM156" s="49"/>
      <c r="EN156" s="49"/>
      <c r="EO156" s="49"/>
      <c r="EP156" s="49"/>
      <c r="EQ156" s="49"/>
      <c r="ER156" s="49"/>
      <c r="ES156" s="49"/>
      <c r="ET156" s="49"/>
      <c r="EU156" s="49"/>
      <c r="EV156" s="49"/>
      <c r="EW156" s="49"/>
      <c r="EX156" s="49"/>
      <c r="EY156" s="49"/>
      <c r="EZ156" s="49"/>
      <c r="FA156" s="49"/>
    </row>
    <row r="157" spans="1:157" s="210" customFormat="1" ht="51" x14ac:dyDescent="0.25">
      <c r="A157" s="113">
        <f>IF(AND('[1]Cockpit Retorno'!$E$67=Sim,Mestre!M157=Mestre!$M$98),0,1)</f>
        <v>1</v>
      </c>
      <c r="B157" s="113">
        <f>IF(AND('[1]Cockpit Retorno'!$E$67=Sim,Mestre!L157=Mestre!$L$48),0,1)</f>
        <v>1</v>
      </c>
      <c r="C157" s="113">
        <f>IF(AND('[1]Cockpit Retorno'!$E$67=Sim,Mestre!M157=Mestre!$M$97),0,1)</f>
        <v>1</v>
      </c>
      <c r="D157" s="148" t="s">
        <v>7</v>
      </c>
      <c r="E157" s="115"/>
      <c r="F157" s="116" t="s">
        <v>107</v>
      </c>
      <c r="G157" s="149">
        <v>9</v>
      </c>
      <c r="H157" s="150" t="s">
        <v>7</v>
      </c>
      <c r="I157" s="151" t="str">
        <f t="shared" si="1"/>
        <v>Mercadorias</v>
      </c>
      <c r="J157" s="150" t="s">
        <v>15</v>
      </c>
      <c r="K157" s="152" t="s">
        <v>7</v>
      </c>
      <c r="L157" s="153" t="s">
        <v>21</v>
      </c>
      <c r="M157" s="154" t="s">
        <v>290</v>
      </c>
      <c r="N157" s="155" t="s">
        <v>309</v>
      </c>
      <c r="O157" s="155" t="s">
        <v>292</v>
      </c>
      <c r="P157" s="155" t="s">
        <v>43</v>
      </c>
      <c r="Q157" s="155" t="s">
        <v>43</v>
      </c>
      <c r="R157" s="155" t="s">
        <v>43</v>
      </c>
      <c r="S157" s="156" t="s">
        <v>43</v>
      </c>
      <c r="T157" s="156" t="s">
        <v>43</v>
      </c>
      <c r="U157" s="150" t="s">
        <v>43</v>
      </c>
      <c r="V157" s="150" t="s">
        <v>43</v>
      </c>
      <c r="W157" s="150" t="s">
        <v>43</v>
      </c>
      <c r="X157" s="157" t="s">
        <v>311</v>
      </c>
      <c r="Y157" s="150"/>
      <c r="Z157" s="150"/>
      <c r="AA157" s="158">
        <v>0</v>
      </c>
      <c r="AB157" s="155" t="s">
        <v>43</v>
      </c>
      <c r="AC157" s="150" t="s">
        <v>43</v>
      </c>
      <c r="AD157" s="155" t="s">
        <v>43</v>
      </c>
      <c r="AE157" s="155"/>
      <c r="AF157" s="150" t="s">
        <v>43</v>
      </c>
      <c r="AG157" s="159">
        <v>25</v>
      </c>
      <c r="AH157" s="159">
        <v>187.45080000000002</v>
      </c>
      <c r="AI157" s="202">
        <v>0</v>
      </c>
      <c r="AJ157" s="161">
        <v>7.0000000000000007E-2</v>
      </c>
      <c r="AK157" s="162">
        <v>0.05</v>
      </c>
      <c r="AL157" s="163"/>
      <c r="AM157" s="164">
        <f>(((IF(L157=$L$101,1,IF(L157=$L$47,1,0))*(AH157*(1-AK157)))*AG157)*(1-AL157))</f>
        <v>0</v>
      </c>
      <c r="AN157" s="165">
        <f>IF(K157=$K$50,AM157,IF(K157=$K$53,AM157,IF(K157=$K$54,AM157,IF(K157=$K$55,AM157,IF(K157=$K$56,AM157,IF(K157=$K$57,AM157,IF(K157=$K$58,AM157,IF(K157=$K$65,AM157,IF(K157=$K$66,AM157,IF(K157=$K$67,AM157,IF(K157=$K$68,AM157,IF(K157=$K$69,AM157,IF(K157=$K$51,AM157,(AM157*(1+AI157)))))))))))))))</f>
        <v>0</v>
      </c>
      <c r="AO157" s="166">
        <v>1.4</v>
      </c>
      <c r="AP157" s="160">
        <f t="shared" si="2"/>
        <v>0</v>
      </c>
      <c r="AQ157" s="167">
        <f t="shared" si="24"/>
        <v>0</v>
      </c>
      <c r="AR157" s="160">
        <f t="shared" si="4"/>
        <v>0</v>
      </c>
      <c r="AS157" s="168">
        <f t="shared" si="5"/>
        <v>0</v>
      </c>
      <c r="AT157" s="169" t="str">
        <f>K157</f>
        <v>MI</v>
      </c>
      <c r="AU157" s="169" t="str">
        <f>I157</f>
        <v>Mercadorias</v>
      </c>
      <c r="AV157" s="170"/>
      <c r="AW157" s="171">
        <f>IF(K157=$K$50,0,IF(K157=$K$53,0,IF(K157=$K$54,0,IF(K157=$K$55,0,IF(K157=$K$56,0,IF(K157=$K$57,0,IF(K157=$K$58,0,IF(K157=$K$65,0,IF(K157=$K$66,0,IF(K157=$K$67,0,IF(K157=$K$68,0,IF(K157=$K$69,0,IF(K157=$K$51,0,1))))))))))))*AM157*AI157)</f>
        <v>0</v>
      </c>
      <c r="AX157" s="172">
        <f>IF(K157=$K$50,0,IF(K157=$K$53,0,IF(K157=$K$54,0,IF(K157=$K$55,0,IF(K157=$K$56,0,IF(K157=$K$57,0,IF(K157=$K$58,0,IF(K157=$K$65,0,IF(K157=$K$66,0,IF(K157=$K$67,0,IF(K157=$K$68,0,IF(K157=$K$69,0,IF(K157=$K$51,0,1))))))))))))*AM157*AJ157*$AX$94)</f>
        <v>0</v>
      </c>
      <c r="AY157" s="172">
        <f>IF(K157=$K$53,0,IF(K157=$K$54,0,IF(K157=$K$55,0,IF(K157=$K$56,0,IF(K157=$K$58,0,IF(K157=$K$50,0,IF(K157=$K$65,0,IF(K157=$K$57,0,IF(K157=$K$51,0,AM157*$AY$102)))))))))</f>
        <v>0</v>
      </c>
      <c r="AZ157" s="172">
        <f>IF(K157=$K$53,0,IF(K157=$K$54,0,IF(K157=$K$55,0,IF(K157=$K$56,0,IF(K157=$K$58,0,IF(K157=$K$50,0,IF(K157=$K$65,0,IF(K157=$K$57,0,IF(K157=$K$51,0,AM157*$AZ$102)))))))))</f>
        <v>0</v>
      </c>
      <c r="BA157" s="172">
        <f t="shared" si="6"/>
        <v>0</v>
      </c>
      <c r="BB157" s="173">
        <f>IF($BA$97=1,AQ157*$BB$102,IF(K157=$K$50,0,IF(K157=$K$53,0,IF(K157=$K$54,0,IF(K157=$K$55,0,IF(K157=$K$56,0,IF(K157=$K$57,0,IF(K157=$K$58,0,IF(K157=$K$65,0,IF(K157=$K$66,0,IF(K157=$K$67,0,IF(K157=$K$68,0,IF(K157=$K$69,0,IF(K157=$K$51,0,1)))))))))))*AQ157*$BB$102)))</f>
        <v>0</v>
      </c>
      <c r="BC157" s="172">
        <f t="shared" si="7"/>
        <v>0</v>
      </c>
      <c r="BD157" s="172">
        <f t="shared" si="8"/>
        <v>0</v>
      </c>
      <c r="BE157" s="172">
        <f>IF($BE$95=I157,$BE$97,IF(I157=$BE$96,$BE$97,1))*($BE$102*AQ157)*$AZ$97</f>
        <v>0</v>
      </c>
      <c r="BF157" s="172">
        <f>IF('[1]Cockpit Retorno'!$C$65=Sim,Mestre!BA157,SUM(BB157:BE157)+(IF(K157=$K$56,AQ157*MOE_IRRF_LR,0)))</f>
        <v>0</v>
      </c>
      <c r="BG157" s="174">
        <f>IF(AA157&gt;0,0,IF(Z157=$Z$82,AG157*1,(IF(Z157=$Z$81,AG157*1,0))))</f>
        <v>0</v>
      </c>
      <c r="BH157" s="174">
        <f>IF(AA157&gt;0,0,IF(Z157=$Z$83,AG157*1,IF(Z157=$Z$81,AG157*1,0)))</f>
        <v>0</v>
      </c>
      <c r="BI157" s="174">
        <f>IF(AA157&gt;0,0,IF(Z157=$Z$84,AG157*1,IF(Z157=$Z$93,AG157*2,IF(Z157=$Z$100,AG157,IF(Z157=$Z$81,AG157*2,IF(Z157=$Z$80,AG157*1,IF(Z157=$Z$79,AG157*3,IF(Z157=$Z$78,AG157*2,0))))))))</f>
        <v>0</v>
      </c>
      <c r="BJ157" s="174">
        <f>IF(AA157&gt;0,0,IF(Z157=$Z$85,AG157,IF(Z157=$Z$93,AG157,IF(Z157=$Z$100,AG157,IF(Z157=$Z$81,AG157*1,IF(Z157=$Z$80,AG157*2,IF(Z157=$Z$79,AG157*2,IF(Z157=$Z$78,AG157*2,0))))))))</f>
        <v>0</v>
      </c>
      <c r="BK157" s="174">
        <f>IF(AA157&gt;0,0,IF(Z157=$Z$92,AG157,0))</f>
        <v>0</v>
      </c>
      <c r="BL157" s="174">
        <f>IF(AA157&gt;0,0,IF(Z157=$Z$91,AG157,0))</f>
        <v>0</v>
      </c>
      <c r="BM157" s="174">
        <f>IF(AA157&gt;0,0,IF(Z157=$Z$86,AG157,0))</f>
        <v>0</v>
      </c>
      <c r="BN157" s="174">
        <f>IF(AA157&gt;0,0,IF(Z157=$Z$87,AG157,0))</f>
        <v>0</v>
      </c>
      <c r="BO157" s="174">
        <f>IF(AA157&gt;0,0,IF(Z157=$Z$88,AG157,0))</f>
        <v>0</v>
      </c>
      <c r="BP157" s="174">
        <f>IF(AA157&gt;0,0,IF(Z157=$Z$89,AG157,0))</f>
        <v>0</v>
      </c>
      <c r="BQ157" s="174">
        <f>IF(AA157&gt;0,0,IF(Z157=$Z$90,AG157,0))</f>
        <v>0</v>
      </c>
      <c r="BR157" s="174">
        <f>IF(Z157=$Z$82,AA157*AG157,0)</f>
        <v>0</v>
      </c>
      <c r="BS157" s="174">
        <f>IF(Z157=$Z$83,AA157*AG157,0)</f>
        <v>0</v>
      </c>
      <c r="BT157" s="174">
        <f>IF(AA157&lt;1,0,IF(Z157=$Z$84,AA157*AG157,IF(Z157=$Z$93,"ERRO",IF(Z157=$Z$100,"ERRO",0))))</f>
        <v>0</v>
      </c>
      <c r="BU157" s="174">
        <f>IF(AA157&lt;1,0,IF(Z157=$Z$85,AA157*AG157,IF(Z157=$Z$93,"ERRO",IF(Z157=$Z$100,"ERRO",0))))</f>
        <v>0</v>
      </c>
      <c r="BV157" s="174">
        <f>IF(Z157=$Z$92,AA157*AG157,0)</f>
        <v>0</v>
      </c>
      <c r="BW157" s="174">
        <f>IF(Z157=$Z$91,AA157*AG157,0)</f>
        <v>0</v>
      </c>
      <c r="BX157" s="174">
        <f>IF(Z157=$Z$86,AA157*AG157,0)</f>
        <v>0</v>
      </c>
      <c r="BY157" s="174">
        <f>IF(Z157=$Z$87,AA157*AG157,0)</f>
        <v>0</v>
      </c>
      <c r="BZ157" s="174">
        <f>IF(Z157=$Z$88,AA157*AG157,0)</f>
        <v>0</v>
      </c>
      <c r="CA157" s="174">
        <f>IF(Z157=$Z$89,AA157*AG157,0)</f>
        <v>0</v>
      </c>
      <c r="CB157" s="174">
        <f>IF(Z157=$Z$90,AA157*AG157,0)</f>
        <v>0</v>
      </c>
      <c r="CC157" s="175">
        <f>IFERROR(IF(L157=$L$49,AG157*AH157*(1+AI157)*(1-AK157)*(1-AL157),0),0)</f>
        <v>4451.9565000000002</v>
      </c>
      <c r="CD157" s="203">
        <f>IF(I157=$CD$97,1,IF(I157=$CD$100,2,IF(K157=$K$66,1,IF(K157=$K$69,1,3))))</f>
        <v>1</v>
      </c>
      <c r="CE157" s="203">
        <f t="shared" si="14"/>
        <v>1.07</v>
      </c>
      <c r="CF157" s="204">
        <f t="shared" si="9"/>
        <v>1.2353999999999998</v>
      </c>
      <c r="CG157" s="203">
        <f t="shared" si="15"/>
        <v>1.42</v>
      </c>
      <c r="CH157" s="204">
        <f t="shared" si="10"/>
        <v>1.5478000000000001</v>
      </c>
      <c r="CI157" s="203">
        <f t="shared" si="16"/>
        <v>1.7</v>
      </c>
      <c r="CJ157" s="205">
        <f t="shared" si="17"/>
        <v>1.0486</v>
      </c>
      <c r="CK157" s="205">
        <f t="shared" si="18"/>
        <v>1.148922</v>
      </c>
      <c r="CL157" s="205">
        <f t="shared" si="19"/>
        <v>1.3915999999999999</v>
      </c>
      <c r="CM157" s="205">
        <f t="shared" si="20"/>
        <v>1.501366</v>
      </c>
      <c r="CN157" s="206">
        <f t="shared" si="21"/>
        <v>1.6319999999999999</v>
      </c>
      <c r="CO157" s="204">
        <f t="shared" si="25"/>
        <v>1.006656</v>
      </c>
      <c r="CP157" s="207">
        <f t="shared" si="11"/>
        <v>0</v>
      </c>
      <c r="CQ157" s="208">
        <f t="shared" si="12"/>
        <v>0</v>
      </c>
      <c r="CR157" s="209">
        <f t="shared" si="13"/>
        <v>0</v>
      </c>
      <c r="CS157" s="49"/>
      <c r="CT157" s="49"/>
      <c r="CU157" s="49"/>
      <c r="CV157" s="49"/>
      <c r="CW157" s="49"/>
      <c r="CX157" s="49"/>
      <c r="CY157" s="49"/>
      <c r="CZ157" s="49"/>
      <c r="DA157" s="49"/>
      <c r="DB157" s="49"/>
      <c r="DC157" s="49"/>
      <c r="DD157" s="49"/>
      <c r="DE157" s="49"/>
      <c r="DF157" s="49"/>
      <c r="DG157" s="49"/>
      <c r="DH157" s="49"/>
      <c r="DI157" s="49"/>
      <c r="DJ157" s="49"/>
      <c r="DK157" s="49"/>
      <c r="DL157" s="49"/>
      <c r="DM157" s="49"/>
      <c r="DN157" s="49"/>
      <c r="DO157" s="49"/>
      <c r="DP157" s="49"/>
      <c r="DQ157" s="49"/>
      <c r="DR157" s="49"/>
      <c r="DS157" s="49"/>
      <c r="DT157" s="49"/>
      <c r="DU157" s="49"/>
      <c r="DV157" s="49"/>
      <c r="DW157" s="49"/>
      <c r="DX157" s="49"/>
      <c r="DY157" s="49"/>
      <c r="DZ157" s="49"/>
      <c r="EA157" s="49"/>
      <c r="EB157" s="49"/>
      <c r="EC157" s="49"/>
      <c r="ED157" s="49"/>
      <c r="EE157" s="49"/>
      <c r="EF157" s="49"/>
      <c r="EG157" s="49"/>
      <c r="EH157" s="49"/>
      <c r="EI157" s="49"/>
      <c r="EJ157" s="49"/>
      <c r="EK157" s="49"/>
      <c r="EL157" s="49"/>
      <c r="EM157" s="49"/>
      <c r="EN157" s="49"/>
      <c r="EO157" s="49"/>
      <c r="EP157" s="49"/>
      <c r="EQ157" s="49"/>
      <c r="ER157" s="49"/>
      <c r="ES157" s="49"/>
      <c r="ET157" s="49"/>
      <c r="EU157" s="49"/>
      <c r="EV157" s="49"/>
      <c r="EW157" s="49"/>
      <c r="EX157" s="49"/>
      <c r="EY157" s="49"/>
      <c r="EZ157" s="49"/>
      <c r="FA157" s="49"/>
    </row>
    <row r="158" spans="1:157" s="210" customFormat="1" ht="51" x14ac:dyDescent="0.25">
      <c r="A158" s="113">
        <f>IF(AND('[1]Cockpit Retorno'!$E$67=Sim,Mestre!M158=Mestre!$M$98),0,1)</f>
        <v>1</v>
      </c>
      <c r="B158" s="113">
        <f>IF(AND('[1]Cockpit Retorno'!$E$67=Sim,Mestre!L158=Mestre!$L$48),0,1)</f>
        <v>1</v>
      </c>
      <c r="C158" s="113">
        <f>IF(AND('[1]Cockpit Retorno'!$E$67=Sim,Mestre!M158=Mestre!$M$97),0,1)</f>
        <v>1</v>
      </c>
      <c r="D158" s="148" t="s">
        <v>7</v>
      </c>
      <c r="E158" s="115"/>
      <c r="F158" s="116" t="s">
        <v>107</v>
      </c>
      <c r="G158" s="149">
        <v>9</v>
      </c>
      <c r="H158" s="150" t="s">
        <v>7</v>
      </c>
      <c r="I158" s="151" t="str">
        <f t="shared" si="1"/>
        <v>Mercadorias</v>
      </c>
      <c r="J158" s="150" t="s">
        <v>15</v>
      </c>
      <c r="K158" s="152" t="s">
        <v>7</v>
      </c>
      <c r="L158" s="153" t="s">
        <v>21</v>
      </c>
      <c r="M158" s="154" t="s">
        <v>290</v>
      </c>
      <c r="N158" s="155" t="s">
        <v>309</v>
      </c>
      <c r="O158" s="155" t="s">
        <v>292</v>
      </c>
      <c r="P158" s="155" t="s">
        <v>43</v>
      </c>
      <c r="Q158" s="155" t="s">
        <v>43</v>
      </c>
      <c r="R158" s="155" t="s">
        <v>43</v>
      </c>
      <c r="S158" s="156" t="s">
        <v>43</v>
      </c>
      <c r="T158" s="156" t="s">
        <v>43</v>
      </c>
      <c r="U158" s="150" t="s">
        <v>43</v>
      </c>
      <c r="V158" s="150" t="s">
        <v>43</v>
      </c>
      <c r="W158" s="150" t="s">
        <v>43</v>
      </c>
      <c r="X158" s="157" t="s">
        <v>312</v>
      </c>
      <c r="Y158" s="150"/>
      <c r="Z158" s="150"/>
      <c r="AA158" s="158">
        <v>0</v>
      </c>
      <c r="AB158" s="155" t="s">
        <v>43</v>
      </c>
      <c r="AC158" s="150" t="s">
        <v>43</v>
      </c>
      <c r="AD158" s="155" t="s">
        <v>43</v>
      </c>
      <c r="AE158" s="155"/>
      <c r="AF158" s="150" t="s">
        <v>43</v>
      </c>
      <c r="AG158" s="159">
        <v>330</v>
      </c>
      <c r="AH158" s="159">
        <v>267.79349999999999</v>
      </c>
      <c r="AI158" s="202">
        <v>0</v>
      </c>
      <c r="AJ158" s="161">
        <v>7.0000000000000007E-2</v>
      </c>
      <c r="AK158" s="162">
        <v>0.05</v>
      </c>
      <c r="AL158" s="163"/>
      <c r="AM158" s="164">
        <f>(((IF(L158=$L$101,1,IF(L158=$L$47,1,0))*(AH158*(1-AK158)))*AG158)*(1-AL158))</f>
        <v>0</v>
      </c>
      <c r="AN158" s="165">
        <f>IF(K158=$K$50,AM158,IF(K158=$K$53,AM158,IF(K158=$K$54,AM158,IF(K158=$K$55,AM158,IF(K158=$K$56,AM158,IF(K158=$K$57,AM158,IF(K158=$K$58,AM158,IF(K158=$K$65,AM158,IF(K158=$K$66,AM158,IF(K158=$K$67,AM158,IF(K158=$K$68,AM158,IF(K158=$K$69,AM158,IF(K158=$K$51,AM158,(AM158*(1+AI158)))))))))))))))</f>
        <v>0</v>
      </c>
      <c r="AO158" s="166">
        <v>1.4</v>
      </c>
      <c r="AP158" s="160">
        <f t="shared" si="2"/>
        <v>0</v>
      </c>
      <c r="AQ158" s="167">
        <f t="shared" si="24"/>
        <v>0</v>
      </c>
      <c r="AR158" s="160">
        <f t="shared" si="4"/>
        <v>0</v>
      </c>
      <c r="AS158" s="168">
        <f t="shared" si="5"/>
        <v>0</v>
      </c>
      <c r="AT158" s="169" t="str">
        <f>K158</f>
        <v>MI</v>
      </c>
      <c r="AU158" s="169" t="str">
        <f>I158</f>
        <v>Mercadorias</v>
      </c>
      <c r="AV158" s="170"/>
      <c r="AW158" s="171">
        <f>IF(K158=$K$50,0,IF(K158=$K$53,0,IF(K158=$K$54,0,IF(K158=$K$55,0,IF(K158=$K$56,0,IF(K158=$K$57,0,IF(K158=$K$58,0,IF(K158=$K$65,0,IF(K158=$K$66,0,IF(K158=$K$67,0,IF(K158=$K$68,0,IF(K158=$K$69,0,IF(K158=$K$51,0,1))))))))))))*AM158*AI158)</f>
        <v>0</v>
      </c>
      <c r="AX158" s="172">
        <f>IF(K158=$K$50,0,IF(K158=$K$53,0,IF(K158=$K$54,0,IF(K158=$K$55,0,IF(K158=$K$56,0,IF(K158=$K$57,0,IF(K158=$K$58,0,IF(K158=$K$65,0,IF(K158=$K$66,0,IF(K158=$K$67,0,IF(K158=$K$68,0,IF(K158=$K$69,0,IF(K158=$K$51,0,1))))))))))))*AM158*AJ158*$AX$94)</f>
        <v>0</v>
      </c>
      <c r="AY158" s="172">
        <f>IF(K158=$K$53,0,IF(K158=$K$54,0,IF(K158=$K$55,0,IF(K158=$K$56,0,IF(K158=$K$58,0,IF(K158=$K$50,0,IF(K158=$K$65,0,IF(K158=$K$57,0,IF(K158=$K$51,0,AM158*$AY$102)))))))))</f>
        <v>0</v>
      </c>
      <c r="AZ158" s="172">
        <f>IF(K158=$K$53,0,IF(K158=$K$54,0,IF(K158=$K$55,0,IF(K158=$K$56,0,IF(K158=$K$58,0,IF(K158=$K$50,0,IF(K158=$K$65,0,IF(K158=$K$57,0,IF(K158=$K$51,0,AM158*$AZ$102)))))))))</f>
        <v>0</v>
      </c>
      <c r="BA158" s="172">
        <f t="shared" si="6"/>
        <v>0</v>
      </c>
      <c r="BB158" s="173">
        <f>IF($BA$97=1,AQ158*$BB$102,IF(K158=$K$50,0,IF(K158=$K$53,0,IF(K158=$K$54,0,IF(K158=$K$55,0,IF(K158=$K$56,0,IF(K158=$K$57,0,IF(K158=$K$58,0,IF(K158=$K$65,0,IF(K158=$K$66,0,IF(K158=$K$67,0,IF(K158=$K$68,0,IF(K158=$K$69,0,IF(K158=$K$51,0,1)))))))))))*AQ158*$BB$102)))</f>
        <v>0</v>
      </c>
      <c r="BC158" s="172">
        <f t="shared" si="7"/>
        <v>0</v>
      </c>
      <c r="BD158" s="172">
        <f t="shared" si="8"/>
        <v>0</v>
      </c>
      <c r="BE158" s="172">
        <f>IF($BE$95=I158,$BE$97,IF(I158=$BE$96,$BE$97,1))*($BE$102*AQ158)*$AZ$97</f>
        <v>0</v>
      </c>
      <c r="BF158" s="172">
        <f>IF('[1]Cockpit Retorno'!$C$65=Sim,Mestre!BA158,SUM(BB158:BE158)+(IF(K158=$K$56,AQ158*MOE_IRRF_LR,0)))</f>
        <v>0</v>
      </c>
      <c r="BG158" s="174">
        <f>IF(AA158&gt;0,0,IF(Z158=$Z$82,AG158*1,(IF(Z158=$Z$81,AG158*1,0))))</f>
        <v>0</v>
      </c>
      <c r="BH158" s="174">
        <f>IF(AA158&gt;0,0,IF(Z158=$Z$83,AG158*1,IF(Z158=$Z$81,AG158*1,0)))</f>
        <v>0</v>
      </c>
      <c r="BI158" s="174">
        <f>IF(AA158&gt;0,0,IF(Z158=$Z$84,AG158*1,IF(Z158=$Z$93,AG158*2,IF(Z158=$Z$100,AG158,IF(Z158=$Z$81,AG158*2,IF(Z158=$Z$80,AG158*1,IF(Z158=$Z$79,AG158*3,IF(Z158=$Z$78,AG158*2,0))))))))</f>
        <v>0</v>
      </c>
      <c r="BJ158" s="174">
        <f>IF(AA158&gt;0,0,IF(Z158=$Z$85,AG158,IF(Z158=$Z$93,AG158,IF(Z158=$Z$100,AG158,IF(Z158=$Z$81,AG158*1,IF(Z158=$Z$80,AG158*2,IF(Z158=$Z$79,AG158*2,IF(Z158=$Z$78,AG158*2,0))))))))</f>
        <v>0</v>
      </c>
      <c r="BK158" s="174">
        <f>IF(AA158&gt;0,0,IF(Z158=$Z$92,AG158,0))</f>
        <v>0</v>
      </c>
      <c r="BL158" s="174">
        <f>IF(AA158&gt;0,0,IF(Z158=$Z$91,AG158,0))</f>
        <v>0</v>
      </c>
      <c r="BM158" s="174">
        <f>IF(AA158&gt;0,0,IF(Z158=$Z$86,AG158,0))</f>
        <v>0</v>
      </c>
      <c r="BN158" s="174">
        <f>IF(AA158&gt;0,0,IF(Z158=$Z$87,AG158,0))</f>
        <v>0</v>
      </c>
      <c r="BO158" s="174">
        <f>IF(AA158&gt;0,0,IF(Z158=$Z$88,AG158,0))</f>
        <v>0</v>
      </c>
      <c r="BP158" s="174">
        <f>IF(AA158&gt;0,0,IF(Z158=$Z$89,AG158,0))</f>
        <v>0</v>
      </c>
      <c r="BQ158" s="174">
        <f>IF(AA158&gt;0,0,IF(Z158=$Z$90,AG158,0))</f>
        <v>0</v>
      </c>
      <c r="BR158" s="174">
        <f>IF(Z158=$Z$82,AA158*AG158,0)</f>
        <v>0</v>
      </c>
      <c r="BS158" s="174">
        <f>IF(Z158=$Z$83,AA158*AG158,0)</f>
        <v>0</v>
      </c>
      <c r="BT158" s="174">
        <f>IF(AA158&lt;1,0,IF(Z158=$Z$84,AA158*AG158,IF(Z158=$Z$93,"ERRO",IF(Z158=$Z$100,"ERRO",0))))</f>
        <v>0</v>
      </c>
      <c r="BU158" s="174">
        <f>IF(AA158&lt;1,0,IF(Z158=$Z$85,AA158*AG158,IF(Z158=$Z$93,"ERRO",IF(Z158=$Z$100,"ERRO",0))))</f>
        <v>0</v>
      </c>
      <c r="BV158" s="174">
        <f>IF(Z158=$Z$92,AA158*AG158,0)</f>
        <v>0</v>
      </c>
      <c r="BW158" s="174">
        <f>IF(Z158=$Z$91,AA158*AG158,0)</f>
        <v>0</v>
      </c>
      <c r="BX158" s="174">
        <f>IF(Z158=$Z$86,AA158*AG158,0)</f>
        <v>0</v>
      </c>
      <c r="BY158" s="174">
        <f>IF(Z158=$Z$87,AA158*AG158,0)</f>
        <v>0</v>
      </c>
      <c r="BZ158" s="174">
        <f>IF(Z158=$Z$88,AA158*AG158,0)</f>
        <v>0</v>
      </c>
      <c r="CA158" s="174">
        <f>IF(Z158=$Z$89,AA158*AG158,0)</f>
        <v>0</v>
      </c>
      <c r="CB158" s="174">
        <f>IF(Z158=$Z$90,AA158*AG158,0)</f>
        <v>0</v>
      </c>
      <c r="CC158" s="175">
        <f>IFERROR(IF(L158=$L$49,AG158*AH158*(1+AI158)*(1-AK158)*(1-AL158),0),0)</f>
        <v>83953.262249999985</v>
      </c>
      <c r="CD158" s="203">
        <f>IF(I158=$CD$97,1,IF(I158=$CD$100,2,IF(K158=$K$66,1,IF(K158=$K$69,1,3))))</f>
        <v>1</v>
      </c>
      <c r="CE158" s="203">
        <f t="shared" si="14"/>
        <v>1.07</v>
      </c>
      <c r="CF158" s="204">
        <f t="shared" si="9"/>
        <v>1.2353999999999998</v>
      </c>
      <c r="CG158" s="203">
        <f t="shared" si="15"/>
        <v>1.42</v>
      </c>
      <c r="CH158" s="204">
        <f t="shared" si="10"/>
        <v>1.5478000000000001</v>
      </c>
      <c r="CI158" s="203">
        <f t="shared" si="16"/>
        <v>1.7</v>
      </c>
      <c r="CJ158" s="205">
        <f t="shared" si="17"/>
        <v>1.0486</v>
      </c>
      <c r="CK158" s="205">
        <f t="shared" si="18"/>
        <v>1.148922</v>
      </c>
      <c r="CL158" s="205">
        <f t="shared" si="19"/>
        <v>1.3915999999999999</v>
      </c>
      <c r="CM158" s="205">
        <f t="shared" si="20"/>
        <v>1.501366</v>
      </c>
      <c r="CN158" s="206">
        <f t="shared" si="21"/>
        <v>1.6319999999999999</v>
      </c>
      <c r="CO158" s="204">
        <f t="shared" si="25"/>
        <v>1.006656</v>
      </c>
      <c r="CP158" s="207">
        <f t="shared" si="11"/>
        <v>0</v>
      </c>
      <c r="CQ158" s="208">
        <f t="shared" si="12"/>
        <v>0</v>
      </c>
      <c r="CR158" s="209">
        <f t="shared" si="13"/>
        <v>0</v>
      </c>
      <c r="CS158" s="49"/>
      <c r="CT158" s="49"/>
      <c r="CU158" s="49"/>
      <c r="CV158" s="49"/>
      <c r="CW158" s="49"/>
      <c r="CX158" s="49"/>
      <c r="CY158" s="49"/>
      <c r="CZ158" s="49"/>
      <c r="DA158" s="49"/>
      <c r="DB158" s="49"/>
      <c r="DC158" s="49"/>
      <c r="DD158" s="49"/>
      <c r="DE158" s="49"/>
      <c r="DF158" s="49"/>
      <c r="DG158" s="49"/>
      <c r="DH158" s="49"/>
      <c r="DI158" s="49"/>
      <c r="DJ158" s="49"/>
      <c r="DK158" s="49"/>
      <c r="DL158" s="49"/>
      <c r="DM158" s="49"/>
      <c r="DN158" s="49"/>
      <c r="DO158" s="49"/>
      <c r="DP158" s="49"/>
      <c r="DQ158" s="49"/>
      <c r="DR158" s="49"/>
      <c r="DS158" s="49"/>
      <c r="DT158" s="49"/>
      <c r="DU158" s="49"/>
      <c r="DV158" s="49"/>
      <c r="DW158" s="49"/>
      <c r="DX158" s="49"/>
      <c r="DY158" s="49"/>
      <c r="DZ158" s="49"/>
      <c r="EA158" s="49"/>
      <c r="EB158" s="49"/>
      <c r="EC158" s="49"/>
      <c r="ED158" s="49"/>
      <c r="EE158" s="49"/>
      <c r="EF158" s="49"/>
      <c r="EG158" s="49"/>
      <c r="EH158" s="49"/>
      <c r="EI158" s="49"/>
      <c r="EJ158" s="49"/>
      <c r="EK158" s="49"/>
      <c r="EL158" s="49"/>
      <c r="EM158" s="49"/>
      <c r="EN158" s="49"/>
      <c r="EO158" s="49"/>
      <c r="EP158" s="49"/>
      <c r="EQ158" s="49"/>
      <c r="ER158" s="49"/>
      <c r="ES158" s="49"/>
      <c r="ET158" s="49"/>
      <c r="EU158" s="49"/>
      <c r="EV158" s="49"/>
      <c r="EW158" s="49"/>
      <c r="EX158" s="49"/>
      <c r="EY158" s="49"/>
      <c r="EZ158" s="49"/>
      <c r="FA158" s="49"/>
    </row>
    <row r="159" spans="1:157" s="210" customFormat="1" ht="63.75" x14ac:dyDescent="0.25">
      <c r="A159" s="113">
        <f>IF(AND('[1]Cockpit Retorno'!$E$67=Sim,Mestre!M159=Mestre!$M$98),0,1)</f>
        <v>1</v>
      </c>
      <c r="B159" s="113">
        <f>IF(AND('[1]Cockpit Retorno'!$E$67=Sim,Mestre!L159=Mestre!$L$48),0,1)</f>
        <v>1</v>
      </c>
      <c r="C159" s="113">
        <f>IF(AND('[1]Cockpit Retorno'!$E$67=Sim,Mestre!M159=Mestre!$M$97),0,1)</f>
        <v>1</v>
      </c>
      <c r="D159" s="148" t="s">
        <v>7</v>
      </c>
      <c r="E159" s="115"/>
      <c r="F159" s="116" t="s">
        <v>107</v>
      </c>
      <c r="G159" s="149"/>
      <c r="H159" s="150" t="s">
        <v>7</v>
      </c>
      <c r="I159" s="151" t="str">
        <f t="shared" si="1"/>
        <v>Mercadorias</v>
      </c>
      <c r="J159" s="150" t="s">
        <v>15</v>
      </c>
      <c r="K159" s="152" t="s">
        <v>7</v>
      </c>
      <c r="L159" s="153" t="s">
        <v>21</v>
      </c>
      <c r="M159" s="154" t="s">
        <v>290</v>
      </c>
      <c r="N159" s="155" t="s">
        <v>309</v>
      </c>
      <c r="O159" s="155" t="s">
        <v>292</v>
      </c>
      <c r="P159" s="155" t="s">
        <v>43</v>
      </c>
      <c r="Q159" s="155" t="s">
        <v>43</v>
      </c>
      <c r="R159" s="155" t="s">
        <v>43</v>
      </c>
      <c r="S159" s="156" t="s">
        <v>43</v>
      </c>
      <c r="T159" s="156" t="s">
        <v>43</v>
      </c>
      <c r="U159" s="150" t="s">
        <v>43</v>
      </c>
      <c r="V159" s="150" t="s">
        <v>43</v>
      </c>
      <c r="W159" s="150" t="s">
        <v>43</v>
      </c>
      <c r="X159" s="157" t="s">
        <v>313</v>
      </c>
      <c r="Y159" s="150"/>
      <c r="Z159" s="150"/>
      <c r="AA159" s="158">
        <v>0</v>
      </c>
      <c r="AB159" s="155" t="s">
        <v>43</v>
      </c>
      <c r="AC159" s="150" t="s">
        <v>43</v>
      </c>
      <c r="AD159" s="155" t="s">
        <v>43</v>
      </c>
      <c r="AE159" s="155"/>
      <c r="AF159" s="150" t="s">
        <v>43</v>
      </c>
      <c r="AG159" s="159">
        <v>20</v>
      </c>
      <c r="AH159" s="159">
        <v>100.7097</v>
      </c>
      <c r="AI159" s="202">
        <v>0</v>
      </c>
      <c r="AJ159" s="161">
        <v>7.0000000000000007E-2</v>
      </c>
      <c r="AK159" s="162">
        <v>0.05</v>
      </c>
      <c r="AL159" s="163"/>
      <c r="AM159" s="164">
        <f>(((IF(L159=$L$101,1,IF(L159=$L$47,1,0))*(AH159*(1-AK159)))*AG159)*(1-AL159))</f>
        <v>0</v>
      </c>
      <c r="AN159" s="165">
        <f>IF(K159=$K$50,AM159,IF(K159=$K$53,AM159,IF(K159=$K$54,AM159,IF(K159=$K$55,AM159,IF(K159=$K$56,AM159,IF(K159=$K$57,AM159,IF(K159=$K$58,AM159,IF(K159=$K$65,AM159,IF(K159=$K$66,AM159,IF(K159=$K$67,AM159,IF(K159=$K$68,AM159,IF(K159=$K$69,AM159,IF(K159=$K$51,AM159,(AM159*(1+AI159)))))))))))))))</f>
        <v>0</v>
      </c>
      <c r="AO159" s="166">
        <v>1.4</v>
      </c>
      <c r="AP159" s="160">
        <f t="shared" si="2"/>
        <v>0</v>
      </c>
      <c r="AQ159" s="167">
        <f t="shared" si="24"/>
        <v>0</v>
      </c>
      <c r="AR159" s="160">
        <f t="shared" si="4"/>
        <v>0</v>
      </c>
      <c r="AS159" s="168">
        <f t="shared" si="5"/>
        <v>0</v>
      </c>
      <c r="AT159" s="169" t="str">
        <f>K159</f>
        <v>MI</v>
      </c>
      <c r="AU159" s="169" t="str">
        <f>I159</f>
        <v>Mercadorias</v>
      </c>
      <c r="AV159" s="170"/>
      <c r="AW159" s="171">
        <f>IF(K159=$K$50,0,IF(K159=$K$53,0,IF(K159=$K$54,0,IF(K159=$K$55,0,IF(K159=$K$56,0,IF(K159=$K$57,0,IF(K159=$K$58,0,IF(K159=$K$65,0,IF(K159=$K$66,0,IF(K159=$K$67,0,IF(K159=$K$68,0,IF(K159=$K$69,0,IF(K159=$K$51,0,1))))))))))))*AM159*AI159)</f>
        <v>0</v>
      </c>
      <c r="AX159" s="172">
        <f>IF(K159=$K$50,0,IF(K159=$K$53,0,IF(K159=$K$54,0,IF(K159=$K$55,0,IF(K159=$K$56,0,IF(K159=$K$57,0,IF(K159=$K$58,0,IF(K159=$K$65,0,IF(K159=$K$66,0,IF(K159=$K$67,0,IF(K159=$K$68,0,IF(K159=$K$69,0,IF(K159=$K$51,0,1))))))))))))*AM159*AJ159*$AX$94)</f>
        <v>0</v>
      </c>
      <c r="AY159" s="172">
        <f>IF(K159=$K$53,0,IF(K159=$K$54,0,IF(K159=$K$55,0,IF(K159=$K$56,0,IF(K159=$K$58,0,IF(K159=$K$50,0,IF(K159=$K$65,0,IF(K159=$K$57,0,IF(K159=$K$51,0,AM159*$AY$102)))))))))</f>
        <v>0</v>
      </c>
      <c r="AZ159" s="172">
        <f>IF(K159=$K$53,0,IF(K159=$K$54,0,IF(K159=$K$55,0,IF(K159=$K$56,0,IF(K159=$K$58,0,IF(K159=$K$50,0,IF(K159=$K$65,0,IF(K159=$K$57,0,IF(K159=$K$51,0,AM159*$AZ$102)))))))))</f>
        <v>0</v>
      </c>
      <c r="BA159" s="172">
        <f t="shared" si="6"/>
        <v>0</v>
      </c>
      <c r="BB159" s="173">
        <f>IF($BA$97=1,AQ159*$BB$102,IF(K159=$K$50,0,IF(K159=$K$53,0,IF(K159=$K$54,0,IF(K159=$K$55,0,IF(K159=$K$56,0,IF(K159=$K$57,0,IF(K159=$K$58,0,IF(K159=$K$65,0,IF(K159=$K$66,0,IF(K159=$K$67,0,IF(K159=$K$68,0,IF(K159=$K$69,0,IF(K159=$K$51,0,1)))))))))))*AQ159*$BB$102)))</f>
        <v>0</v>
      </c>
      <c r="BC159" s="172">
        <f t="shared" si="7"/>
        <v>0</v>
      </c>
      <c r="BD159" s="172">
        <f t="shared" si="8"/>
        <v>0</v>
      </c>
      <c r="BE159" s="172">
        <f>IF($BE$95=I159,$BE$97,IF(I159=$BE$96,$BE$97,1))*($BE$102*AQ159)*$AZ$97</f>
        <v>0</v>
      </c>
      <c r="BF159" s="172">
        <f>IF('[1]Cockpit Retorno'!$C$65=Sim,Mestre!BA159,SUM(BB159:BE159)+(IF(K159=$K$56,AQ159*MOE_IRRF_LR,0)))</f>
        <v>0</v>
      </c>
      <c r="BG159" s="174">
        <f>IF(AA159&gt;0,0,IF(Z159=$Z$82,AG159*1,(IF(Z159=$Z$81,AG159*1,0))))</f>
        <v>0</v>
      </c>
      <c r="BH159" s="174">
        <f>IF(AA159&gt;0,0,IF(Z159=$Z$83,AG159*1,IF(Z159=$Z$81,AG159*1,0)))</f>
        <v>0</v>
      </c>
      <c r="BI159" s="174">
        <f>IF(AA159&gt;0,0,IF(Z159=$Z$84,AG159*1,IF(Z159=$Z$93,AG159*2,IF(Z159=$Z$100,AG159,IF(Z159=$Z$81,AG159*2,IF(Z159=$Z$80,AG159*1,IF(Z159=$Z$79,AG159*3,IF(Z159=$Z$78,AG159*2,0))))))))</f>
        <v>0</v>
      </c>
      <c r="BJ159" s="174">
        <f>IF(AA159&gt;0,0,IF(Z159=$Z$85,AG159,IF(Z159=$Z$93,AG159,IF(Z159=$Z$100,AG159,IF(Z159=$Z$81,AG159*1,IF(Z159=$Z$80,AG159*2,IF(Z159=$Z$79,AG159*2,IF(Z159=$Z$78,AG159*2,0))))))))</f>
        <v>0</v>
      </c>
      <c r="BK159" s="174">
        <f>IF(AA159&gt;0,0,IF(Z159=$Z$92,AG159,0))</f>
        <v>0</v>
      </c>
      <c r="BL159" s="174">
        <f>IF(AA159&gt;0,0,IF(Z159=$Z$91,AG159,0))</f>
        <v>0</v>
      </c>
      <c r="BM159" s="174">
        <f>IF(AA159&gt;0,0,IF(Z159=$Z$86,AG159,0))</f>
        <v>0</v>
      </c>
      <c r="BN159" s="174">
        <f>IF(AA159&gt;0,0,IF(Z159=$Z$87,AG159,0))</f>
        <v>0</v>
      </c>
      <c r="BO159" s="174">
        <f>IF(AA159&gt;0,0,IF(Z159=$Z$88,AG159,0))</f>
        <v>0</v>
      </c>
      <c r="BP159" s="174">
        <f>IF(AA159&gt;0,0,IF(Z159=$Z$89,AG159,0))</f>
        <v>0</v>
      </c>
      <c r="BQ159" s="174">
        <f>IF(AA159&gt;0,0,IF(Z159=$Z$90,AG159,0))</f>
        <v>0</v>
      </c>
      <c r="BR159" s="174">
        <f>IF(Z159=$Z$82,AA159*AG159,0)</f>
        <v>0</v>
      </c>
      <c r="BS159" s="174">
        <f>IF(Z159=$Z$83,AA159*AG159,0)</f>
        <v>0</v>
      </c>
      <c r="BT159" s="174">
        <f>IF(AA159&lt;1,0,IF(Z159=$Z$84,AA159*AG159,IF(Z159=$Z$93,"ERRO",IF(Z159=$Z$100,"ERRO",0))))</f>
        <v>0</v>
      </c>
      <c r="BU159" s="174">
        <f>IF(AA159&lt;1,0,IF(Z159=$Z$85,AA159*AG159,IF(Z159=$Z$93,"ERRO",IF(Z159=$Z$100,"ERRO",0))))</f>
        <v>0</v>
      </c>
      <c r="BV159" s="174">
        <f>IF(Z159=$Z$92,AA159*AG159,0)</f>
        <v>0</v>
      </c>
      <c r="BW159" s="174">
        <f>IF(Z159=$Z$91,AA159*AG159,0)</f>
        <v>0</v>
      </c>
      <c r="BX159" s="174">
        <f>IF(Z159=$Z$86,AA159*AG159,0)</f>
        <v>0</v>
      </c>
      <c r="BY159" s="174">
        <f>IF(Z159=$Z$87,AA159*AG159,0)</f>
        <v>0</v>
      </c>
      <c r="BZ159" s="174">
        <f>IF(Z159=$Z$88,AA159*AG159,0)</f>
        <v>0</v>
      </c>
      <c r="CA159" s="174">
        <f>IF(Z159=$Z$89,AA159*AG159,0)</f>
        <v>0</v>
      </c>
      <c r="CB159" s="174">
        <f>IF(Z159=$Z$90,AA159*AG159,0)</f>
        <v>0</v>
      </c>
      <c r="CC159" s="175">
        <f>IFERROR(IF(L159=$L$49,AG159*AH159*(1+AI159)*(1-AK159)*(1-AL159),0),0)</f>
        <v>1913.4842999999998</v>
      </c>
      <c r="CD159" s="203">
        <f>IF(I159=$CD$97,1,IF(I159=$CD$100,2,IF(K159=$K$66,1,IF(K159=$K$69,1,3))))</f>
        <v>1</v>
      </c>
      <c r="CE159" s="203">
        <f t="shared" si="14"/>
        <v>1.07</v>
      </c>
      <c r="CF159" s="204">
        <f t="shared" si="9"/>
        <v>1.2353999999999998</v>
      </c>
      <c r="CG159" s="203">
        <f t="shared" si="15"/>
        <v>1.42</v>
      </c>
      <c r="CH159" s="204">
        <f t="shared" si="10"/>
        <v>1.5478000000000001</v>
      </c>
      <c r="CI159" s="203">
        <f t="shared" si="16"/>
        <v>1.7</v>
      </c>
      <c r="CJ159" s="205">
        <f t="shared" si="17"/>
        <v>1.0486</v>
      </c>
      <c r="CK159" s="205">
        <f t="shared" si="18"/>
        <v>1.148922</v>
      </c>
      <c r="CL159" s="205">
        <f t="shared" si="19"/>
        <v>1.3915999999999999</v>
      </c>
      <c r="CM159" s="205">
        <f t="shared" si="20"/>
        <v>1.501366</v>
      </c>
      <c r="CN159" s="206">
        <f t="shared" si="21"/>
        <v>1.6319999999999999</v>
      </c>
      <c r="CO159" s="204">
        <f t="shared" si="25"/>
        <v>1.006656</v>
      </c>
      <c r="CP159" s="207">
        <f t="shared" si="11"/>
        <v>0</v>
      </c>
      <c r="CQ159" s="208">
        <f t="shared" si="12"/>
        <v>0</v>
      </c>
      <c r="CR159" s="209">
        <f t="shared" si="13"/>
        <v>0</v>
      </c>
      <c r="CS159" s="49"/>
      <c r="CT159" s="49"/>
      <c r="CU159" s="49"/>
      <c r="CV159" s="49"/>
      <c r="CW159" s="49"/>
      <c r="CX159" s="49"/>
      <c r="CY159" s="49"/>
      <c r="CZ159" s="49"/>
      <c r="DA159" s="49"/>
      <c r="DB159" s="49"/>
      <c r="DC159" s="49"/>
      <c r="DD159" s="49"/>
      <c r="DE159" s="49"/>
      <c r="DF159" s="49"/>
      <c r="DG159" s="49"/>
      <c r="DH159" s="49"/>
      <c r="DI159" s="49"/>
      <c r="DJ159" s="49"/>
      <c r="DK159" s="49"/>
      <c r="DL159" s="49"/>
      <c r="DM159" s="49"/>
      <c r="DN159" s="49"/>
      <c r="DO159" s="49"/>
      <c r="DP159" s="49"/>
      <c r="DQ159" s="49"/>
      <c r="DR159" s="49"/>
      <c r="DS159" s="49"/>
      <c r="DT159" s="49"/>
      <c r="DU159" s="49"/>
      <c r="DV159" s="49"/>
      <c r="DW159" s="49"/>
      <c r="DX159" s="49"/>
      <c r="DY159" s="49"/>
      <c r="DZ159" s="49"/>
      <c r="EA159" s="49"/>
      <c r="EB159" s="49"/>
      <c r="EC159" s="49"/>
      <c r="ED159" s="49"/>
      <c r="EE159" s="49"/>
      <c r="EF159" s="49"/>
      <c r="EG159" s="49"/>
      <c r="EH159" s="49"/>
      <c r="EI159" s="49"/>
      <c r="EJ159" s="49"/>
      <c r="EK159" s="49"/>
      <c r="EL159" s="49"/>
      <c r="EM159" s="49"/>
      <c r="EN159" s="49"/>
      <c r="EO159" s="49"/>
      <c r="EP159" s="49"/>
      <c r="EQ159" s="49"/>
      <c r="ER159" s="49"/>
      <c r="ES159" s="49"/>
      <c r="ET159" s="49"/>
      <c r="EU159" s="49"/>
      <c r="EV159" s="49"/>
      <c r="EW159" s="49"/>
      <c r="EX159" s="49"/>
      <c r="EY159" s="49"/>
      <c r="EZ159" s="49"/>
      <c r="FA159" s="49"/>
    </row>
    <row r="160" spans="1:157" s="210" customFormat="1" ht="63.75" x14ac:dyDescent="0.25">
      <c r="A160" s="113">
        <f>IF(AND('[1]Cockpit Retorno'!$E$67=Sim,Mestre!M160=Mestre!$M$98),0,1)</f>
        <v>1</v>
      </c>
      <c r="B160" s="113">
        <f>IF(AND('[1]Cockpit Retorno'!$E$67=Sim,Mestre!L160=Mestre!$L$48),0,1)</f>
        <v>1</v>
      </c>
      <c r="C160" s="113">
        <f>IF(AND('[1]Cockpit Retorno'!$E$67=Sim,Mestre!M160=Mestre!$M$97),0,1)</f>
        <v>1</v>
      </c>
      <c r="D160" s="148" t="s">
        <v>7</v>
      </c>
      <c r="E160" s="115"/>
      <c r="F160" s="116" t="s">
        <v>107</v>
      </c>
      <c r="G160" s="149"/>
      <c r="H160" s="150" t="s">
        <v>7</v>
      </c>
      <c r="I160" s="151" t="str">
        <f t="shared" si="1"/>
        <v>Mercadorias</v>
      </c>
      <c r="J160" s="150" t="s">
        <v>15</v>
      </c>
      <c r="K160" s="152" t="s">
        <v>7</v>
      </c>
      <c r="L160" s="153" t="s">
        <v>21</v>
      </c>
      <c r="M160" s="154" t="s">
        <v>290</v>
      </c>
      <c r="N160" s="155" t="s">
        <v>309</v>
      </c>
      <c r="O160" s="155" t="s">
        <v>292</v>
      </c>
      <c r="P160" s="155" t="s">
        <v>43</v>
      </c>
      <c r="Q160" s="155" t="s">
        <v>43</v>
      </c>
      <c r="R160" s="155" t="s">
        <v>43</v>
      </c>
      <c r="S160" s="156" t="s">
        <v>43</v>
      </c>
      <c r="T160" s="156" t="s">
        <v>43</v>
      </c>
      <c r="U160" s="150" t="s">
        <v>43</v>
      </c>
      <c r="V160" s="150" t="s">
        <v>43</v>
      </c>
      <c r="W160" s="150" t="s">
        <v>43</v>
      </c>
      <c r="X160" s="157" t="s">
        <v>314</v>
      </c>
      <c r="Y160" s="150"/>
      <c r="Z160" s="150"/>
      <c r="AA160" s="158">
        <v>0</v>
      </c>
      <c r="AB160" s="155" t="s">
        <v>43</v>
      </c>
      <c r="AC160" s="150" t="s">
        <v>43</v>
      </c>
      <c r="AD160" s="155" t="s">
        <v>43</v>
      </c>
      <c r="AE160" s="155"/>
      <c r="AF160" s="150" t="s">
        <v>43</v>
      </c>
      <c r="AG160" s="159">
        <v>60</v>
      </c>
      <c r="AH160" s="159">
        <v>171.25020000000001</v>
      </c>
      <c r="AI160" s="202">
        <v>0</v>
      </c>
      <c r="AJ160" s="161">
        <v>7.0000000000000007E-2</v>
      </c>
      <c r="AK160" s="162">
        <v>0.05</v>
      </c>
      <c r="AL160" s="163"/>
      <c r="AM160" s="164">
        <f>(((IF(L160=$L$101,1,IF(L160=$L$47,1,0))*(AH160*(1-AK160)))*AG160)*(1-AL160))</f>
        <v>0</v>
      </c>
      <c r="AN160" s="165">
        <f>IF(K160=$K$50,AM160,IF(K160=$K$53,AM160,IF(K160=$K$54,AM160,IF(K160=$K$55,AM160,IF(K160=$K$56,AM160,IF(K160=$K$57,AM160,IF(K160=$K$58,AM160,IF(K160=$K$65,AM160,IF(K160=$K$66,AM160,IF(K160=$K$67,AM160,IF(K160=$K$68,AM160,IF(K160=$K$69,AM160,IF(K160=$K$51,AM160,(AM160*(1+AI160)))))))))))))))</f>
        <v>0</v>
      </c>
      <c r="AO160" s="166">
        <v>1.4</v>
      </c>
      <c r="AP160" s="160">
        <f t="shared" si="2"/>
        <v>0</v>
      </c>
      <c r="AQ160" s="167">
        <f t="shared" si="24"/>
        <v>0</v>
      </c>
      <c r="AR160" s="160">
        <f t="shared" si="4"/>
        <v>0</v>
      </c>
      <c r="AS160" s="168">
        <f t="shared" si="5"/>
        <v>0</v>
      </c>
      <c r="AT160" s="169" t="str">
        <f>K160</f>
        <v>MI</v>
      </c>
      <c r="AU160" s="169" t="str">
        <f>I160</f>
        <v>Mercadorias</v>
      </c>
      <c r="AV160" s="170"/>
      <c r="AW160" s="171">
        <f>IF(K160=$K$50,0,IF(K160=$K$53,0,IF(K160=$K$54,0,IF(K160=$K$55,0,IF(K160=$K$56,0,IF(K160=$K$57,0,IF(K160=$K$58,0,IF(K160=$K$65,0,IF(K160=$K$66,0,IF(K160=$K$67,0,IF(K160=$K$68,0,IF(K160=$K$69,0,IF(K160=$K$51,0,1))))))))))))*AM160*AI160)</f>
        <v>0</v>
      </c>
      <c r="AX160" s="172">
        <f>IF(K160=$K$50,0,IF(K160=$K$53,0,IF(K160=$K$54,0,IF(K160=$K$55,0,IF(K160=$K$56,0,IF(K160=$K$57,0,IF(K160=$K$58,0,IF(K160=$K$65,0,IF(K160=$K$66,0,IF(K160=$K$67,0,IF(K160=$K$68,0,IF(K160=$K$69,0,IF(K160=$K$51,0,1))))))))))))*AM160*AJ160*$AX$94)</f>
        <v>0</v>
      </c>
      <c r="AY160" s="172">
        <f>IF(K160=$K$53,0,IF(K160=$K$54,0,IF(K160=$K$55,0,IF(K160=$K$56,0,IF(K160=$K$58,0,IF(K160=$K$50,0,IF(K160=$K$65,0,IF(K160=$K$57,0,IF(K160=$K$51,0,AM160*$AY$102)))))))))</f>
        <v>0</v>
      </c>
      <c r="AZ160" s="172">
        <f>IF(K160=$K$53,0,IF(K160=$K$54,0,IF(K160=$K$55,0,IF(K160=$K$56,0,IF(K160=$K$58,0,IF(K160=$K$50,0,IF(K160=$K$65,0,IF(K160=$K$57,0,IF(K160=$K$51,0,AM160*$AZ$102)))))))))</f>
        <v>0</v>
      </c>
      <c r="BA160" s="172">
        <f t="shared" si="6"/>
        <v>0</v>
      </c>
      <c r="BB160" s="173">
        <f>IF($BA$97=1,AQ160*$BB$102,IF(K160=$K$50,0,IF(K160=$K$53,0,IF(K160=$K$54,0,IF(K160=$K$55,0,IF(K160=$K$56,0,IF(K160=$K$57,0,IF(K160=$K$58,0,IF(K160=$K$65,0,IF(K160=$K$66,0,IF(K160=$K$67,0,IF(K160=$K$68,0,IF(K160=$K$69,0,IF(K160=$K$51,0,1)))))))))))*AQ160*$BB$102)))</f>
        <v>0</v>
      </c>
      <c r="BC160" s="172">
        <f t="shared" si="7"/>
        <v>0</v>
      </c>
      <c r="BD160" s="172">
        <f t="shared" si="8"/>
        <v>0</v>
      </c>
      <c r="BE160" s="172">
        <f>IF($BE$95=I160,$BE$97,IF(I160=$BE$96,$BE$97,1))*($BE$102*AQ160)*$AZ$97</f>
        <v>0</v>
      </c>
      <c r="BF160" s="172">
        <f>IF('[1]Cockpit Retorno'!$C$65=Sim,Mestre!BA160,SUM(BB160:BE160)+(IF(K160=$K$56,AQ160*MOE_IRRF_LR,0)))</f>
        <v>0</v>
      </c>
      <c r="BG160" s="174">
        <f>IF(AA160&gt;0,0,IF(Z160=$Z$82,AG160*1,(IF(Z160=$Z$81,AG160*1,0))))</f>
        <v>0</v>
      </c>
      <c r="BH160" s="174">
        <f>IF(AA160&gt;0,0,IF(Z160=$Z$83,AG160*1,IF(Z160=$Z$81,AG160*1,0)))</f>
        <v>0</v>
      </c>
      <c r="BI160" s="174">
        <f>IF(AA160&gt;0,0,IF(Z160=$Z$84,AG160*1,IF(Z160=$Z$93,AG160*2,IF(Z160=$Z$100,AG160,IF(Z160=$Z$81,AG160*2,IF(Z160=$Z$80,AG160*1,IF(Z160=$Z$79,AG160*3,IF(Z160=$Z$78,AG160*2,0))))))))</f>
        <v>0</v>
      </c>
      <c r="BJ160" s="174">
        <f>IF(AA160&gt;0,0,IF(Z160=$Z$85,AG160,IF(Z160=$Z$93,AG160,IF(Z160=$Z$100,AG160,IF(Z160=$Z$81,AG160*1,IF(Z160=$Z$80,AG160*2,IF(Z160=$Z$79,AG160*2,IF(Z160=$Z$78,AG160*2,0))))))))</f>
        <v>0</v>
      </c>
      <c r="BK160" s="174">
        <f>IF(AA160&gt;0,0,IF(Z160=$Z$92,AG160,0))</f>
        <v>0</v>
      </c>
      <c r="BL160" s="174">
        <f>IF(AA160&gt;0,0,IF(Z160=$Z$91,AG160,0))</f>
        <v>0</v>
      </c>
      <c r="BM160" s="174">
        <f>IF(AA160&gt;0,0,IF(Z160=$Z$86,AG160,0))</f>
        <v>0</v>
      </c>
      <c r="BN160" s="174">
        <f>IF(AA160&gt;0,0,IF(Z160=$Z$87,AG160,0))</f>
        <v>0</v>
      </c>
      <c r="BO160" s="174">
        <f>IF(AA160&gt;0,0,IF(Z160=$Z$88,AG160,0))</f>
        <v>0</v>
      </c>
      <c r="BP160" s="174">
        <f>IF(AA160&gt;0,0,IF(Z160=$Z$89,AG160,0))</f>
        <v>0</v>
      </c>
      <c r="BQ160" s="174">
        <f>IF(AA160&gt;0,0,IF(Z160=$Z$90,AG160,0))</f>
        <v>0</v>
      </c>
      <c r="BR160" s="174">
        <f>IF(Z160=$Z$82,AA160*AG160,0)</f>
        <v>0</v>
      </c>
      <c r="BS160" s="174">
        <f>IF(Z160=$Z$83,AA160*AG160,0)</f>
        <v>0</v>
      </c>
      <c r="BT160" s="174">
        <f>IF(AA160&lt;1,0,IF(Z160=$Z$84,AA160*AG160,IF(Z160=$Z$93,"ERRO",IF(Z160=$Z$100,"ERRO",0))))</f>
        <v>0</v>
      </c>
      <c r="BU160" s="174">
        <f>IF(AA160&lt;1,0,IF(Z160=$Z$85,AA160*AG160,IF(Z160=$Z$93,"ERRO",IF(Z160=$Z$100,"ERRO",0))))</f>
        <v>0</v>
      </c>
      <c r="BV160" s="174">
        <f>IF(Z160=$Z$92,AA160*AG160,0)</f>
        <v>0</v>
      </c>
      <c r="BW160" s="174">
        <f>IF(Z160=$Z$91,AA160*AG160,0)</f>
        <v>0</v>
      </c>
      <c r="BX160" s="174">
        <f>IF(Z160=$Z$86,AA160*AG160,0)</f>
        <v>0</v>
      </c>
      <c r="BY160" s="174">
        <f>IF(Z160=$Z$87,AA160*AG160,0)</f>
        <v>0</v>
      </c>
      <c r="BZ160" s="174">
        <f>IF(Z160=$Z$88,AA160*AG160,0)</f>
        <v>0</v>
      </c>
      <c r="CA160" s="174">
        <f>IF(Z160=$Z$89,AA160*AG160,0)</f>
        <v>0</v>
      </c>
      <c r="CB160" s="174">
        <f>IF(Z160=$Z$90,AA160*AG160,0)</f>
        <v>0</v>
      </c>
      <c r="CC160" s="175">
        <f>IFERROR(IF(L160=$L$49,AG160*AH160*(1+AI160)*(1-AK160)*(1-AL160),0),0)</f>
        <v>9761.2613999999994</v>
      </c>
      <c r="CD160" s="203">
        <f>IF(I160=$CD$97,1,IF(I160=$CD$100,2,IF(K160=$K$66,1,IF(K160=$K$69,1,3))))</f>
        <v>1</v>
      </c>
      <c r="CE160" s="203">
        <f t="shared" si="14"/>
        <v>1.07</v>
      </c>
      <c r="CF160" s="204">
        <f t="shared" si="9"/>
        <v>1.2353999999999998</v>
      </c>
      <c r="CG160" s="203">
        <f t="shared" si="15"/>
        <v>1.42</v>
      </c>
      <c r="CH160" s="204">
        <f t="shared" si="10"/>
        <v>1.5478000000000001</v>
      </c>
      <c r="CI160" s="203">
        <f t="shared" si="16"/>
        <v>1.7</v>
      </c>
      <c r="CJ160" s="205">
        <f t="shared" si="17"/>
        <v>1.0486</v>
      </c>
      <c r="CK160" s="205">
        <f t="shared" si="18"/>
        <v>1.148922</v>
      </c>
      <c r="CL160" s="205">
        <f t="shared" si="19"/>
        <v>1.3915999999999999</v>
      </c>
      <c r="CM160" s="205">
        <f t="shared" si="20"/>
        <v>1.501366</v>
      </c>
      <c r="CN160" s="206">
        <f t="shared" si="21"/>
        <v>1.6319999999999999</v>
      </c>
      <c r="CO160" s="204">
        <f t="shared" si="25"/>
        <v>1.006656</v>
      </c>
      <c r="CP160" s="207">
        <f t="shared" si="11"/>
        <v>0</v>
      </c>
      <c r="CQ160" s="208">
        <f t="shared" si="12"/>
        <v>0</v>
      </c>
      <c r="CR160" s="209">
        <f t="shared" si="13"/>
        <v>0</v>
      </c>
      <c r="CS160" s="49"/>
      <c r="CT160" s="49"/>
      <c r="CU160" s="49"/>
      <c r="CV160" s="49"/>
      <c r="CW160" s="49"/>
      <c r="CX160" s="49"/>
      <c r="CY160" s="49"/>
      <c r="CZ160" s="49"/>
      <c r="DA160" s="49"/>
      <c r="DB160" s="49"/>
      <c r="DC160" s="49"/>
      <c r="DD160" s="49"/>
      <c r="DE160" s="49"/>
      <c r="DF160" s="49"/>
      <c r="DG160" s="49"/>
      <c r="DH160" s="49"/>
      <c r="DI160" s="49"/>
      <c r="DJ160" s="49"/>
      <c r="DK160" s="49"/>
      <c r="DL160" s="49"/>
      <c r="DM160" s="49"/>
      <c r="DN160" s="49"/>
      <c r="DO160" s="49"/>
      <c r="DP160" s="49"/>
      <c r="DQ160" s="49"/>
      <c r="DR160" s="49"/>
      <c r="DS160" s="49"/>
      <c r="DT160" s="49"/>
      <c r="DU160" s="49"/>
      <c r="DV160" s="49"/>
      <c r="DW160" s="49"/>
      <c r="DX160" s="49"/>
      <c r="DY160" s="49"/>
      <c r="DZ160" s="49"/>
      <c r="EA160" s="49"/>
      <c r="EB160" s="49"/>
      <c r="EC160" s="49"/>
      <c r="ED160" s="49"/>
      <c r="EE160" s="49"/>
      <c r="EF160" s="49"/>
      <c r="EG160" s="49"/>
      <c r="EH160" s="49"/>
      <c r="EI160" s="49"/>
      <c r="EJ160" s="49"/>
      <c r="EK160" s="49"/>
      <c r="EL160" s="49"/>
      <c r="EM160" s="49"/>
      <c r="EN160" s="49"/>
      <c r="EO160" s="49"/>
      <c r="EP160" s="49"/>
      <c r="EQ160" s="49"/>
      <c r="ER160" s="49"/>
      <c r="ES160" s="49"/>
      <c r="ET160" s="49"/>
      <c r="EU160" s="49"/>
      <c r="EV160" s="49"/>
      <c r="EW160" s="49"/>
      <c r="EX160" s="49"/>
      <c r="EY160" s="49"/>
      <c r="EZ160" s="49"/>
      <c r="FA160" s="49"/>
    </row>
    <row r="161" spans="1:157" s="210" customFormat="1" ht="63.75" x14ac:dyDescent="0.25">
      <c r="A161" s="113">
        <f>IF(AND('[1]Cockpit Retorno'!$E$67=Sim,Mestre!M161=Mestre!$M$98),0,1)</f>
        <v>1</v>
      </c>
      <c r="B161" s="113">
        <f>IF(AND('[1]Cockpit Retorno'!$E$67=Sim,Mestre!L161=Mestre!$L$48),0,1)</f>
        <v>1</v>
      </c>
      <c r="C161" s="113">
        <f>IF(AND('[1]Cockpit Retorno'!$E$67=Sim,Mestre!M161=Mestre!$M$97),0,1)</f>
        <v>1</v>
      </c>
      <c r="D161" s="148" t="s">
        <v>7</v>
      </c>
      <c r="E161" s="115"/>
      <c r="F161" s="116" t="s">
        <v>107</v>
      </c>
      <c r="G161" s="149"/>
      <c r="H161" s="150" t="s">
        <v>7</v>
      </c>
      <c r="I161" s="151" t="str">
        <f t="shared" si="1"/>
        <v>Mercadorias</v>
      </c>
      <c r="J161" s="150" t="s">
        <v>15</v>
      </c>
      <c r="K161" s="152" t="s">
        <v>7</v>
      </c>
      <c r="L161" s="153" t="s">
        <v>21</v>
      </c>
      <c r="M161" s="154" t="s">
        <v>290</v>
      </c>
      <c r="N161" s="155" t="s">
        <v>309</v>
      </c>
      <c r="O161" s="155" t="s">
        <v>292</v>
      </c>
      <c r="P161" s="155" t="s">
        <v>43</v>
      </c>
      <c r="Q161" s="155" t="s">
        <v>43</v>
      </c>
      <c r="R161" s="155" t="s">
        <v>43</v>
      </c>
      <c r="S161" s="156" t="s">
        <v>43</v>
      </c>
      <c r="T161" s="156" t="s">
        <v>43</v>
      </c>
      <c r="U161" s="150" t="s">
        <v>43</v>
      </c>
      <c r="V161" s="150" t="s">
        <v>43</v>
      </c>
      <c r="W161" s="150" t="s">
        <v>43</v>
      </c>
      <c r="X161" s="157" t="s">
        <v>315</v>
      </c>
      <c r="Y161" s="150"/>
      <c r="Z161" s="150"/>
      <c r="AA161" s="158">
        <v>0</v>
      </c>
      <c r="AB161" s="155" t="s">
        <v>43</v>
      </c>
      <c r="AC161" s="150" t="s">
        <v>43</v>
      </c>
      <c r="AD161" s="155" t="s">
        <v>43</v>
      </c>
      <c r="AE161" s="155"/>
      <c r="AF161" s="150" t="s">
        <v>43</v>
      </c>
      <c r="AG161" s="159">
        <v>6</v>
      </c>
      <c r="AH161" s="159">
        <v>251.10000000000002</v>
      </c>
      <c r="AI161" s="202">
        <v>0</v>
      </c>
      <c r="AJ161" s="161">
        <v>7.0000000000000007E-2</v>
      </c>
      <c r="AK161" s="162">
        <v>0.05</v>
      </c>
      <c r="AL161" s="163"/>
      <c r="AM161" s="164">
        <f>(((IF(L161=$L$101,1,IF(L161=$L$47,1,0))*(AH161*(1-AK161)))*AG161)*(1-AL161))</f>
        <v>0</v>
      </c>
      <c r="AN161" s="165">
        <f>IF(K161=$K$50,AM161,IF(K161=$K$53,AM161,IF(K161=$K$54,AM161,IF(K161=$K$55,AM161,IF(K161=$K$56,AM161,IF(K161=$K$57,AM161,IF(K161=$K$58,AM161,IF(K161=$K$65,AM161,IF(K161=$K$66,AM161,IF(K161=$K$67,AM161,IF(K161=$K$68,AM161,IF(K161=$K$69,AM161,IF(K161=$K$51,AM161,(AM161*(1+AI161)))))))))))))))</f>
        <v>0</v>
      </c>
      <c r="AO161" s="166">
        <v>1.4</v>
      </c>
      <c r="AP161" s="160">
        <f t="shared" si="2"/>
        <v>0</v>
      </c>
      <c r="AQ161" s="167">
        <f t="shared" si="24"/>
        <v>0</v>
      </c>
      <c r="AR161" s="160">
        <f t="shared" si="4"/>
        <v>0</v>
      </c>
      <c r="AS161" s="168">
        <f t="shared" si="5"/>
        <v>0</v>
      </c>
      <c r="AT161" s="169" t="str">
        <f>K161</f>
        <v>MI</v>
      </c>
      <c r="AU161" s="169" t="str">
        <f>I161</f>
        <v>Mercadorias</v>
      </c>
      <c r="AV161" s="170"/>
      <c r="AW161" s="171">
        <f>IF(K161=$K$50,0,IF(K161=$K$53,0,IF(K161=$K$54,0,IF(K161=$K$55,0,IF(K161=$K$56,0,IF(K161=$K$57,0,IF(K161=$K$58,0,IF(K161=$K$65,0,IF(K161=$K$66,0,IF(K161=$K$67,0,IF(K161=$K$68,0,IF(K161=$K$69,0,IF(K161=$K$51,0,1))))))))))))*AM161*AI161)</f>
        <v>0</v>
      </c>
      <c r="AX161" s="172">
        <f>IF(K161=$K$50,0,IF(K161=$K$53,0,IF(K161=$K$54,0,IF(K161=$K$55,0,IF(K161=$K$56,0,IF(K161=$K$57,0,IF(K161=$K$58,0,IF(K161=$K$65,0,IF(K161=$K$66,0,IF(K161=$K$67,0,IF(K161=$K$68,0,IF(K161=$K$69,0,IF(K161=$K$51,0,1))))))))))))*AM161*AJ161*$AX$94)</f>
        <v>0</v>
      </c>
      <c r="AY161" s="172">
        <f>IF(K161=$K$53,0,IF(K161=$K$54,0,IF(K161=$K$55,0,IF(K161=$K$56,0,IF(K161=$K$58,0,IF(K161=$K$50,0,IF(K161=$K$65,0,IF(K161=$K$57,0,IF(K161=$K$51,0,AM161*$AY$102)))))))))</f>
        <v>0</v>
      </c>
      <c r="AZ161" s="172">
        <f>IF(K161=$K$53,0,IF(K161=$K$54,0,IF(K161=$K$55,0,IF(K161=$K$56,0,IF(K161=$K$58,0,IF(K161=$K$50,0,IF(K161=$K$65,0,IF(K161=$K$57,0,IF(K161=$K$51,0,AM161*$AZ$102)))))))))</f>
        <v>0</v>
      </c>
      <c r="BA161" s="172">
        <f t="shared" si="6"/>
        <v>0</v>
      </c>
      <c r="BB161" s="173">
        <f>IF($BA$97=1,AQ161*$BB$102,IF(K161=$K$50,0,IF(K161=$K$53,0,IF(K161=$K$54,0,IF(K161=$K$55,0,IF(K161=$K$56,0,IF(K161=$K$57,0,IF(K161=$K$58,0,IF(K161=$K$65,0,IF(K161=$K$66,0,IF(K161=$K$67,0,IF(K161=$K$68,0,IF(K161=$K$69,0,IF(K161=$K$51,0,1)))))))))))*AQ161*$BB$102)))</f>
        <v>0</v>
      </c>
      <c r="BC161" s="172">
        <f t="shared" si="7"/>
        <v>0</v>
      </c>
      <c r="BD161" s="172">
        <f t="shared" si="8"/>
        <v>0</v>
      </c>
      <c r="BE161" s="172">
        <f>IF($BE$95=I161,$BE$97,IF(I161=$BE$96,$BE$97,1))*($BE$102*AQ161)*$AZ$97</f>
        <v>0</v>
      </c>
      <c r="BF161" s="172">
        <f>IF('[1]Cockpit Retorno'!$C$65=Sim,Mestre!BA161,SUM(BB161:BE161)+(IF(K161=$K$56,AQ161*MOE_IRRF_LR,0)))</f>
        <v>0</v>
      </c>
      <c r="BG161" s="174">
        <f>IF(AA161&gt;0,0,IF(Z161=$Z$82,AG161*1,(IF(Z161=$Z$81,AG161*1,0))))</f>
        <v>0</v>
      </c>
      <c r="BH161" s="174">
        <f>IF(AA161&gt;0,0,IF(Z161=$Z$83,AG161*1,IF(Z161=$Z$81,AG161*1,0)))</f>
        <v>0</v>
      </c>
      <c r="BI161" s="174">
        <f>IF(AA161&gt;0,0,IF(Z161=$Z$84,AG161*1,IF(Z161=$Z$93,AG161*2,IF(Z161=$Z$100,AG161,IF(Z161=$Z$81,AG161*2,IF(Z161=$Z$80,AG161*1,IF(Z161=$Z$79,AG161*3,IF(Z161=$Z$78,AG161*2,0))))))))</f>
        <v>0</v>
      </c>
      <c r="BJ161" s="174">
        <f>IF(AA161&gt;0,0,IF(Z161=$Z$85,AG161,IF(Z161=$Z$93,AG161,IF(Z161=$Z$100,AG161,IF(Z161=$Z$81,AG161*1,IF(Z161=$Z$80,AG161*2,IF(Z161=$Z$79,AG161*2,IF(Z161=$Z$78,AG161*2,0))))))))</f>
        <v>0</v>
      </c>
      <c r="BK161" s="174">
        <f>IF(AA161&gt;0,0,IF(Z161=$Z$92,AG161,0))</f>
        <v>0</v>
      </c>
      <c r="BL161" s="174">
        <f>IF(AA161&gt;0,0,IF(Z161=$Z$91,AG161,0))</f>
        <v>0</v>
      </c>
      <c r="BM161" s="174">
        <f>IF(AA161&gt;0,0,IF(Z161=$Z$86,AG161,0))</f>
        <v>0</v>
      </c>
      <c r="BN161" s="174">
        <f>IF(AA161&gt;0,0,IF(Z161=$Z$87,AG161,0))</f>
        <v>0</v>
      </c>
      <c r="BO161" s="174">
        <f>IF(AA161&gt;0,0,IF(Z161=$Z$88,AG161,0))</f>
        <v>0</v>
      </c>
      <c r="BP161" s="174">
        <f>IF(AA161&gt;0,0,IF(Z161=$Z$89,AG161,0))</f>
        <v>0</v>
      </c>
      <c r="BQ161" s="174">
        <f>IF(AA161&gt;0,0,IF(Z161=$Z$90,AG161,0))</f>
        <v>0</v>
      </c>
      <c r="BR161" s="174">
        <f>IF(Z161=$Z$82,AA161*AG161,0)</f>
        <v>0</v>
      </c>
      <c r="BS161" s="174">
        <f>IF(Z161=$Z$83,AA161*AG161,0)</f>
        <v>0</v>
      </c>
      <c r="BT161" s="174">
        <f>IF(AA161&lt;1,0,IF(Z161=$Z$84,AA161*AG161,IF(Z161=$Z$93,"ERRO",IF(Z161=$Z$100,"ERRO",0))))</f>
        <v>0</v>
      </c>
      <c r="BU161" s="174">
        <f>IF(AA161&lt;1,0,IF(Z161=$Z$85,AA161*AG161,IF(Z161=$Z$93,"ERRO",IF(Z161=$Z$100,"ERRO",0))))</f>
        <v>0</v>
      </c>
      <c r="BV161" s="174">
        <f>IF(Z161=$Z$92,AA161*AG161,0)</f>
        <v>0</v>
      </c>
      <c r="BW161" s="174">
        <f>IF(Z161=$Z$91,AA161*AG161,0)</f>
        <v>0</v>
      </c>
      <c r="BX161" s="174">
        <f>IF(Z161=$Z$86,AA161*AG161,0)</f>
        <v>0</v>
      </c>
      <c r="BY161" s="174">
        <f>IF(Z161=$Z$87,AA161*AG161,0)</f>
        <v>0</v>
      </c>
      <c r="BZ161" s="174">
        <f>IF(Z161=$Z$88,AA161*AG161,0)</f>
        <v>0</v>
      </c>
      <c r="CA161" s="174">
        <f>IF(Z161=$Z$89,AA161*AG161,0)</f>
        <v>0</v>
      </c>
      <c r="CB161" s="174">
        <f>IF(Z161=$Z$90,AA161*AG161,0)</f>
        <v>0</v>
      </c>
      <c r="CC161" s="175">
        <f>IFERROR(IF(L161=$L$49,AG161*AH161*(1+AI161)*(1-AK161)*(1-AL161),0),0)</f>
        <v>1431.27</v>
      </c>
      <c r="CD161" s="203">
        <f>IF(I161=$CD$97,1,IF(I161=$CD$100,2,IF(K161=$K$66,1,IF(K161=$K$69,1,3))))</f>
        <v>1</v>
      </c>
      <c r="CE161" s="203">
        <f t="shared" si="14"/>
        <v>1.07</v>
      </c>
      <c r="CF161" s="204">
        <f t="shared" si="9"/>
        <v>1.2353999999999998</v>
      </c>
      <c r="CG161" s="203">
        <f t="shared" si="15"/>
        <v>1.42</v>
      </c>
      <c r="CH161" s="204">
        <f t="shared" si="10"/>
        <v>1.5478000000000001</v>
      </c>
      <c r="CI161" s="203">
        <f t="shared" si="16"/>
        <v>1.7</v>
      </c>
      <c r="CJ161" s="205">
        <f t="shared" si="17"/>
        <v>1.0486</v>
      </c>
      <c r="CK161" s="205">
        <f t="shared" si="18"/>
        <v>1.148922</v>
      </c>
      <c r="CL161" s="205">
        <f t="shared" si="19"/>
        <v>1.3915999999999999</v>
      </c>
      <c r="CM161" s="205">
        <f t="shared" si="20"/>
        <v>1.501366</v>
      </c>
      <c r="CN161" s="206">
        <f t="shared" si="21"/>
        <v>1.6319999999999999</v>
      </c>
      <c r="CO161" s="204">
        <f t="shared" si="25"/>
        <v>1.006656</v>
      </c>
      <c r="CP161" s="207">
        <f t="shared" si="11"/>
        <v>0</v>
      </c>
      <c r="CQ161" s="208">
        <f t="shared" si="12"/>
        <v>0</v>
      </c>
      <c r="CR161" s="209">
        <f t="shared" si="13"/>
        <v>0</v>
      </c>
      <c r="CS161" s="49"/>
      <c r="CT161" s="49"/>
      <c r="CU161" s="49"/>
      <c r="CV161" s="49"/>
      <c r="CW161" s="49"/>
      <c r="CX161" s="49"/>
      <c r="CY161" s="49"/>
      <c r="CZ161" s="49"/>
      <c r="DA161" s="49"/>
      <c r="DB161" s="49"/>
      <c r="DC161" s="49"/>
      <c r="DD161" s="49"/>
      <c r="DE161" s="49"/>
      <c r="DF161" s="49"/>
      <c r="DG161" s="49"/>
      <c r="DH161" s="49"/>
      <c r="DI161" s="49"/>
      <c r="DJ161" s="49"/>
      <c r="DK161" s="49"/>
      <c r="DL161" s="49"/>
      <c r="DM161" s="49"/>
      <c r="DN161" s="49"/>
      <c r="DO161" s="49"/>
      <c r="DP161" s="49"/>
      <c r="DQ161" s="49"/>
      <c r="DR161" s="49"/>
      <c r="DS161" s="49"/>
      <c r="DT161" s="49"/>
      <c r="DU161" s="49"/>
      <c r="DV161" s="49"/>
      <c r="DW161" s="49"/>
      <c r="DX161" s="49"/>
      <c r="DY161" s="49"/>
      <c r="DZ161" s="49"/>
      <c r="EA161" s="49"/>
      <c r="EB161" s="49"/>
      <c r="EC161" s="49"/>
      <c r="ED161" s="49"/>
      <c r="EE161" s="49"/>
      <c r="EF161" s="49"/>
      <c r="EG161" s="49"/>
      <c r="EH161" s="49"/>
      <c r="EI161" s="49"/>
      <c r="EJ161" s="49"/>
      <c r="EK161" s="49"/>
      <c r="EL161" s="49"/>
      <c r="EM161" s="49"/>
      <c r="EN161" s="49"/>
      <c r="EO161" s="49"/>
      <c r="EP161" s="49"/>
      <c r="EQ161" s="49"/>
      <c r="ER161" s="49"/>
      <c r="ES161" s="49"/>
      <c r="ET161" s="49"/>
      <c r="EU161" s="49"/>
      <c r="EV161" s="49"/>
      <c r="EW161" s="49"/>
      <c r="EX161" s="49"/>
      <c r="EY161" s="49"/>
      <c r="EZ161" s="49"/>
      <c r="FA161" s="49"/>
    </row>
    <row r="162" spans="1:157" s="210" customFormat="1" ht="63.75" x14ac:dyDescent="0.25">
      <c r="A162" s="113">
        <f>IF(AND('[1]Cockpit Retorno'!$E$67=Sim,Mestre!M162=Mestre!$M$98),0,1)</f>
        <v>1</v>
      </c>
      <c r="B162" s="113">
        <f>IF(AND('[1]Cockpit Retorno'!$E$67=Sim,Mestre!L162=Mestre!$L$48),0,1)</f>
        <v>1</v>
      </c>
      <c r="C162" s="113">
        <f>IF(AND('[1]Cockpit Retorno'!$E$67=Sim,Mestre!M162=Mestre!$M$97),0,1)</f>
        <v>1</v>
      </c>
      <c r="D162" s="148" t="s">
        <v>7</v>
      </c>
      <c r="E162" s="115"/>
      <c r="F162" s="116" t="s">
        <v>107</v>
      </c>
      <c r="G162" s="149"/>
      <c r="H162" s="150" t="s">
        <v>7</v>
      </c>
      <c r="I162" s="151" t="str">
        <f t="shared" si="1"/>
        <v>Mercadorias</v>
      </c>
      <c r="J162" s="150" t="s">
        <v>15</v>
      </c>
      <c r="K162" s="152" t="s">
        <v>7</v>
      </c>
      <c r="L162" s="153" t="s">
        <v>21</v>
      </c>
      <c r="M162" s="154" t="s">
        <v>290</v>
      </c>
      <c r="N162" s="155" t="s">
        <v>309</v>
      </c>
      <c r="O162" s="155" t="s">
        <v>292</v>
      </c>
      <c r="P162" s="155" t="s">
        <v>43</v>
      </c>
      <c r="Q162" s="155" t="s">
        <v>43</v>
      </c>
      <c r="R162" s="155" t="s">
        <v>43</v>
      </c>
      <c r="S162" s="156" t="s">
        <v>43</v>
      </c>
      <c r="T162" s="156" t="s">
        <v>43</v>
      </c>
      <c r="U162" s="150" t="s">
        <v>43</v>
      </c>
      <c r="V162" s="150" t="s">
        <v>43</v>
      </c>
      <c r="W162" s="150" t="s">
        <v>43</v>
      </c>
      <c r="X162" s="157" t="s">
        <v>316</v>
      </c>
      <c r="Y162" s="150"/>
      <c r="Z162" s="150"/>
      <c r="AA162" s="158">
        <v>0</v>
      </c>
      <c r="AB162" s="155" t="s">
        <v>43</v>
      </c>
      <c r="AC162" s="150" t="s">
        <v>43</v>
      </c>
      <c r="AD162" s="155" t="s">
        <v>43</v>
      </c>
      <c r="AE162" s="155"/>
      <c r="AF162" s="150" t="s">
        <v>43</v>
      </c>
      <c r="AG162" s="159">
        <v>30</v>
      </c>
      <c r="AH162" s="159">
        <v>426.87</v>
      </c>
      <c r="AI162" s="202">
        <v>0</v>
      </c>
      <c r="AJ162" s="161">
        <v>7.0000000000000007E-2</v>
      </c>
      <c r="AK162" s="162">
        <v>0.05</v>
      </c>
      <c r="AL162" s="163"/>
      <c r="AM162" s="164">
        <f>(((IF(L162=$L$101,1,IF(L162=$L$47,1,0))*(AH162*(1-AK162)))*AG162)*(1-AL162))</f>
        <v>0</v>
      </c>
      <c r="AN162" s="165">
        <f>IF(K162=$K$50,AM162,IF(K162=$K$53,AM162,IF(K162=$K$54,AM162,IF(K162=$K$55,AM162,IF(K162=$K$56,AM162,IF(K162=$K$57,AM162,IF(K162=$K$58,AM162,IF(K162=$K$65,AM162,IF(K162=$K$66,AM162,IF(K162=$K$67,AM162,IF(K162=$K$68,AM162,IF(K162=$K$69,AM162,IF(K162=$K$51,AM162,(AM162*(1+AI162)))))))))))))))</f>
        <v>0</v>
      </c>
      <c r="AO162" s="166">
        <v>1.4</v>
      </c>
      <c r="AP162" s="160">
        <f t="shared" si="2"/>
        <v>0</v>
      </c>
      <c r="AQ162" s="167">
        <f t="shared" si="24"/>
        <v>0</v>
      </c>
      <c r="AR162" s="160">
        <f t="shared" si="4"/>
        <v>0</v>
      </c>
      <c r="AS162" s="168">
        <f t="shared" si="5"/>
        <v>0</v>
      </c>
      <c r="AT162" s="169" t="str">
        <f>K162</f>
        <v>MI</v>
      </c>
      <c r="AU162" s="169" t="str">
        <f>I162</f>
        <v>Mercadorias</v>
      </c>
      <c r="AV162" s="170"/>
      <c r="AW162" s="171">
        <f>IF(K162=$K$50,0,IF(K162=$K$53,0,IF(K162=$K$54,0,IF(K162=$K$55,0,IF(K162=$K$56,0,IF(K162=$K$57,0,IF(K162=$K$58,0,IF(K162=$K$65,0,IF(K162=$K$66,0,IF(K162=$K$67,0,IF(K162=$K$68,0,IF(K162=$K$69,0,IF(K162=$K$51,0,1))))))))))))*AM162*AI162)</f>
        <v>0</v>
      </c>
      <c r="AX162" s="172">
        <f>IF(K162=$K$50,0,IF(K162=$K$53,0,IF(K162=$K$54,0,IF(K162=$K$55,0,IF(K162=$K$56,0,IF(K162=$K$57,0,IF(K162=$K$58,0,IF(K162=$K$65,0,IF(K162=$K$66,0,IF(K162=$K$67,0,IF(K162=$K$68,0,IF(K162=$K$69,0,IF(K162=$K$51,0,1))))))))))))*AM162*AJ162*$AX$94)</f>
        <v>0</v>
      </c>
      <c r="AY162" s="172">
        <f>IF(K162=$K$53,0,IF(K162=$K$54,0,IF(K162=$K$55,0,IF(K162=$K$56,0,IF(K162=$K$58,0,IF(K162=$K$50,0,IF(K162=$K$65,0,IF(K162=$K$57,0,IF(K162=$K$51,0,AM162*$AY$102)))))))))</f>
        <v>0</v>
      </c>
      <c r="AZ162" s="172">
        <f>IF(K162=$K$53,0,IF(K162=$K$54,0,IF(K162=$K$55,0,IF(K162=$K$56,0,IF(K162=$K$58,0,IF(K162=$K$50,0,IF(K162=$K$65,0,IF(K162=$K$57,0,IF(K162=$K$51,0,AM162*$AZ$102)))))))))</f>
        <v>0</v>
      </c>
      <c r="BA162" s="172">
        <f t="shared" si="6"/>
        <v>0</v>
      </c>
      <c r="BB162" s="173">
        <f>IF($BA$97=1,AQ162*$BB$102,IF(K162=$K$50,0,IF(K162=$K$53,0,IF(K162=$K$54,0,IF(K162=$K$55,0,IF(K162=$K$56,0,IF(K162=$K$57,0,IF(K162=$K$58,0,IF(K162=$K$65,0,IF(K162=$K$66,0,IF(K162=$K$67,0,IF(K162=$K$68,0,IF(K162=$K$69,0,IF(K162=$K$51,0,1)))))))))))*AQ162*$BB$102)))</f>
        <v>0</v>
      </c>
      <c r="BC162" s="172">
        <f t="shared" si="7"/>
        <v>0</v>
      </c>
      <c r="BD162" s="172">
        <f t="shared" si="8"/>
        <v>0</v>
      </c>
      <c r="BE162" s="172">
        <f>IF($BE$95=I162,$BE$97,IF(I162=$BE$96,$BE$97,1))*($BE$102*AQ162)*$AZ$97</f>
        <v>0</v>
      </c>
      <c r="BF162" s="172">
        <f>IF('[1]Cockpit Retorno'!$C$65=Sim,Mestre!BA162,SUM(BB162:BE162)+(IF(K162=$K$56,AQ162*MOE_IRRF_LR,0)))</f>
        <v>0</v>
      </c>
      <c r="BG162" s="174">
        <f>IF(AA162&gt;0,0,IF(Z162=$Z$82,AG162*1,(IF(Z162=$Z$81,AG162*1,0))))</f>
        <v>0</v>
      </c>
      <c r="BH162" s="174">
        <f>IF(AA162&gt;0,0,IF(Z162=$Z$83,AG162*1,IF(Z162=$Z$81,AG162*1,0)))</f>
        <v>0</v>
      </c>
      <c r="BI162" s="174">
        <f>IF(AA162&gt;0,0,IF(Z162=$Z$84,AG162*1,IF(Z162=$Z$93,AG162*2,IF(Z162=$Z$100,AG162,IF(Z162=$Z$81,AG162*2,IF(Z162=$Z$80,AG162*1,IF(Z162=$Z$79,AG162*3,IF(Z162=$Z$78,AG162*2,0))))))))</f>
        <v>0</v>
      </c>
      <c r="BJ162" s="174">
        <f>IF(AA162&gt;0,0,IF(Z162=$Z$85,AG162,IF(Z162=$Z$93,AG162,IF(Z162=$Z$100,AG162,IF(Z162=$Z$81,AG162*1,IF(Z162=$Z$80,AG162*2,IF(Z162=$Z$79,AG162*2,IF(Z162=$Z$78,AG162*2,0))))))))</f>
        <v>0</v>
      </c>
      <c r="BK162" s="174">
        <f>IF(AA162&gt;0,0,IF(Z162=$Z$92,AG162,0))</f>
        <v>0</v>
      </c>
      <c r="BL162" s="174">
        <f>IF(AA162&gt;0,0,IF(Z162=$Z$91,AG162,0))</f>
        <v>0</v>
      </c>
      <c r="BM162" s="174">
        <f>IF(AA162&gt;0,0,IF(Z162=$Z$86,AG162,0))</f>
        <v>0</v>
      </c>
      <c r="BN162" s="174">
        <f>IF(AA162&gt;0,0,IF(Z162=$Z$87,AG162,0))</f>
        <v>0</v>
      </c>
      <c r="BO162" s="174">
        <f>IF(AA162&gt;0,0,IF(Z162=$Z$88,AG162,0))</f>
        <v>0</v>
      </c>
      <c r="BP162" s="174">
        <f>IF(AA162&gt;0,0,IF(Z162=$Z$89,AG162,0))</f>
        <v>0</v>
      </c>
      <c r="BQ162" s="174">
        <f>IF(AA162&gt;0,0,IF(Z162=$Z$90,AG162,0))</f>
        <v>0</v>
      </c>
      <c r="BR162" s="174">
        <f>IF(Z162=$Z$82,AA162*AG162,0)</f>
        <v>0</v>
      </c>
      <c r="BS162" s="174">
        <f>IF(Z162=$Z$83,AA162*AG162,0)</f>
        <v>0</v>
      </c>
      <c r="BT162" s="174">
        <f>IF(AA162&lt;1,0,IF(Z162=$Z$84,AA162*AG162,IF(Z162=$Z$93,"ERRO",IF(Z162=$Z$100,"ERRO",0))))</f>
        <v>0</v>
      </c>
      <c r="BU162" s="174">
        <f>IF(AA162&lt;1,0,IF(Z162=$Z$85,AA162*AG162,IF(Z162=$Z$93,"ERRO",IF(Z162=$Z$100,"ERRO",0))))</f>
        <v>0</v>
      </c>
      <c r="BV162" s="174">
        <f>IF(Z162=$Z$92,AA162*AG162,0)</f>
        <v>0</v>
      </c>
      <c r="BW162" s="174">
        <f>IF(Z162=$Z$91,AA162*AG162,0)</f>
        <v>0</v>
      </c>
      <c r="BX162" s="174">
        <f>IF(Z162=$Z$86,AA162*AG162,0)</f>
        <v>0</v>
      </c>
      <c r="BY162" s="174">
        <f>IF(Z162=$Z$87,AA162*AG162,0)</f>
        <v>0</v>
      </c>
      <c r="BZ162" s="174">
        <f>IF(Z162=$Z$88,AA162*AG162,0)</f>
        <v>0</v>
      </c>
      <c r="CA162" s="174">
        <f>IF(Z162=$Z$89,AA162*AG162,0)</f>
        <v>0</v>
      </c>
      <c r="CB162" s="174">
        <f>IF(Z162=$Z$90,AA162*AG162,0)</f>
        <v>0</v>
      </c>
      <c r="CC162" s="175">
        <f>IFERROR(IF(L162=$L$49,AG162*AH162*(1+AI162)*(1-AK162)*(1-AL162),0),0)</f>
        <v>12165.795</v>
      </c>
      <c r="CD162" s="203">
        <f>IF(I162=$CD$97,1,IF(I162=$CD$100,2,IF(K162=$K$66,1,IF(K162=$K$69,1,3))))</f>
        <v>1</v>
      </c>
      <c r="CE162" s="203">
        <f t="shared" si="14"/>
        <v>1.07</v>
      </c>
      <c r="CF162" s="204">
        <f t="shared" si="9"/>
        <v>1.2353999999999998</v>
      </c>
      <c r="CG162" s="203">
        <f t="shared" si="15"/>
        <v>1.42</v>
      </c>
      <c r="CH162" s="204">
        <f t="shared" si="10"/>
        <v>1.5478000000000001</v>
      </c>
      <c r="CI162" s="203">
        <f t="shared" si="16"/>
        <v>1.7</v>
      </c>
      <c r="CJ162" s="205">
        <f t="shared" si="17"/>
        <v>1.0486</v>
      </c>
      <c r="CK162" s="205">
        <f t="shared" si="18"/>
        <v>1.148922</v>
      </c>
      <c r="CL162" s="205">
        <f t="shared" si="19"/>
        <v>1.3915999999999999</v>
      </c>
      <c r="CM162" s="205">
        <f t="shared" si="20"/>
        <v>1.501366</v>
      </c>
      <c r="CN162" s="206">
        <f t="shared" si="21"/>
        <v>1.6319999999999999</v>
      </c>
      <c r="CO162" s="204">
        <f t="shared" si="25"/>
        <v>1.006656</v>
      </c>
      <c r="CP162" s="207">
        <f t="shared" si="11"/>
        <v>0</v>
      </c>
      <c r="CQ162" s="208">
        <f t="shared" si="12"/>
        <v>0</v>
      </c>
      <c r="CR162" s="209">
        <f t="shared" si="13"/>
        <v>0</v>
      </c>
      <c r="CS162" s="49"/>
      <c r="CT162" s="49"/>
      <c r="CU162" s="49"/>
      <c r="CV162" s="49"/>
      <c r="CW162" s="49"/>
      <c r="CX162" s="49"/>
      <c r="CY162" s="49"/>
      <c r="CZ162" s="49"/>
      <c r="DA162" s="49"/>
      <c r="DB162" s="49"/>
      <c r="DC162" s="49"/>
      <c r="DD162" s="49"/>
      <c r="DE162" s="49"/>
      <c r="DF162" s="49"/>
      <c r="DG162" s="49"/>
      <c r="DH162" s="49"/>
      <c r="DI162" s="49"/>
      <c r="DJ162" s="49"/>
      <c r="DK162" s="49"/>
      <c r="DL162" s="49"/>
      <c r="DM162" s="49"/>
      <c r="DN162" s="49"/>
      <c r="DO162" s="49"/>
      <c r="DP162" s="49"/>
      <c r="DQ162" s="49"/>
      <c r="DR162" s="49"/>
      <c r="DS162" s="49"/>
      <c r="DT162" s="49"/>
      <c r="DU162" s="49"/>
      <c r="DV162" s="49"/>
      <c r="DW162" s="49"/>
      <c r="DX162" s="49"/>
      <c r="DY162" s="49"/>
      <c r="DZ162" s="49"/>
      <c r="EA162" s="49"/>
      <c r="EB162" s="49"/>
      <c r="EC162" s="49"/>
      <c r="ED162" s="49"/>
      <c r="EE162" s="49"/>
      <c r="EF162" s="49"/>
      <c r="EG162" s="49"/>
      <c r="EH162" s="49"/>
      <c r="EI162" s="49"/>
      <c r="EJ162" s="49"/>
      <c r="EK162" s="49"/>
      <c r="EL162" s="49"/>
      <c r="EM162" s="49"/>
      <c r="EN162" s="49"/>
      <c r="EO162" s="49"/>
      <c r="EP162" s="49"/>
      <c r="EQ162" s="49"/>
      <c r="ER162" s="49"/>
      <c r="ES162" s="49"/>
      <c r="ET162" s="49"/>
      <c r="EU162" s="49"/>
      <c r="EV162" s="49"/>
      <c r="EW162" s="49"/>
      <c r="EX162" s="49"/>
      <c r="EY162" s="49"/>
      <c r="EZ162" s="49"/>
      <c r="FA162" s="49"/>
    </row>
    <row r="163" spans="1:157" s="210" customFormat="1" ht="63.75" x14ac:dyDescent="0.25">
      <c r="A163" s="113">
        <f>IF(AND('[1]Cockpit Retorno'!$E$67=Sim,Mestre!M163=Mestre!$M$98),0,1)</f>
        <v>1</v>
      </c>
      <c r="B163" s="113">
        <f>IF(AND('[1]Cockpit Retorno'!$E$67=Sim,Mestre!L163=Mestre!$L$48),0,1)</f>
        <v>1</v>
      </c>
      <c r="C163" s="113">
        <f>IF(AND('[1]Cockpit Retorno'!$E$67=Sim,Mestre!M163=Mestre!$M$97),0,1)</f>
        <v>1</v>
      </c>
      <c r="D163" s="148" t="s">
        <v>7</v>
      </c>
      <c r="E163" s="115"/>
      <c r="F163" s="116" t="s">
        <v>107</v>
      </c>
      <c r="G163" s="149"/>
      <c r="H163" s="150" t="s">
        <v>7</v>
      </c>
      <c r="I163" s="151" t="str">
        <f t="shared" si="1"/>
        <v>Mercadorias</v>
      </c>
      <c r="J163" s="150" t="s">
        <v>15</v>
      </c>
      <c r="K163" s="152" t="s">
        <v>7</v>
      </c>
      <c r="L163" s="153" t="s">
        <v>21</v>
      </c>
      <c r="M163" s="154" t="s">
        <v>290</v>
      </c>
      <c r="N163" s="155" t="s">
        <v>309</v>
      </c>
      <c r="O163" s="155" t="s">
        <v>292</v>
      </c>
      <c r="P163" s="155" t="s">
        <v>43</v>
      </c>
      <c r="Q163" s="155" t="s">
        <v>43</v>
      </c>
      <c r="R163" s="155" t="s">
        <v>43</v>
      </c>
      <c r="S163" s="156" t="s">
        <v>43</v>
      </c>
      <c r="T163" s="156" t="s">
        <v>43</v>
      </c>
      <c r="U163" s="150" t="s">
        <v>43</v>
      </c>
      <c r="V163" s="150" t="s">
        <v>43</v>
      </c>
      <c r="W163" s="150" t="s">
        <v>43</v>
      </c>
      <c r="X163" s="157" t="s">
        <v>317</v>
      </c>
      <c r="Y163" s="150"/>
      <c r="Z163" s="150"/>
      <c r="AA163" s="158">
        <v>0</v>
      </c>
      <c r="AB163" s="155" t="s">
        <v>43</v>
      </c>
      <c r="AC163" s="150" t="s">
        <v>43</v>
      </c>
      <c r="AD163" s="155" t="s">
        <v>43</v>
      </c>
      <c r="AE163" s="155"/>
      <c r="AF163" s="150" t="s">
        <v>43</v>
      </c>
      <c r="AG163" s="159">
        <v>6</v>
      </c>
      <c r="AH163" s="159">
        <v>52.0242</v>
      </c>
      <c r="AI163" s="202">
        <v>0</v>
      </c>
      <c r="AJ163" s="161">
        <v>7.0000000000000007E-2</v>
      </c>
      <c r="AK163" s="162">
        <v>0.05</v>
      </c>
      <c r="AL163" s="163"/>
      <c r="AM163" s="164">
        <f>(((IF(L163=$L$101,1,IF(L163=$L$47,1,0))*(AH163*(1-AK163)))*AG163)*(1-AL163))</f>
        <v>0</v>
      </c>
      <c r="AN163" s="165">
        <f>IF(K163=$K$50,AM163,IF(K163=$K$53,AM163,IF(K163=$K$54,AM163,IF(K163=$K$55,AM163,IF(K163=$K$56,AM163,IF(K163=$K$57,AM163,IF(K163=$K$58,AM163,IF(K163=$K$65,AM163,IF(K163=$K$66,AM163,IF(K163=$K$67,AM163,IF(K163=$K$68,AM163,IF(K163=$K$69,AM163,IF(K163=$K$51,AM163,(AM163*(1+AI163)))))))))))))))</f>
        <v>0</v>
      </c>
      <c r="AO163" s="166">
        <v>1.4</v>
      </c>
      <c r="AP163" s="160">
        <f t="shared" si="2"/>
        <v>0</v>
      </c>
      <c r="AQ163" s="167">
        <f t="shared" si="24"/>
        <v>0</v>
      </c>
      <c r="AR163" s="160">
        <f t="shared" si="4"/>
        <v>0</v>
      </c>
      <c r="AS163" s="168">
        <f t="shared" si="5"/>
        <v>0</v>
      </c>
      <c r="AT163" s="169" t="str">
        <f>K163</f>
        <v>MI</v>
      </c>
      <c r="AU163" s="169" t="str">
        <f>I163</f>
        <v>Mercadorias</v>
      </c>
      <c r="AV163" s="170"/>
      <c r="AW163" s="171">
        <f>IF(K163=$K$50,0,IF(K163=$K$53,0,IF(K163=$K$54,0,IF(K163=$K$55,0,IF(K163=$K$56,0,IF(K163=$K$57,0,IF(K163=$K$58,0,IF(K163=$K$65,0,IF(K163=$K$66,0,IF(K163=$K$67,0,IF(K163=$K$68,0,IF(K163=$K$69,0,IF(K163=$K$51,0,1))))))))))))*AM163*AI163)</f>
        <v>0</v>
      </c>
      <c r="AX163" s="172">
        <f>IF(K163=$K$50,0,IF(K163=$K$53,0,IF(K163=$K$54,0,IF(K163=$K$55,0,IF(K163=$K$56,0,IF(K163=$K$57,0,IF(K163=$K$58,0,IF(K163=$K$65,0,IF(K163=$K$66,0,IF(K163=$K$67,0,IF(K163=$K$68,0,IF(K163=$K$69,0,IF(K163=$K$51,0,1))))))))))))*AM163*AJ163*$AX$94)</f>
        <v>0</v>
      </c>
      <c r="AY163" s="172">
        <f>IF(K163=$K$53,0,IF(K163=$K$54,0,IF(K163=$K$55,0,IF(K163=$K$56,0,IF(K163=$K$58,0,IF(K163=$K$50,0,IF(K163=$K$65,0,IF(K163=$K$57,0,IF(K163=$K$51,0,AM163*$AY$102)))))))))</f>
        <v>0</v>
      </c>
      <c r="AZ163" s="172">
        <f>IF(K163=$K$53,0,IF(K163=$K$54,0,IF(K163=$K$55,0,IF(K163=$K$56,0,IF(K163=$K$58,0,IF(K163=$K$50,0,IF(K163=$K$65,0,IF(K163=$K$57,0,IF(K163=$K$51,0,AM163*$AZ$102)))))))))</f>
        <v>0</v>
      </c>
      <c r="BA163" s="172">
        <f t="shared" si="6"/>
        <v>0</v>
      </c>
      <c r="BB163" s="173">
        <f>IF($BA$97=1,AQ163*$BB$102,IF(K163=$K$50,0,IF(K163=$K$53,0,IF(K163=$K$54,0,IF(K163=$K$55,0,IF(K163=$K$56,0,IF(K163=$K$57,0,IF(K163=$K$58,0,IF(K163=$K$65,0,IF(K163=$K$66,0,IF(K163=$K$67,0,IF(K163=$K$68,0,IF(K163=$K$69,0,IF(K163=$K$51,0,1)))))))))))*AQ163*$BB$102)))</f>
        <v>0</v>
      </c>
      <c r="BC163" s="172">
        <f t="shared" si="7"/>
        <v>0</v>
      </c>
      <c r="BD163" s="172">
        <f t="shared" si="8"/>
        <v>0</v>
      </c>
      <c r="BE163" s="172">
        <f>IF($BE$95=I163,$BE$97,IF(I163=$BE$96,$BE$97,1))*($BE$102*AQ163)*$AZ$97</f>
        <v>0</v>
      </c>
      <c r="BF163" s="172">
        <f>IF('[1]Cockpit Retorno'!$C$65=Sim,Mestre!BA163,SUM(BB163:BE163)+(IF(K163=$K$56,AQ163*MOE_IRRF_LR,0)))</f>
        <v>0</v>
      </c>
      <c r="BG163" s="174">
        <f>IF(AA163&gt;0,0,IF(Z163=$Z$82,AG163*1,(IF(Z163=$Z$81,AG163*1,0))))</f>
        <v>0</v>
      </c>
      <c r="BH163" s="174">
        <f>IF(AA163&gt;0,0,IF(Z163=$Z$83,AG163*1,IF(Z163=$Z$81,AG163*1,0)))</f>
        <v>0</v>
      </c>
      <c r="BI163" s="174">
        <f>IF(AA163&gt;0,0,IF(Z163=$Z$84,AG163*1,IF(Z163=$Z$93,AG163*2,IF(Z163=$Z$100,AG163,IF(Z163=$Z$81,AG163*2,IF(Z163=$Z$80,AG163*1,IF(Z163=$Z$79,AG163*3,IF(Z163=$Z$78,AG163*2,0))))))))</f>
        <v>0</v>
      </c>
      <c r="BJ163" s="174">
        <f>IF(AA163&gt;0,0,IF(Z163=$Z$85,AG163,IF(Z163=$Z$93,AG163,IF(Z163=$Z$100,AG163,IF(Z163=$Z$81,AG163*1,IF(Z163=$Z$80,AG163*2,IF(Z163=$Z$79,AG163*2,IF(Z163=$Z$78,AG163*2,0))))))))</f>
        <v>0</v>
      </c>
      <c r="BK163" s="174">
        <f>IF(AA163&gt;0,0,IF(Z163=$Z$92,AG163,0))</f>
        <v>0</v>
      </c>
      <c r="BL163" s="174">
        <f>IF(AA163&gt;0,0,IF(Z163=$Z$91,AG163,0))</f>
        <v>0</v>
      </c>
      <c r="BM163" s="174">
        <f>IF(AA163&gt;0,0,IF(Z163=$Z$86,AG163,0))</f>
        <v>0</v>
      </c>
      <c r="BN163" s="174">
        <f>IF(AA163&gt;0,0,IF(Z163=$Z$87,AG163,0))</f>
        <v>0</v>
      </c>
      <c r="BO163" s="174">
        <f>IF(AA163&gt;0,0,IF(Z163=$Z$88,AG163,0))</f>
        <v>0</v>
      </c>
      <c r="BP163" s="174">
        <f>IF(AA163&gt;0,0,IF(Z163=$Z$89,AG163,0))</f>
        <v>0</v>
      </c>
      <c r="BQ163" s="174">
        <f>IF(AA163&gt;0,0,IF(Z163=$Z$90,AG163,0))</f>
        <v>0</v>
      </c>
      <c r="BR163" s="174">
        <f>IF(Z163=$Z$82,AA163*AG163,0)</f>
        <v>0</v>
      </c>
      <c r="BS163" s="174">
        <f>IF(Z163=$Z$83,AA163*AG163,0)</f>
        <v>0</v>
      </c>
      <c r="BT163" s="174">
        <f>IF(AA163&lt;1,0,IF(Z163=$Z$84,AA163*AG163,IF(Z163=$Z$93,"ERRO",IF(Z163=$Z$100,"ERRO",0))))</f>
        <v>0</v>
      </c>
      <c r="BU163" s="174">
        <f>IF(AA163&lt;1,0,IF(Z163=$Z$85,AA163*AG163,IF(Z163=$Z$93,"ERRO",IF(Z163=$Z$100,"ERRO",0))))</f>
        <v>0</v>
      </c>
      <c r="BV163" s="174">
        <f>IF(Z163=$Z$92,AA163*AG163,0)</f>
        <v>0</v>
      </c>
      <c r="BW163" s="174">
        <f>IF(Z163=$Z$91,AA163*AG163,0)</f>
        <v>0</v>
      </c>
      <c r="BX163" s="174">
        <f>IF(Z163=$Z$86,AA163*AG163,0)</f>
        <v>0</v>
      </c>
      <c r="BY163" s="174">
        <f>IF(Z163=$Z$87,AA163*AG163,0)</f>
        <v>0</v>
      </c>
      <c r="BZ163" s="174">
        <f>IF(Z163=$Z$88,AA163*AG163,0)</f>
        <v>0</v>
      </c>
      <c r="CA163" s="174">
        <f>IF(Z163=$Z$89,AA163*AG163,0)</f>
        <v>0</v>
      </c>
      <c r="CB163" s="174">
        <f>IF(Z163=$Z$90,AA163*AG163,0)</f>
        <v>0</v>
      </c>
      <c r="CC163" s="175">
        <f>IFERROR(IF(L163=$L$49,AG163*AH163*(1+AI163)*(1-AK163)*(1-AL163),0),0)</f>
        <v>296.53793999999999</v>
      </c>
      <c r="CD163" s="203">
        <f>IF(I163=$CD$97,1,IF(I163=$CD$100,2,IF(K163=$K$66,1,IF(K163=$K$69,1,3))))</f>
        <v>1</v>
      </c>
      <c r="CE163" s="203">
        <f t="shared" si="14"/>
        <v>1.07</v>
      </c>
      <c r="CF163" s="204">
        <f t="shared" si="9"/>
        <v>1.2353999999999998</v>
      </c>
      <c r="CG163" s="203">
        <f t="shared" si="15"/>
        <v>1.42</v>
      </c>
      <c r="CH163" s="204">
        <f t="shared" si="10"/>
        <v>1.5478000000000001</v>
      </c>
      <c r="CI163" s="203">
        <f t="shared" si="16"/>
        <v>1.7</v>
      </c>
      <c r="CJ163" s="205">
        <f t="shared" si="17"/>
        <v>1.0486</v>
      </c>
      <c r="CK163" s="205">
        <f t="shared" si="18"/>
        <v>1.148922</v>
      </c>
      <c r="CL163" s="205">
        <f t="shared" si="19"/>
        <v>1.3915999999999999</v>
      </c>
      <c r="CM163" s="205">
        <f t="shared" si="20"/>
        <v>1.501366</v>
      </c>
      <c r="CN163" s="206">
        <f t="shared" si="21"/>
        <v>1.6319999999999999</v>
      </c>
      <c r="CO163" s="204">
        <f t="shared" si="25"/>
        <v>1.006656</v>
      </c>
      <c r="CP163" s="207">
        <f t="shared" si="11"/>
        <v>0</v>
      </c>
      <c r="CQ163" s="208">
        <f t="shared" si="12"/>
        <v>0</v>
      </c>
      <c r="CR163" s="209">
        <f t="shared" si="13"/>
        <v>0</v>
      </c>
      <c r="CS163" s="49"/>
      <c r="CT163" s="49"/>
      <c r="CU163" s="49"/>
      <c r="CV163" s="49"/>
      <c r="CW163" s="49"/>
      <c r="CX163" s="49"/>
      <c r="CY163" s="49"/>
      <c r="CZ163" s="49"/>
      <c r="DA163" s="49"/>
      <c r="DB163" s="49"/>
      <c r="DC163" s="49"/>
      <c r="DD163" s="49"/>
      <c r="DE163" s="49"/>
      <c r="DF163" s="49"/>
      <c r="DG163" s="49"/>
      <c r="DH163" s="49"/>
      <c r="DI163" s="49"/>
      <c r="DJ163" s="49"/>
      <c r="DK163" s="49"/>
      <c r="DL163" s="49"/>
      <c r="DM163" s="49"/>
      <c r="DN163" s="49"/>
      <c r="DO163" s="49"/>
      <c r="DP163" s="49"/>
      <c r="DQ163" s="49"/>
      <c r="DR163" s="49"/>
      <c r="DS163" s="49"/>
      <c r="DT163" s="49"/>
      <c r="DU163" s="49"/>
      <c r="DV163" s="49"/>
      <c r="DW163" s="49"/>
      <c r="DX163" s="49"/>
      <c r="DY163" s="49"/>
      <c r="DZ163" s="49"/>
      <c r="EA163" s="49"/>
      <c r="EB163" s="49"/>
      <c r="EC163" s="49"/>
      <c r="ED163" s="49"/>
      <c r="EE163" s="49"/>
      <c r="EF163" s="49"/>
      <c r="EG163" s="49"/>
      <c r="EH163" s="49"/>
      <c r="EI163" s="49"/>
      <c r="EJ163" s="49"/>
      <c r="EK163" s="49"/>
      <c r="EL163" s="49"/>
      <c r="EM163" s="49"/>
      <c r="EN163" s="49"/>
      <c r="EO163" s="49"/>
      <c r="EP163" s="49"/>
      <c r="EQ163" s="49"/>
      <c r="ER163" s="49"/>
      <c r="ES163" s="49"/>
      <c r="ET163" s="49"/>
      <c r="EU163" s="49"/>
      <c r="EV163" s="49"/>
      <c r="EW163" s="49"/>
      <c r="EX163" s="49"/>
      <c r="EY163" s="49"/>
      <c r="EZ163" s="49"/>
      <c r="FA163" s="49"/>
    </row>
    <row r="164" spans="1:157" s="210" customFormat="1" ht="63.75" x14ac:dyDescent="0.25">
      <c r="A164" s="113">
        <f>IF(AND('[1]Cockpit Retorno'!$E$67=Sim,Mestre!M164=Mestre!$M$98),0,1)</f>
        <v>1</v>
      </c>
      <c r="B164" s="113">
        <f>IF(AND('[1]Cockpit Retorno'!$E$67=Sim,Mestre!L164=Mestre!$L$48),0,1)</f>
        <v>1</v>
      </c>
      <c r="C164" s="113">
        <f>IF(AND('[1]Cockpit Retorno'!$E$67=Sim,Mestre!M164=Mestre!$M$97),0,1)</f>
        <v>1</v>
      </c>
      <c r="D164" s="148" t="s">
        <v>7</v>
      </c>
      <c r="E164" s="115"/>
      <c r="F164" s="116" t="s">
        <v>107</v>
      </c>
      <c r="G164" s="149"/>
      <c r="H164" s="150" t="s">
        <v>7</v>
      </c>
      <c r="I164" s="151" t="str">
        <f t="shared" si="1"/>
        <v>Mercadorias</v>
      </c>
      <c r="J164" s="150" t="s">
        <v>15</v>
      </c>
      <c r="K164" s="152" t="s">
        <v>7</v>
      </c>
      <c r="L164" s="153" t="s">
        <v>21</v>
      </c>
      <c r="M164" s="154" t="s">
        <v>290</v>
      </c>
      <c r="N164" s="155" t="s">
        <v>309</v>
      </c>
      <c r="O164" s="155" t="s">
        <v>292</v>
      </c>
      <c r="P164" s="155" t="s">
        <v>43</v>
      </c>
      <c r="Q164" s="155" t="s">
        <v>43</v>
      </c>
      <c r="R164" s="155" t="s">
        <v>43</v>
      </c>
      <c r="S164" s="156" t="s">
        <v>43</v>
      </c>
      <c r="T164" s="156" t="s">
        <v>43</v>
      </c>
      <c r="U164" s="150" t="s">
        <v>43</v>
      </c>
      <c r="V164" s="150" t="s">
        <v>43</v>
      </c>
      <c r="W164" s="150" t="s">
        <v>43</v>
      </c>
      <c r="X164" s="157" t="s">
        <v>318</v>
      </c>
      <c r="Y164" s="150"/>
      <c r="Z164" s="150"/>
      <c r="AA164" s="158">
        <v>0</v>
      </c>
      <c r="AB164" s="155" t="s">
        <v>43</v>
      </c>
      <c r="AC164" s="150" t="s">
        <v>43</v>
      </c>
      <c r="AD164" s="155" t="s">
        <v>43</v>
      </c>
      <c r="AE164" s="155"/>
      <c r="AF164" s="150" t="s">
        <v>43</v>
      </c>
      <c r="AG164" s="159">
        <v>30</v>
      </c>
      <c r="AH164" s="159">
        <v>72.967800000000011</v>
      </c>
      <c r="AI164" s="202">
        <v>0</v>
      </c>
      <c r="AJ164" s="161">
        <v>7.0000000000000007E-2</v>
      </c>
      <c r="AK164" s="162">
        <v>0.05</v>
      </c>
      <c r="AL164" s="163"/>
      <c r="AM164" s="164">
        <f>(((IF(L164=$L$101,1,IF(L164=$L$47,1,0))*(AH164*(1-AK164)))*AG164)*(1-AL164))</f>
        <v>0</v>
      </c>
      <c r="AN164" s="165">
        <f>IF(K164=$K$50,AM164,IF(K164=$K$53,AM164,IF(K164=$K$54,AM164,IF(K164=$K$55,AM164,IF(K164=$K$56,AM164,IF(K164=$K$57,AM164,IF(K164=$K$58,AM164,IF(K164=$K$65,AM164,IF(K164=$K$66,AM164,IF(K164=$K$67,AM164,IF(K164=$K$68,AM164,IF(K164=$K$69,AM164,IF(K164=$K$51,AM164,(AM164*(1+AI164)))))))))))))))</f>
        <v>0</v>
      </c>
      <c r="AO164" s="166">
        <v>1.4</v>
      </c>
      <c r="AP164" s="160">
        <f t="shared" si="2"/>
        <v>0</v>
      </c>
      <c r="AQ164" s="167">
        <f t="shared" si="24"/>
        <v>0</v>
      </c>
      <c r="AR164" s="160">
        <f t="shared" si="4"/>
        <v>0</v>
      </c>
      <c r="AS164" s="168">
        <f t="shared" si="5"/>
        <v>0</v>
      </c>
      <c r="AT164" s="169" t="str">
        <f>K164</f>
        <v>MI</v>
      </c>
      <c r="AU164" s="169" t="str">
        <f>I164</f>
        <v>Mercadorias</v>
      </c>
      <c r="AV164" s="170"/>
      <c r="AW164" s="171">
        <f>IF(K164=$K$50,0,IF(K164=$K$53,0,IF(K164=$K$54,0,IF(K164=$K$55,0,IF(K164=$K$56,0,IF(K164=$K$57,0,IF(K164=$K$58,0,IF(K164=$K$65,0,IF(K164=$K$66,0,IF(K164=$K$67,0,IF(K164=$K$68,0,IF(K164=$K$69,0,IF(K164=$K$51,0,1))))))))))))*AM164*AI164)</f>
        <v>0</v>
      </c>
      <c r="AX164" s="172">
        <f>IF(K164=$K$50,0,IF(K164=$K$53,0,IF(K164=$K$54,0,IF(K164=$K$55,0,IF(K164=$K$56,0,IF(K164=$K$57,0,IF(K164=$K$58,0,IF(K164=$K$65,0,IF(K164=$K$66,0,IF(K164=$K$67,0,IF(K164=$K$68,0,IF(K164=$K$69,0,IF(K164=$K$51,0,1))))))))))))*AM164*AJ164*$AX$94)</f>
        <v>0</v>
      </c>
      <c r="AY164" s="172">
        <f>IF(K164=$K$53,0,IF(K164=$K$54,0,IF(K164=$K$55,0,IF(K164=$K$56,0,IF(K164=$K$58,0,IF(K164=$K$50,0,IF(K164=$K$65,0,IF(K164=$K$57,0,IF(K164=$K$51,0,AM164*$AY$102)))))))))</f>
        <v>0</v>
      </c>
      <c r="AZ164" s="172">
        <f>IF(K164=$K$53,0,IF(K164=$K$54,0,IF(K164=$K$55,0,IF(K164=$K$56,0,IF(K164=$K$58,0,IF(K164=$K$50,0,IF(K164=$K$65,0,IF(K164=$K$57,0,IF(K164=$K$51,0,AM164*$AZ$102)))))))))</f>
        <v>0</v>
      </c>
      <c r="BA164" s="172">
        <f t="shared" si="6"/>
        <v>0</v>
      </c>
      <c r="BB164" s="173">
        <f>IF($BA$97=1,AQ164*$BB$102,IF(K164=$K$50,0,IF(K164=$K$53,0,IF(K164=$K$54,0,IF(K164=$K$55,0,IF(K164=$K$56,0,IF(K164=$K$57,0,IF(K164=$K$58,0,IF(K164=$K$65,0,IF(K164=$K$66,0,IF(K164=$K$67,0,IF(K164=$K$68,0,IF(K164=$K$69,0,IF(K164=$K$51,0,1)))))))))))*AQ164*$BB$102)))</f>
        <v>0</v>
      </c>
      <c r="BC164" s="172">
        <f t="shared" si="7"/>
        <v>0</v>
      </c>
      <c r="BD164" s="172">
        <f t="shared" si="8"/>
        <v>0</v>
      </c>
      <c r="BE164" s="172">
        <f>IF($BE$95=I164,$BE$97,IF(I164=$BE$96,$BE$97,1))*($BE$102*AQ164)*$AZ$97</f>
        <v>0</v>
      </c>
      <c r="BF164" s="172">
        <f>IF('[1]Cockpit Retorno'!$C$65=Sim,Mestre!BA164,SUM(BB164:BE164)+(IF(K164=$K$56,AQ164*MOE_IRRF_LR,0)))</f>
        <v>0</v>
      </c>
      <c r="BG164" s="174">
        <f>IF(AA164&gt;0,0,IF(Z164=$Z$82,AG164*1,(IF(Z164=$Z$81,AG164*1,0))))</f>
        <v>0</v>
      </c>
      <c r="BH164" s="174">
        <f>IF(AA164&gt;0,0,IF(Z164=$Z$83,AG164*1,IF(Z164=$Z$81,AG164*1,0)))</f>
        <v>0</v>
      </c>
      <c r="BI164" s="174">
        <f>IF(AA164&gt;0,0,IF(Z164=$Z$84,AG164*1,IF(Z164=$Z$93,AG164*2,IF(Z164=$Z$100,AG164,IF(Z164=$Z$81,AG164*2,IF(Z164=$Z$80,AG164*1,IF(Z164=$Z$79,AG164*3,IF(Z164=$Z$78,AG164*2,0))))))))</f>
        <v>0</v>
      </c>
      <c r="BJ164" s="174">
        <f>IF(AA164&gt;0,0,IF(Z164=$Z$85,AG164,IF(Z164=$Z$93,AG164,IF(Z164=$Z$100,AG164,IF(Z164=$Z$81,AG164*1,IF(Z164=$Z$80,AG164*2,IF(Z164=$Z$79,AG164*2,IF(Z164=$Z$78,AG164*2,0))))))))</f>
        <v>0</v>
      </c>
      <c r="BK164" s="174">
        <f>IF(AA164&gt;0,0,IF(Z164=$Z$92,AG164,0))</f>
        <v>0</v>
      </c>
      <c r="BL164" s="174">
        <f>IF(AA164&gt;0,0,IF(Z164=$Z$91,AG164,0))</f>
        <v>0</v>
      </c>
      <c r="BM164" s="174">
        <f>IF(AA164&gt;0,0,IF(Z164=$Z$86,AG164,0))</f>
        <v>0</v>
      </c>
      <c r="BN164" s="174">
        <f>IF(AA164&gt;0,0,IF(Z164=$Z$87,AG164,0))</f>
        <v>0</v>
      </c>
      <c r="BO164" s="174">
        <f>IF(AA164&gt;0,0,IF(Z164=$Z$88,AG164,0))</f>
        <v>0</v>
      </c>
      <c r="BP164" s="174">
        <f>IF(AA164&gt;0,0,IF(Z164=$Z$89,AG164,0))</f>
        <v>0</v>
      </c>
      <c r="BQ164" s="174">
        <f>IF(AA164&gt;0,0,IF(Z164=$Z$90,AG164,0))</f>
        <v>0</v>
      </c>
      <c r="BR164" s="174">
        <f>IF(Z164=$Z$82,AA164*AG164,0)</f>
        <v>0</v>
      </c>
      <c r="BS164" s="174">
        <f>IF(Z164=$Z$83,AA164*AG164,0)</f>
        <v>0</v>
      </c>
      <c r="BT164" s="174">
        <f>IF(AA164&lt;1,0,IF(Z164=$Z$84,AA164*AG164,IF(Z164=$Z$93,"ERRO",IF(Z164=$Z$100,"ERRO",0))))</f>
        <v>0</v>
      </c>
      <c r="BU164" s="174">
        <f>IF(AA164&lt;1,0,IF(Z164=$Z$85,AA164*AG164,IF(Z164=$Z$93,"ERRO",IF(Z164=$Z$100,"ERRO",0))))</f>
        <v>0</v>
      </c>
      <c r="BV164" s="174">
        <f>IF(Z164=$Z$92,AA164*AG164,0)</f>
        <v>0</v>
      </c>
      <c r="BW164" s="174">
        <f>IF(Z164=$Z$91,AA164*AG164,0)</f>
        <v>0</v>
      </c>
      <c r="BX164" s="174">
        <f>IF(Z164=$Z$86,AA164*AG164,0)</f>
        <v>0</v>
      </c>
      <c r="BY164" s="174">
        <f>IF(Z164=$Z$87,AA164*AG164,0)</f>
        <v>0</v>
      </c>
      <c r="BZ164" s="174">
        <f>IF(Z164=$Z$88,AA164*AG164,0)</f>
        <v>0</v>
      </c>
      <c r="CA164" s="174">
        <f>IF(Z164=$Z$89,AA164*AG164,0)</f>
        <v>0</v>
      </c>
      <c r="CB164" s="174">
        <f>IF(Z164=$Z$90,AA164*AG164,0)</f>
        <v>0</v>
      </c>
      <c r="CC164" s="175">
        <f>IFERROR(IF(L164=$L$49,AG164*AH164*(1+AI164)*(1-AK164)*(1-AL164),0),0)</f>
        <v>2079.5823000000005</v>
      </c>
      <c r="CD164" s="203">
        <f>IF(I164=$CD$97,1,IF(I164=$CD$100,2,IF(K164=$K$66,1,IF(K164=$K$69,1,3))))</f>
        <v>1</v>
      </c>
      <c r="CE164" s="203">
        <f t="shared" si="14"/>
        <v>1.07</v>
      </c>
      <c r="CF164" s="204">
        <f t="shared" si="9"/>
        <v>1.2353999999999998</v>
      </c>
      <c r="CG164" s="203">
        <f t="shared" si="15"/>
        <v>1.42</v>
      </c>
      <c r="CH164" s="204">
        <f t="shared" si="10"/>
        <v>1.5478000000000001</v>
      </c>
      <c r="CI164" s="203">
        <f t="shared" si="16"/>
        <v>1.7</v>
      </c>
      <c r="CJ164" s="205">
        <f t="shared" si="17"/>
        <v>1.0486</v>
      </c>
      <c r="CK164" s="205">
        <f t="shared" si="18"/>
        <v>1.148922</v>
      </c>
      <c r="CL164" s="205">
        <f t="shared" si="19"/>
        <v>1.3915999999999999</v>
      </c>
      <c r="CM164" s="205">
        <f t="shared" si="20"/>
        <v>1.501366</v>
      </c>
      <c r="CN164" s="206">
        <f t="shared" si="21"/>
        <v>1.6319999999999999</v>
      </c>
      <c r="CO164" s="204">
        <f t="shared" si="25"/>
        <v>1.006656</v>
      </c>
      <c r="CP164" s="207">
        <f t="shared" si="11"/>
        <v>0</v>
      </c>
      <c r="CQ164" s="208">
        <f t="shared" si="12"/>
        <v>0</v>
      </c>
      <c r="CR164" s="209">
        <f t="shared" si="13"/>
        <v>0</v>
      </c>
      <c r="CS164" s="49"/>
      <c r="CT164" s="49"/>
      <c r="CU164" s="49"/>
      <c r="CV164" s="49"/>
      <c r="CW164" s="49"/>
      <c r="CX164" s="49"/>
      <c r="CY164" s="49"/>
      <c r="CZ164" s="49"/>
      <c r="DA164" s="49"/>
      <c r="DB164" s="49"/>
      <c r="DC164" s="49"/>
      <c r="DD164" s="49"/>
      <c r="DE164" s="49"/>
      <c r="DF164" s="49"/>
      <c r="DG164" s="49"/>
      <c r="DH164" s="49"/>
      <c r="DI164" s="49"/>
      <c r="DJ164" s="49"/>
      <c r="DK164" s="49"/>
      <c r="DL164" s="49"/>
      <c r="DM164" s="49"/>
      <c r="DN164" s="49"/>
      <c r="DO164" s="49"/>
      <c r="DP164" s="49"/>
      <c r="DQ164" s="49"/>
      <c r="DR164" s="49"/>
      <c r="DS164" s="49"/>
      <c r="DT164" s="49"/>
      <c r="DU164" s="49"/>
      <c r="DV164" s="49"/>
      <c r="DW164" s="49"/>
      <c r="DX164" s="49"/>
      <c r="DY164" s="49"/>
      <c r="DZ164" s="49"/>
      <c r="EA164" s="49"/>
      <c r="EB164" s="49"/>
      <c r="EC164" s="49"/>
      <c r="ED164" s="49"/>
      <c r="EE164" s="49"/>
      <c r="EF164" s="49"/>
      <c r="EG164" s="49"/>
      <c r="EH164" s="49"/>
      <c r="EI164" s="49"/>
      <c r="EJ164" s="49"/>
      <c r="EK164" s="49"/>
      <c r="EL164" s="49"/>
      <c r="EM164" s="49"/>
      <c r="EN164" s="49"/>
      <c r="EO164" s="49"/>
      <c r="EP164" s="49"/>
      <c r="EQ164" s="49"/>
      <c r="ER164" s="49"/>
      <c r="ES164" s="49"/>
      <c r="ET164" s="49"/>
      <c r="EU164" s="49"/>
      <c r="EV164" s="49"/>
      <c r="EW164" s="49"/>
      <c r="EX164" s="49"/>
      <c r="EY164" s="49"/>
      <c r="EZ164" s="49"/>
      <c r="FA164" s="49"/>
    </row>
    <row r="165" spans="1:157" s="210" customFormat="1" ht="63.75" x14ac:dyDescent="0.25">
      <c r="A165" s="113">
        <f>IF(AND('[1]Cockpit Retorno'!$E$67=Sim,Mestre!M165=Mestre!$M$98),0,1)</f>
        <v>1</v>
      </c>
      <c r="B165" s="113">
        <f>IF(AND('[1]Cockpit Retorno'!$E$67=Sim,Mestre!L165=Mestre!$L$48),0,1)</f>
        <v>1</v>
      </c>
      <c r="C165" s="113">
        <f>IF(AND('[1]Cockpit Retorno'!$E$67=Sim,Mestre!M165=Mestre!$M$97),0,1)</f>
        <v>1</v>
      </c>
      <c r="D165" s="148" t="s">
        <v>7</v>
      </c>
      <c r="E165" s="115"/>
      <c r="F165" s="116" t="s">
        <v>107</v>
      </c>
      <c r="G165" s="149"/>
      <c r="H165" s="150" t="s">
        <v>7</v>
      </c>
      <c r="I165" s="151" t="str">
        <f t="shared" si="1"/>
        <v>Mercadorias</v>
      </c>
      <c r="J165" s="150" t="s">
        <v>15</v>
      </c>
      <c r="K165" s="152" t="s">
        <v>7</v>
      </c>
      <c r="L165" s="153" t="s">
        <v>21</v>
      </c>
      <c r="M165" s="154" t="s">
        <v>290</v>
      </c>
      <c r="N165" s="155" t="s">
        <v>309</v>
      </c>
      <c r="O165" s="155" t="s">
        <v>292</v>
      </c>
      <c r="P165" s="155" t="s">
        <v>43</v>
      </c>
      <c r="Q165" s="155" t="s">
        <v>43</v>
      </c>
      <c r="R165" s="155" t="s">
        <v>43</v>
      </c>
      <c r="S165" s="156" t="s">
        <v>43</v>
      </c>
      <c r="T165" s="156" t="s">
        <v>43</v>
      </c>
      <c r="U165" s="150" t="s">
        <v>43</v>
      </c>
      <c r="V165" s="150" t="s">
        <v>43</v>
      </c>
      <c r="W165" s="150" t="s">
        <v>43</v>
      </c>
      <c r="X165" s="157" t="s">
        <v>319</v>
      </c>
      <c r="Y165" s="150"/>
      <c r="Z165" s="150"/>
      <c r="AA165" s="158">
        <v>0</v>
      </c>
      <c r="AB165" s="155" t="s">
        <v>43</v>
      </c>
      <c r="AC165" s="150" t="s">
        <v>43</v>
      </c>
      <c r="AD165" s="155" t="s">
        <v>43</v>
      </c>
      <c r="AE165" s="155"/>
      <c r="AF165" s="150" t="s">
        <v>43</v>
      </c>
      <c r="AG165" s="159">
        <v>4</v>
      </c>
      <c r="AH165" s="159">
        <v>133.4736</v>
      </c>
      <c r="AI165" s="202">
        <v>0</v>
      </c>
      <c r="AJ165" s="161">
        <v>7.0000000000000007E-2</v>
      </c>
      <c r="AK165" s="162">
        <v>0.05</v>
      </c>
      <c r="AL165" s="163"/>
      <c r="AM165" s="164">
        <f>(((IF(L165=$L$101,1,IF(L165=$L$47,1,0))*(AH165*(1-AK165)))*AG165)*(1-AL165))</f>
        <v>0</v>
      </c>
      <c r="AN165" s="165">
        <f>IF(K165=$K$50,AM165,IF(K165=$K$53,AM165,IF(K165=$K$54,AM165,IF(K165=$K$55,AM165,IF(K165=$K$56,AM165,IF(K165=$K$57,AM165,IF(K165=$K$58,AM165,IF(K165=$K$65,AM165,IF(K165=$K$66,AM165,IF(K165=$K$67,AM165,IF(K165=$K$68,AM165,IF(K165=$K$69,AM165,IF(K165=$K$51,AM165,(AM165*(1+AI165)))))))))))))))</f>
        <v>0</v>
      </c>
      <c r="AO165" s="166">
        <v>1.4</v>
      </c>
      <c r="AP165" s="160">
        <f t="shared" si="2"/>
        <v>0</v>
      </c>
      <c r="AQ165" s="167">
        <f t="shared" si="24"/>
        <v>0</v>
      </c>
      <c r="AR165" s="160">
        <f t="shared" si="4"/>
        <v>0</v>
      </c>
      <c r="AS165" s="168">
        <f t="shared" si="5"/>
        <v>0</v>
      </c>
      <c r="AT165" s="169" t="str">
        <f>K165</f>
        <v>MI</v>
      </c>
      <c r="AU165" s="169" t="str">
        <f>I165</f>
        <v>Mercadorias</v>
      </c>
      <c r="AV165" s="170"/>
      <c r="AW165" s="171">
        <f>IF(K165=$K$50,0,IF(K165=$K$53,0,IF(K165=$K$54,0,IF(K165=$K$55,0,IF(K165=$K$56,0,IF(K165=$K$57,0,IF(K165=$K$58,0,IF(K165=$K$65,0,IF(K165=$K$66,0,IF(K165=$K$67,0,IF(K165=$K$68,0,IF(K165=$K$69,0,IF(K165=$K$51,0,1))))))))))))*AM165*AI165)</f>
        <v>0</v>
      </c>
      <c r="AX165" s="172">
        <f>IF(K165=$K$50,0,IF(K165=$K$53,0,IF(K165=$K$54,0,IF(K165=$K$55,0,IF(K165=$K$56,0,IF(K165=$K$57,0,IF(K165=$K$58,0,IF(K165=$K$65,0,IF(K165=$K$66,0,IF(K165=$K$67,0,IF(K165=$K$68,0,IF(K165=$K$69,0,IF(K165=$K$51,0,1))))))))))))*AM165*AJ165*$AX$94)</f>
        <v>0</v>
      </c>
      <c r="AY165" s="172">
        <f>IF(K165=$K$53,0,IF(K165=$K$54,0,IF(K165=$K$55,0,IF(K165=$K$56,0,IF(K165=$K$58,0,IF(K165=$K$50,0,IF(K165=$K$65,0,IF(K165=$K$57,0,IF(K165=$K$51,0,AM165*$AY$102)))))))))</f>
        <v>0</v>
      </c>
      <c r="AZ165" s="172">
        <f>IF(K165=$K$53,0,IF(K165=$K$54,0,IF(K165=$K$55,0,IF(K165=$K$56,0,IF(K165=$K$58,0,IF(K165=$K$50,0,IF(K165=$K$65,0,IF(K165=$K$57,0,IF(K165=$K$51,0,AM165*$AZ$102)))))))))</f>
        <v>0</v>
      </c>
      <c r="BA165" s="172">
        <f t="shared" si="6"/>
        <v>0</v>
      </c>
      <c r="BB165" s="173">
        <f>IF($BA$97=1,AQ165*$BB$102,IF(K165=$K$50,0,IF(K165=$K$53,0,IF(K165=$K$54,0,IF(K165=$K$55,0,IF(K165=$K$56,0,IF(K165=$K$57,0,IF(K165=$K$58,0,IF(K165=$K$65,0,IF(K165=$K$66,0,IF(K165=$K$67,0,IF(K165=$K$68,0,IF(K165=$K$69,0,IF(K165=$K$51,0,1)))))))))))*AQ165*$BB$102)))</f>
        <v>0</v>
      </c>
      <c r="BC165" s="172">
        <f t="shared" si="7"/>
        <v>0</v>
      </c>
      <c r="BD165" s="172">
        <f t="shared" si="8"/>
        <v>0</v>
      </c>
      <c r="BE165" s="172">
        <f>IF($BE$95=I165,$BE$97,IF(I165=$BE$96,$BE$97,1))*($BE$102*AQ165)*$AZ$97</f>
        <v>0</v>
      </c>
      <c r="BF165" s="172">
        <f>IF('[1]Cockpit Retorno'!$C$65=Sim,Mestre!BA165,SUM(BB165:BE165)+(IF(K165=$K$56,AQ165*MOE_IRRF_LR,0)))</f>
        <v>0</v>
      </c>
      <c r="BG165" s="174">
        <f>IF(AA165&gt;0,0,IF(Z165=$Z$82,AG165*1,(IF(Z165=$Z$81,AG165*1,0))))</f>
        <v>0</v>
      </c>
      <c r="BH165" s="174">
        <f>IF(AA165&gt;0,0,IF(Z165=$Z$83,AG165*1,IF(Z165=$Z$81,AG165*1,0)))</f>
        <v>0</v>
      </c>
      <c r="BI165" s="174">
        <f>IF(AA165&gt;0,0,IF(Z165=$Z$84,AG165*1,IF(Z165=$Z$93,AG165*2,IF(Z165=$Z$100,AG165,IF(Z165=$Z$81,AG165*2,IF(Z165=$Z$80,AG165*1,IF(Z165=$Z$79,AG165*3,IF(Z165=$Z$78,AG165*2,0))))))))</f>
        <v>0</v>
      </c>
      <c r="BJ165" s="174">
        <f>IF(AA165&gt;0,0,IF(Z165=$Z$85,AG165,IF(Z165=$Z$93,AG165,IF(Z165=$Z$100,AG165,IF(Z165=$Z$81,AG165*1,IF(Z165=$Z$80,AG165*2,IF(Z165=$Z$79,AG165*2,IF(Z165=$Z$78,AG165*2,0))))))))</f>
        <v>0</v>
      </c>
      <c r="BK165" s="174">
        <f>IF(AA165&gt;0,0,IF(Z165=$Z$92,AG165,0))</f>
        <v>0</v>
      </c>
      <c r="BL165" s="174">
        <f>IF(AA165&gt;0,0,IF(Z165=$Z$91,AG165,0))</f>
        <v>0</v>
      </c>
      <c r="BM165" s="174">
        <f>IF(AA165&gt;0,0,IF(Z165=$Z$86,AG165,0))</f>
        <v>0</v>
      </c>
      <c r="BN165" s="174">
        <f>IF(AA165&gt;0,0,IF(Z165=$Z$87,AG165,0))</f>
        <v>0</v>
      </c>
      <c r="BO165" s="174">
        <f>IF(AA165&gt;0,0,IF(Z165=$Z$88,AG165,0))</f>
        <v>0</v>
      </c>
      <c r="BP165" s="174">
        <f>IF(AA165&gt;0,0,IF(Z165=$Z$89,AG165,0))</f>
        <v>0</v>
      </c>
      <c r="BQ165" s="174">
        <f>IF(AA165&gt;0,0,IF(Z165=$Z$90,AG165,0))</f>
        <v>0</v>
      </c>
      <c r="BR165" s="174">
        <f>IF(Z165=$Z$82,AA165*AG165,0)</f>
        <v>0</v>
      </c>
      <c r="BS165" s="174">
        <f>IF(Z165=$Z$83,AA165*AG165,0)</f>
        <v>0</v>
      </c>
      <c r="BT165" s="174">
        <f>IF(AA165&lt;1,0,IF(Z165=$Z$84,AA165*AG165,IF(Z165=$Z$93,"ERRO",IF(Z165=$Z$100,"ERRO",0))))</f>
        <v>0</v>
      </c>
      <c r="BU165" s="174">
        <f>IF(AA165&lt;1,0,IF(Z165=$Z$85,AA165*AG165,IF(Z165=$Z$93,"ERRO",IF(Z165=$Z$100,"ERRO",0))))</f>
        <v>0</v>
      </c>
      <c r="BV165" s="174">
        <f>IF(Z165=$Z$92,AA165*AG165,0)</f>
        <v>0</v>
      </c>
      <c r="BW165" s="174">
        <f>IF(Z165=$Z$91,AA165*AG165,0)</f>
        <v>0</v>
      </c>
      <c r="BX165" s="174">
        <f>IF(Z165=$Z$86,AA165*AG165,0)</f>
        <v>0</v>
      </c>
      <c r="BY165" s="174">
        <f>IF(Z165=$Z$87,AA165*AG165,0)</f>
        <v>0</v>
      </c>
      <c r="BZ165" s="174">
        <f>IF(Z165=$Z$88,AA165*AG165,0)</f>
        <v>0</v>
      </c>
      <c r="CA165" s="174">
        <f>IF(Z165=$Z$89,AA165*AG165,0)</f>
        <v>0</v>
      </c>
      <c r="CB165" s="174">
        <f>IF(Z165=$Z$90,AA165*AG165,0)</f>
        <v>0</v>
      </c>
      <c r="CC165" s="175">
        <f>IFERROR(IF(L165=$L$49,AG165*AH165*(1+AI165)*(1-AK165)*(1-AL165),0),0)</f>
        <v>507.19968</v>
      </c>
      <c r="CD165" s="203">
        <f>IF(I165=$CD$97,1,IF(I165=$CD$100,2,IF(K165=$K$66,1,IF(K165=$K$69,1,3))))</f>
        <v>1</v>
      </c>
      <c r="CE165" s="203">
        <f t="shared" si="14"/>
        <v>1.07</v>
      </c>
      <c r="CF165" s="204">
        <f t="shared" si="9"/>
        <v>1.2353999999999998</v>
      </c>
      <c r="CG165" s="203">
        <f t="shared" si="15"/>
        <v>1.42</v>
      </c>
      <c r="CH165" s="204">
        <f t="shared" si="10"/>
        <v>1.5478000000000001</v>
      </c>
      <c r="CI165" s="203">
        <f t="shared" si="16"/>
        <v>1.7</v>
      </c>
      <c r="CJ165" s="205">
        <f t="shared" si="17"/>
        <v>1.0486</v>
      </c>
      <c r="CK165" s="205">
        <f t="shared" si="18"/>
        <v>1.148922</v>
      </c>
      <c r="CL165" s="205">
        <f t="shared" si="19"/>
        <v>1.3915999999999999</v>
      </c>
      <c r="CM165" s="205">
        <f t="shared" si="20"/>
        <v>1.501366</v>
      </c>
      <c r="CN165" s="206">
        <f t="shared" si="21"/>
        <v>1.6319999999999999</v>
      </c>
      <c r="CO165" s="204">
        <f t="shared" si="25"/>
        <v>1.006656</v>
      </c>
      <c r="CP165" s="207">
        <f t="shared" si="11"/>
        <v>0</v>
      </c>
      <c r="CQ165" s="208">
        <f t="shared" si="12"/>
        <v>0</v>
      </c>
      <c r="CR165" s="209">
        <f t="shared" si="13"/>
        <v>0</v>
      </c>
      <c r="CS165" s="49"/>
      <c r="CT165" s="49"/>
      <c r="CU165" s="49"/>
      <c r="CV165" s="49"/>
      <c r="CW165" s="49"/>
      <c r="CX165" s="49"/>
      <c r="CY165" s="49"/>
      <c r="CZ165" s="49"/>
      <c r="DA165" s="49"/>
      <c r="DB165" s="49"/>
      <c r="DC165" s="49"/>
      <c r="DD165" s="49"/>
      <c r="DE165" s="49"/>
      <c r="DF165" s="49"/>
      <c r="DG165" s="49"/>
      <c r="DH165" s="49"/>
      <c r="DI165" s="49"/>
      <c r="DJ165" s="49"/>
      <c r="DK165" s="49"/>
      <c r="DL165" s="49"/>
      <c r="DM165" s="49"/>
      <c r="DN165" s="49"/>
      <c r="DO165" s="49"/>
      <c r="DP165" s="49"/>
      <c r="DQ165" s="49"/>
      <c r="DR165" s="49"/>
      <c r="DS165" s="49"/>
      <c r="DT165" s="49"/>
      <c r="DU165" s="49"/>
      <c r="DV165" s="49"/>
      <c r="DW165" s="49"/>
      <c r="DX165" s="49"/>
      <c r="DY165" s="49"/>
      <c r="DZ165" s="49"/>
      <c r="EA165" s="49"/>
      <c r="EB165" s="49"/>
      <c r="EC165" s="49"/>
      <c r="ED165" s="49"/>
      <c r="EE165" s="49"/>
      <c r="EF165" s="49"/>
      <c r="EG165" s="49"/>
      <c r="EH165" s="49"/>
      <c r="EI165" s="49"/>
      <c r="EJ165" s="49"/>
      <c r="EK165" s="49"/>
      <c r="EL165" s="49"/>
      <c r="EM165" s="49"/>
      <c r="EN165" s="49"/>
      <c r="EO165" s="49"/>
      <c r="EP165" s="49"/>
      <c r="EQ165" s="49"/>
      <c r="ER165" s="49"/>
      <c r="ES165" s="49"/>
      <c r="ET165" s="49"/>
      <c r="EU165" s="49"/>
      <c r="EV165" s="49"/>
      <c r="EW165" s="49"/>
      <c r="EX165" s="49"/>
      <c r="EY165" s="49"/>
      <c r="EZ165" s="49"/>
      <c r="FA165" s="49"/>
    </row>
    <row r="166" spans="1:157" s="210" customFormat="1" ht="63.75" x14ac:dyDescent="0.25">
      <c r="A166" s="113">
        <f>IF(AND('[1]Cockpit Retorno'!$E$67=Sim,Mestre!M166=Mestre!$M$98),0,1)</f>
        <v>1</v>
      </c>
      <c r="B166" s="113">
        <f>IF(AND('[1]Cockpit Retorno'!$E$67=Sim,Mestre!L166=Mestre!$L$48),0,1)</f>
        <v>1</v>
      </c>
      <c r="C166" s="113">
        <f>IF(AND('[1]Cockpit Retorno'!$E$67=Sim,Mestre!M166=Mestre!$M$97),0,1)</f>
        <v>1</v>
      </c>
      <c r="D166" s="148" t="s">
        <v>7</v>
      </c>
      <c r="E166" s="115"/>
      <c r="F166" s="116" t="s">
        <v>107</v>
      </c>
      <c r="G166" s="149"/>
      <c r="H166" s="150" t="s">
        <v>7</v>
      </c>
      <c r="I166" s="151" t="str">
        <f t="shared" si="1"/>
        <v>Mercadorias</v>
      </c>
      <c r="J166" s="150" t="s">
        <v>15</v>
      </c>
      <c r="K166" s="152" t="s">
        <v>7</v>
      </c>
      <c r="L166" s="153" t="s">
        <v>21</v>
      </c>
      <c r="M166" s="154" t="s">
        <v>290</v>
      </c>
      <c r="N166" s="155" t="s">
        <v>309</v>
      </c>
      <c r="O166" s="155" t="s">
        <v>292</v>
      </c>
      <c r="P166" s="155" t="s">
        <v>43</v>
      </c>
      <c r="Q166" s="155" t="s">
        <v>43</v>
      </c>
      <c r="R166" s="155" t="s">
        <v>43</v>
      </c>
      <c r="S166" s="156" t="s">
        <v>43</v>
      </c>
      <c r="T166" s="156" t="s">
        <v>43</v>
      </c>
      <c r="U166" s="150" t="s">
        <v>43</v>
      </c>
      <c r="V166" s="150" t="s">
        <v>43</v>
      </c>
      <c r="W166" s="150" t="s">
        <v>43</v>
      </c>
      <c r="X166" s="157" t="s">
        <v>320</v>
      </c>
      <c r="Y166" s="150"/>
      <c r="Z166" s="150"/>
      <c r="AA166" s="158">
        <v>0</v>
      </c>
      <c r="AB166" s="155" t="s">
        <v>43</v>
      </c>
      <c r="AC166" s="150" t="s">
        <v>43</v>
      </c>
      <c r="AD166" s="155" t="s">
        <v>43</v>
      </c>
      <c r="AE166" s="155"/>
      <c r="AF166" s="150" t="s">
        <v>43</v>
      </c>
      <c r="AG166" s="159">
        <v>25</v>
      </c>
      <c r="AH166" s="159">
        <v>223.20000000000002</v>
      </c>
      <c r="AI166" s="202">
        <v>0</v>
      </c>
      <c r="AJ166" s="161">
        <v>7.0000000000000007E-2</v>
      </c>
      <c r="AK166" s="162">
        <v>0.05</v>
      </c>
      <c r="AL166" s="163"/>
      <c r="AM166" s="164">
        <f>(((IF(L166=$L$101,1,IF(L166=$L$47,1,0))*(AH166*(1-AK166)))*AG166)*(1-AL166))</f>
        <v>0</v>
      </c>
      <c r="AN166" s="165">
        <f>IF(K166=$K$50,AM166,IF(K166=$K$53,AM166,IF(K166=$K$54,AM166,IF(K166=$K$55,AM166,IF(K166=$K$56,AM166,IF(K166=$K$57,AM166,IF(K166=$K$58,AM166,IF(K166=$K$65,AM166,IF(K166=$K$66,AM166,IF(K166=$K$67,AM166,IF(K166=$K$68,AM166,IF(K166=$K$69,AM166,IF(K166=$K$51,AM166,(AM166*(1+AI166)))))))))))))))</f>
        <v>0</v>
      </c>
      <c r="AO166" s="166">
        <v>1.4</v>
      </c>
      <c r="AP166" s="160">
        <f t="shared" si="2"/>
        <v>0</v>
      </c>
      <c r="AQ166" s="167">
        <f t="shared" si="24"/>
        <v>0</v>
      </c>
      <c r="AR166" s="160">
        <f t="shared" si="4"/>
        <v>0</v>
      </c>
      <c r="AS166" s="168">
        <f t="shared" si="5"/>
        <v>0</v>
      </c>
      <c r="AT166" s="169" t="str">
        <f>K166</f>
        <v>MI</v>
      </c>
      <c r="AU166" s="169" t="str">
        <f>I166</f>
        <v>Mercadorias</v>
      </c>
      <c r="AV166" s="170"/>
      <c r="AW166" s="171">
        <f>IF(K166=$K$50,0,IF(K166=$K$53,0,IF(K166=$K$54,0,IF(K166=$K$55,0,IF(K166=$K$56,0,IF(K166=$K$57,0,IF(K166=$K$58,0,IF(K166=$K$65,0,IF(K166=$K$66,0,IF(K166=$K$67,0,IF(K166=$K$68,0,IF(K166=$K$69,0,IF(K166=$K$51,0,1))))))))))))*AM166*AI166)</f>
        <v>0</v>
      </c>
      <c r="AX166" s="172">
        <f>IF(K166=$K$50,0,IF(K166=$K$53,0,IF(K166=$K$54,0,IF(K166=$K$55,0,IF(K166=$K$56,0,IF(K166=$K$57,0,IF(K166=$K$58,0,IF(K166=$K$65,0,IF(K166=$K$66,0,IF(K166=$K$67,0,IF(K166=$K$68,0,IF(K166=$K$69,0,IF(K166=$K$51,0,1))))))))))))*AM166*AJ166*$AX$94)</f>
        <v>0</v>
      </c>
      <c r="AY166" s="172">
        <f>IF(K166=$K$53,0,IF(K166=$K$54,0,IF(K166=$K$55,0,IF(K166=$K$56,0,IF(K166=$K$58,0,IF(K166=$K$50,0,IF(K166=$K$65,0,IF(K166=$K$57,0,IF(K166=$K$51,0,AM166*$AY$102)))))))))</f>
        <v>0</v>
      </c>
      <c r="AZ166" s="172">
        <f>IF(K166=$K$53,0,IF(K166=$K$54,0,IF(K166=$K$55,0,IF(K166=$K$56,0,IF(K166=$K$58,0,IF(K166=$K$50,0,IF(K166=$K$65,0,IF(K166=$K$57,0,IF(K166=$K$51,0,AM166*$AZ$102)))))))))</f>
        <v>0</v>
      </c>
      <c r="BA166" s="172">
        <f t="shared" si="6"/>
        <v>0</v>
      </c>
      <c r="BB166" s="173">
        <f>IF($BA$97=1,AQ166*$BB$102,IF(K166=$K$50,0,IF(K166=$K$53,0,IF(K166=$K$54,0,IF(K166=$K$55,0,IF(K166=$K$56,0,IF(K166=$K$57,0,IF(K166=$K$58,0,IF(K166=$K$65,0,IF(K166=$K$66,0,IF(K166=$K$67,0,IF(K166=$K$68,0,IF(K166=$K$69,0,IF(K166=$K$51,0,1)))))))))))*AQ166*$BB$102)))</f>
        <v>0</v>
      </c>
      <c r="BC166" s="172">
        <f t="shared" si="7"/>
        <v>0</v>
      </c>
      <c r="BD166" s="172">
        <f t="shared" si="8"/>
        <v>0</v>
      </c>
      <c r="BE166" s="172">
        <f>IF($BE$95=I166,$BE$97,IF(I166=$BE$96,$BE$97,1))*($BE$102*AQ166)*$AZ$97</f>
        <v>0</v>
      </c>
      <c r="BF166" s="172">
        <f>IF('[1]Cockpit Retorno'!$C$65=Sim,Mestre!BA166,SUM(BB166:BE166)+(IF(K166=$K$56,AQ166*MOE_IRRF_LR,0)))</f>
        <v>0</v>
      </c>
      <c r="BG166" s="174">
        <f>IF(AA166&gt;0,0,IF(Z166=$Z$82,AG166*1,(IF(Z166=$Z$81,AG166*1,0))))</f>
        <v>0</v>
      </c>
      <c r="BH166" s="174">
        <f>IF(AA166&gt;0,0,IF(Z166=$Z$83,AG166*1,IF(Z166=$Z$81,AG166*1,0)))</f>
        <v>0</v>
      </c>
      <c r="BI166" s="174">
        <f>IF(AA166&gt;0,0,IF(Z166=$Z$84,AG166*1,IF(Z166=$Z$93,AG166*2,IF(Z166=$Z$100,AG166,IF(Z166=$Z$81,AG166*2,IF(Z166=$Z$80,AG166*1,IF(Z166=$Z$79,AG166*3,IF(Z166=$Z$78,AG166*2,0))))))))</f>
        <v>0</v>
      </c>
      <c r="BJ166" s="174">
        <f>IF(AA166&gt;0,0,IF(Z166=$Z$85,AG166,IF(Z166=$Z$93,AG166,IF(Z166=$Z$100,AG166,IF(Z166=$Z$81,AG166*1,IF(Z166=$Z$80,AG166*2,IF(Z166=$Z$79,AG166*2,IF(Z166=$Z$78,AG166*2,0))))))))</f>
        <v>0</v>
      </c>
      <c r="BK166" s="174">
        <f>IF(AA166&gt;0,0,IF(Z166=$Z$92,AG166,0))</f>
        <v>0</v>
      </c>
      <c r="BL166" s="174">
        <f>IF(AA166&gt;0,0,IF(Z166=$Z$91,AG166,0))</f>
        <v>0</v>
      </c>
      <c r="BM166" s="174">
        <f>IF(AA166&gt;0,0,IF(Z166=$Z$86,AG166,0))</f>
        <v>0</v>
      </c>
      <c r="BN166" s="174">
        <f>IF(AA166&gt;0,0,IF(Z166=$Z$87,AG166,0))</f>
        <v>0</v>
      </c>
      <c r="BO166" s="174">
        <f>IF(AA166&gt;0,0,IF(Z166=$Z$88,AG166,0))</f>
        <v>0</v>
      </c>
      <c r="BP166" s="174">
        <f>IF(AA166&gt;0,0,IF(Z166=$Z$89,AG166,0))</f>
        <v>0</v>
      </c>
      <c r="BQ166" s="174">
        <f>IF(AA166&gt;0,0,IF(Z166=$Z$90,AG166,0))</f>
        <v>0</v>
      </c>
      <c r="BR166" s="174">
        <f>IF(Z166=$Z$82,AA166*AG166,0)</f>
        <v>0</v>
      </c>
      <c r="BS166" s="174">
        <f>IF(Z166=$Z$83,AA166*AG166,0)</f>
        <v>0</v>
      </c>
      <c r="BT166" s="174">
        <f>IF(AA166&lt;1,0,IF(Z166=$Z$84,AA166*AG166,IF(Z166=$Z$93,"ERRO",IF(Z166=$Z$100,"ERRO",0))))</f>
        <v>0</v>
      </c>
      <c r="BU166" s="174">
        <f>IF(AA166&lt;1,0,IF(Z166=$Z$85,AA166*AG166,IF(Z166=$Z$93,"ERRO",IF(Z166=$Z$100,"ERRO",0))))</f>
        <v>0</v>
      </c>
      <c r="BV166" s="174">
        <f>IF(Z166=$Z$92,AA166*AG166,0)</f>
        <v>0</v>
      </c>
      <c r="BW166" s="174">
        <f>IF(Z166=$Z$91,AA166*AG166,0)</f>
        <v>0</v>
      </c>
      <c r="BX166" s="174">
        <f>IF(Z166=$Z$86,AA166*AG166,0)</f>
        <v>0</v>
      </c>
      <c r="BY166" s="174">
        <f>IF(Z166=$Z$87,AA166*AG166,0)</f>
        <v>0</v>
      </c>
      <c r="BZ166" s="174">
        <f>IF(Z166=$Z$88,AA166*AG166,0)</f>
        <v>0</v>
      </c>
      <c r="CA166" s="174">
        <f>IF(Z166=$Z$89,AA166*AG166,0)</f>
        <v>0</v>
      </c>
      <c r="CB166" s="174">
        <f>IF(Z166=$Z$90,AA166*AG166,0)</f>
        <v>0</v>
      </c>
      <c r="CC166" s="175">
        <f>IFERROR(IF(L166=$L$49,AG166*AH166*(1+AI166)*(1-AK166)*(1-AL166),0),0)</f>
        <v>5301</v>
      </c>
      <c r="CD166" s="203">
        <f>IF(I166=$CD$97,1,IF(I166=$CD$100,2,IF(K166=$K$66,1,IF(K166=$K$69,1,3))))</f>
        <v>1</v>
      </c>
      <c r="CE166" s="203">
        <f t="shared" si="14"/>
        <v>1.07</v>
      </c>
      <c r="CF166" s="204">
        <f t="shared" si="9"/>
        <v>1.2353999999999998</v>
      </c>
      <c r="CG166" s="203">
        <f t="shared" si="15"/>
        <v>1.42</v>
      </c>
      <c r="CH166" s="204">
        <f t="shared" si="10"/>
        <v>1.5478000000000001</v>
      </c>
      <c r="CI166" s="203">
        <f t="shared" si="16"/>
        <v>1.7</v>
      </c>
      <c r="CJ166" s="205">
        <f t="shared" si="17"/>
        <v>1.0486</v>
      </c>
      <c r="CK166" s="205">
        <f t="shared" si="18"/>
        <v>1.148922</v>
      </c>
      <c r="CL166" s="205">
        <f t="shared" si="19"/>
        <v>1.3915999999999999</v>
      </c>
      <c r="CM166" s="205">
        <f t="shared" si="20"/>
        <v>1.501366</v>
      </c>
      <c r="CN166" s="206">
        <f t="shared" si="21"/>
        <v>1.6319999999999999</v>
      </c>
      <c r="CO166" s="204">
        <f t="shared" si="25"/>
        <v>1.006656</v>
      </c>
      <c r="CP166" s="207">
        <f t="shared" si="11"/>
        <v>0</v>
      </c>
      <c r="CQ166" s="208">
        <f t="shared" si="12"/>
        <v>0</v>
      </c>
      <c r="CR166" s="209">
        <f t="shared" si="13"/>
        <v>0</v>
      </c>
      <c r="CS166" s="49"/>
      <c r="CT166" s="49"/>
      <c r="CU166" s="49"/>
      <c r="CV166" s="49"/>
      <c r="CW166" s="49"/>
      <c r="CX166" s="49"/>
      <c r="CY166" s="49"/>
      <c r="CZ166" s="49"/>
      <c r="DA166" s="49"/>
      <c r="DB166" s="49"/>
      <c r="DC166" s="49"/>
      <c r="DD166" s="49"/>
      <c r="DE166" s="49"/>
      <c r="DF166" s="49"/>
      <c r="DG166" s="49"/>
      <c r="DH166" s="49"/>
      <c r="DI166" s="49"/>
      <c r="DJ166" s="49"/>
      <c r="DK166" s="49"/>
      <c r="DL166" s="49"/>
      <c r="DM166" s="49"/>
      <c r="DN166" s="49"/>
      <c r="DO166" s="49"/>
      <c r="DP166" s="49"/>
      <c r="DQ166" s="49"/>
      <c r="DR166" s="49"/>
      <c r="DS166" s="49"/>
      <c r="DT166" s="49"/>
      <c r="DU166" s="49"/>
      <c r="DV166" s="49"/>
      <c r="DW166" s="49"/>
      <c r="DX166" s="49"/>
      <c r="DY166" s="49"/>
      <c r="DZ166" s="49"/>
      <c r="EA166" s="49"/>
      <c r="EB166" s="49"/>
      <c r="EC166" s="49"/>
      <c r="ED166" s="49"/>
      <c r="EE166" s="49"/>
      <c r="EF166" s="49"/>
      <c r="EG166" s="49"/>
      <c r="EH166" s="49"/>
      <c r="EI166" s="49"/>
      <c r="EJ166" s="49"/>
      <c r="EK166" s="49"/>
      <c r="EL166" s="49"/>
      <c r="EM166" s="49"/>
      <c r="EN166" s="49"/>
      <c r="EO166" s="49"/>
      <c r="EP166" s="49"/>
      <c r="EQ166" s="49"/>
      <c r="ER166" s="49"/>
      <c r="ES166" s="49"/>
      <c r="ET166" s="49"/>
      <c r="EU166" s="49"/>
      <c r="EV166" s="49"/>
      <c r="EW166" s="49"/>
      <c r="EX166" s="49"/>
      <c r="EY166" s="49"/>
      <c r="EZ166" s="49"/>
      <c r="FA166" s="49"/>
    </row>
    <row r="167" spans="1:157" s="210" customFormat="1" ht="63.75" x14ac:dyDescent="0.25">
      <c r="A167" s="113">
        <f>IF(AND('[1]Cockpit Retorno'!$E$67=Sim,Mestre!M167=Mestre!$M$98),0,1)</f>
        <v>1</v>
      </c>
      <c r="B167" s="113">
        <f>IF(AND('[1]Cockpit Retorno'!$E$67=Sim,Mestre!L167=Mestre!$L$48),0,1)</f>
        <v>1</v>
      </c>
      <c r="C167" s="113">
        <f>IF(AND('[1]Cockpit Retorno'!$E$67=Sim,Mestre!M167=Mestre!$M$97),0,1)</f>
        <v>1</v>
      </c>
      <c r="D167" s="148" t="s">
        <v>7</v>
      </c>
      <c r="E167" s="115"/>
      <c r="F167" s="116" t="s">
        <v>107</v>
      </c>
      <c r="G167" s="149"/>
      <c r="H167" s="150" t="s">
        <v>7</v>
      </c>
      <c r="I167" s="151" t="str">
        <f t="shared" ref="I167:I232" si="26">VLOOKUP(K167,$N$74:$O$95,2)</f>
        <v>Mercadorias</v>
      </c>
      <c r="J167" s="150" t="s">
        <v>15</v>
      </c>
      <c r="K167" s="152" t="s">
        <v>7</v>
      </c>
      <c r="L167" s="153" t="s">
        <v>21</v>
      </c>
      <c r="M167" s="154" t="s">
        <v>290</v>
      </c>
      <c r="N167" s="155" t="s">
        <v>309</v>
      </c>
      <c r="O167" s="155" t="s">
        <v>292</v>
      </c>
      <c r="P167" s="155" t="s">
        <v>43</v>
      </c>
      <c r="Q167" s="155" t="s">
        <v>43</v>
      </c>
      <c r="R167" s="155" t="s">
        <v>43</v>
      </c>
      <c r="S167" s="156" t="s">
        <v>43</v>
      </c>
      <c r="T167" s="156" t="s">
        <v>43</v>
      </c>
      <c r="U167" s="150" t="s">
        <v>43</v>
      </c>
      <c r="V167" s="150" t="s">
        <v>43</v>
      </c>
      <c r="W167" s="150" t="s">
        <v>43</v>
      </c>
      <c r="X167" s="157" t="s">
        <v>321</v>
      </c>
      <c r="Y167" s="150"/>
      <c r="Z167" s="150"/>
      <c r="AA167" s="158">
        <v>0</v>
      </c>
      <c r="AB167" s="155" t="s">
        <v>43</v>
      </c>
      <c r="AC167" s="150" t="s">
        <v>43</v>
      </c>
      <c r="AD167" s="155" t="s">
        <v>43</v>
      </c>
      <c r="AE167" s="155"/>
      <c r="AF167" s="150" t="s">
        <v>43</v>
      </c>
      <c r="AG167" s="159">
        <v>45</v>
      </c>
      <c r="AH167" s="159">
        <v>72.930599999999998</v>
      </c>
      <c r="AI167" s="202">
        <v>0</v>
      </c>
      <c r="AJ167" s="161">
        <v>7.0000000000000007E-2</v>
      </c>
      <c r="AK167" s="162">
        <v>0.05</v>
      </c>
      <c r="AL167" s="163"/>
      <c r="AM167" s="164">
        <f>(((IF(L167=$L$101,1,IF(L167=$L$47,1,0))*(AH167*(1-AK167)))*AG167)*(1-AL167))</f>
        <v>0</v>
      </c>
      <c r="AN167" s="165">
        <f>IF(K167=$K$50,AM167,IF(K167=$K$53,AM167,IF(K167=$K$54,AM167,IF(K167=$K$55,AM167,IF(K167=$K$56,AM167,IF(K167=$K$57,AM167,IF(K167=$K$58,AM167,IF(K167=$K$65,AM167,IF(K167=$K$66,AM167,IF(K167=$K$67,AM167,IF(K167=$K$68,AM167,IF(K167=$K$69,AM167,IF(K167=$K$51,AM167,(AM167*(1+AI167)))))))))))))))</f>
        <v>0</v>
      </c>
      <c r="AO167" s="166">
        <v>1.4</v>
      </c>
      <c r="AP167" s="160">
        <f t="shared" ref="AP167:AP232" si="27">AM167*AO167</f>
        <v>0</v>
      </c>
      <c r="AQ167" s="167">
        <f t="shared" si="24"/>
        <v>0</v>
      </c>
      <c r="AR167" s="160">
        <f t="shared" ref="AR167:AR232" si="28">AO167*AN167</f>
        <v>0</v>
      </c>
      <c r="AS167" s="168">
        <f t="shared" ref="AS167:AS232" si="29">IFERROR(IF($AX$94=0,(CQ167/AN167),CQ167/AM167),0)</f>
        <v>0</v>
      </c>
      <c r="AT167" s="169" t="str">
        <f>K167</f>
        <v>MI</v>
      </c>
      <c r="AU167" s="169" t="str">
        <f>I167</f>
        <v>Mercadorias</v>
      </c>
      <c r="AV167" s="170"/>
      <c r="AW167" s="171">
        <f>IF(K167=$K$50,0,IF(K167=$K$53,0,IF(K167=$K$54,0,IF(K167=$K$55,0,IF(K167=$K$56,0,IF(K167=$K$57,0,IF(K167=$K$58,0,IF(K167=$K$65,0,IF(K167=$K$66,0,IF(K167=$K$67,0,IF(K167=$K$68,0,IF(K167=$K$69,0,IF(K167=$K$51,0,1))))))))))))*AM167*AI167)</f>
        <v>0</v>
      </c>
      <c r="AX167" s="172">
        <f>IF(K167=$K$50,0,IF(K167=$K$53,0,IF(K167=$K$54,0,IF(K167=$K$55,0,IF(K167=$K$56,0,IF(K167=$K$57,0,IF(K167=$K$58,0,IF(K167=$K$65,0,IF(K167=$K$66,0,IF(K167=$K$67,0,IF(K167=$K$68,0,IF(K167=$K$69,0,IF(K167=$K$51,0,1))))))))))))*AM167*AJ167*$AX$94)</f>
        <v>0</v>
      </c>
      <c r="AY167" s="172">
        <f>IF(K167=$K$53,0,IF(K167=$K$54,0,IF(K167=$K$55,0,IF(K167=$K$56,0,IF(K167=$K$58,0,IF(K167=$K$50,0,IF(K167=$K$65,0,IF(K167=$K$57,0,IF(K167=$K$51,0,AM167*$AY$102)))))))))</f>
        <v>0</v>
      </c>
      <c r="AZ167" s="172">
        <f>IF(K167=$K$53,0,IF(K167=$K$54,0,IF(K167=$K$55,0,IF(K167=$K$56,0,IF(K167=$K$58,0,IF(K167=$K$50,0,IF(K167=$K$65,0,IF(K167=$K$57,0,IF(K167=$K$51,0,AM167*$AZ$102)))))))))</f>
        <v>0</v>
      </c>
      <c r="BA167" s="172">
        <f t="shared" ref="BA167:BA232" si="30">AZ167+AY167+AX167</f>
        <v>0</v>
      </c>
      <c r="BB167" s="173">
        <f>IF($BA$97=1,AQ167*$BB$102,IF(K167=$K$50,0,IF(K167=$K$53,0,IF(K167=$K$54,0,IF(K167=$K$55,0,IF(K167=$K$56,0,IF(K167=$K$57,0,IF(K167=$K$58,0,IF(K167=$K$65,0,IF(K167=$K$66,0,IF(K167=$K$67,0,IF(K167=$K$68,0,IF(K167=$K$69,0,IF(K167=$K$51,0,1)))))))))))*AQ167*$BB$102)))</f>
        <v>0</v>
      </c>
      <c r="BC167" s="172">
        <f t="shared" ref="BC167:BC232" si="31">AQ167*$BC$102</f>
        <v>0</v>
      </c>
      <c r="BD167" s="172">
        <f t="shared" ref="BD167:BD232" si="32">$BD$102*AQ167</f>
        <v>0</v>
      </c>
      <c r="BE167" s="172">
        <f>IF($BE$95=I167,$BE$97,IF(I167=$BE$96,$BE$97,1))*($BE$102*AQ167)*$AZ$97</f>
        <v>0</v>
      </c>
      <c r="BF167" s="172">
        <f>IF('[1]Cockpit Retorno'!$C$65=Sim,Mestre!BA167,SUM(BB167:BE167)+(IF(K167=$K$56,AQ167*MOE_IRRF_LR,0)))</f>
        <v>0</v>
      </c>
      <c r="BG167" s="174">
        <f>IF(AA167&gt;0,0,IF(Z167=$Z$82,AG167*1,(IF(Z167=$Z$81,AG167*1,0))))</f>
        <v>0</v>
      </c>
      <c r="BH167" s="174">
        <f>IF(AA167&gt;0,0,IF(Z167=$Z$83,AG167*1,IF(Z167=$Z$81,AG167*1,0)))</f>
        <v>0</v>
      </c>
      <c r="BI167" s="174">
        <f>IF(AA167&gt;0,0,IF(Z167=$Z$84,AG167*1,IF(Z167=$Z$93,AG167*2,IF(Z167=$Z$100,AG167,IF(Z167=$Z$81,AG167*2,IF(Z167=$Z$80,AG167*1,IF(Z167=$Z$79,AG167*3,IF(Z167=$Z$78,AG167*2,0))))))))</f>
        <v>0</v>
      </c>
      <c r="BJ167" s="174">
        <f>IF(AA167&gt;0,0,IF(Z167=$Z$85,AG167,IF(Z167=$Z$93,AG167,IF(Z167=$Z$100,AG167,IF(Z167=$Z$81,AG167*1,IF(Z167=$Z$80,AG167*2,IF(Z167=$Z$79,AG167*2,IF(Z167=$Z$78,AG167*2,0))))))))</f>
        <v>0</v>
      </c>
      <c r="BK167" s="174">
        <f>IF(AA167&gt;0,0,IF(Z167=$Z$92,AG167,0))</f>
        <v>0</v>
      </c>
      <c r="BL167" s="174">
        <f>IF(AA167&gt;0,0,IF(Z167=$Z$91,AG167,0))</f>
        <v>0</v>
      </c>
      <c r="BM167" s="174">
        <f>IF(AA167&gt;0,0,IF(Z167=$Z$86,AG167,0))</f>
        <v>0</v>
      </c>
      <c r="BN167" s="174">
        <f>IF(AA167&gt;0,0,IF(Z167=$Z$87,AG167,0))</f>
        <v>0</v>
      </c>
      <c r="BO167" s="174">
        <f>IF(AA167&gt;0,0,IF(Z167=$Z$88,AG167,0))</f>
        <v>0</v>
      </c>
      <c r="BP167" s="174">
        <f>IF(AA167&gt;0,0,IF(Z167=$Z$89,AG167,0))</f>
        <v>0</v>
      </c>
      <c r="BQ167" s="174">
        <f>IF(AA167&gt;0,0,IF(Z167=$Z$90,AG167,0))</f>
        <v>0</v>
      </c>
      <c r="BR167" s="174">
        <f>IF(Z167=$Z$82,AA167*AG167,0)</f>
        <v>0</v>
      </c>
      <c r="BS167" s="174">
        <f>IF(Z167=$Z$83,AA167*AG167,0)</f>
        <v>0</v>
      </c>
      <c r="BT167" s="174">
        <f>IF(AA167&lt;1,0,IF(Z167=$Z$84,AA167*AG167,IF(Z167=$Z$93,"ERRO",IF(Z167=$Z$100,"ERRO",0))))</f>
        <v>0</v>
      </c>
      <c r="BU167" s="174">
        <f>IF(AA167&lt;1,0,IF(Z167=$Z$85,AA167*AG167,IF(Z167=$Z$93,"ERRO",IF(Z167=$Z$100,"ERRO",0))))</f>
        <v>0</v>
      </c>
      <c r="BV167" s="174">
        <f>IF(Z167=$Z$92,AA167*AG167,0)</f>
        <v>0</v>
      </c>
      <c r="BW167" s="174">
        <f>IF(Z167=$Z$91,AA167*AG167,0)</f>
        <v>0</v>
      </c>
      <c r="BX167" s="174">
        <f>IF(Z167=$Z$86,AA167*AG167,0)</f>
        <v>0</v>
      </c>
      <c r="BY167" s="174">
        <f>IF(Z167=$Z$87,AA167*AG167,0)</f>
        <v>0</v>
      </c>
      <c r="BZ167" s="174">
        <f>IF(Z167=$Z$88,AA167*AG167,0)</f>
        <v>0</v>
      </c>
      <c r="CA167" s="174">
        <f>IF(Z167=$Z$89,AA167*AG167,0)</f>
        <v>0</v>
      </c>
      <c r="CB167" s="174">
        <f>IF(Z167=$Z$90,AA167*AG167,0)</f>
        <v>0</v>
      </c>
      <c r="CC167" s="175">
        <f>IFERROR(IF(L167=$L$49,AG167*AH167*(1+AI167)*(1-AK167)*(1-AL167),0),0)</f>
        <v>3117.7831499999998</v>
      </c>
      <c r="CD167" s="203">
        <f>IF(I167=$CD$97,1,IF(I167=$CD$100,2,IF(K167=$K$66,1,IF(K167=$K$69,1,3))))</f>
        <v>1</v>
      </c>
      <c r="CE167" s="203">
        <f t="shared" si="14"/>
        <v>1.07</v>
      </c>
      <c r="CF167" s="204">
        <f t="shared" ref="CF167:CF232" si="33">CG167*0.87</f>
        <v>1.2353999999999998</v>
      </c>
      <c r="CG167" s="203">
        <f t="shared" si="15"/>
        <v>1.42</v>
      </c>
      <c r="CH167" s="204">
        <f t="shared" ref="CH167:CH232" si="34">CG167*1.09</f>
        <v>1.5478000000000001</v>
      </c>
      <c r="CI167" s="203">
        <f t="shared" si="16"/>
        <v>1.7</v>
      </c>
      <c r="CJ167" s="205">
        <f t="shared" si="17"/>
        <v>1.0486</v>
      </c>
      <c r="CK167" s="205">
        <f t="shared" si="18"/>
        <v>1.148922</v>
      </c>
      <c r="CL167" s="205">
        <f t="shared" si="19"/>
        <v>1.3915999999999999</v>
      </c>
      <c r="CM167" s="205">
        <f t="shared" si="20"/>
        <v>1.501366</v>
      </c>
      <c r="CN167" s="206">
        <f t="shared" si="21"/>
        <v>1.6319999999999999</v>
      </c>
      <c r="CO167" s="204">
        <f t="shared" si="25"/>
        <v>1.006656</v>
      </c>
      <c r="CP167" s="207">
        <f t="shared" ref="CP167:CP232" si="35">BF167-BA167</f>
        <v>0</v>
      </c>
      <c r="CQ167" s="208">
        <f t="shared" ref="CQ167:CQ232" si="36">AQ167-CP167</f>
        <v>0</v>
      </c>
      <c r="CR167" s="209">
        <f t="shared" ref="CR167:CR217" si="37">BC167+BD167</f>
        <v>0</v>
      </c>
      <c r="CS167" s="49"/>
      <c r="CT167" s="49"/>
      <c r="CU167" s="49"/>
      <c r="CV167" s="49"/>
      <c r="CW167" s="49"/>
      <c r="CX167" s="49"/>
      <c r="CY167" s="49"/>
      <c r="CZ167" s="49"/>
      <c r="DA167" s="49"/>
      <c r="DB167" s="49"/>
      <c r="DC167" s="49"/>
      <c r="DD167" s="49"/>
      <c r="DE167" s="49"/>
      <c r="DF167" s="49"/>
      <c r="DG167" s="49"/>
      <c r="DH167" s="49"/>
      <c r="DI167" s="49"/>
      <c r="DJ167" s="49"/>
      <c r="DK167" s="49"/>
      <c r="DL167" s="49"/>
      <c r="DM167" s="49"/>
      <c r="DN167" s="49"/>
      <c r="DO167" s="49"/>
      <c r="DP167" s="49"/>
      <c r="DQ167" s="49"/>
      <c r="DR167" s="49"/>
      <c r="DS167" s="49"/>
      <c r="DT167" s="49"/>
      <c r="DU167" s="49"/>
      <c r="DV167" s="49"/>
      <c r="DW167" s="49"/>
      <c r="DX167" s="49"/>
      <c r="DY167" s="49"/>
      <c r="DZ167" s="49"/>
      <c r="EA167" s="49"/>
      <c r="EB167" s="49"/>
      <c r="EC167" s="49"/>
      <c r="ED167" s="49"/>
      <c r="EE167" s="49"/>
      <c r="EF167" s="49"/>
      <c r="EG167" s="49"/>
      <c r="EH167" s="49"/>
      <c r="EI167" s="49"/>
      <c r="EJ167" s="49"/>
      <c r="EK167" s="49"/>
      <c r="EL167" s="49"/>
      <c r="EM167" s="49"/>
      <c r="EN167" s="49"/>
      <c r="EO167" s="49"/>
      <c r="EP167" s="49"/>
      <c r="EQ167" s="49"/>
      <c r="ER167" s="49"/>
      <c r="ES167" s="49"/>
      <c r="ET167" s="49"/>
      <c r="EU167" s="49"/>
      <c r="EV167" s="49"/>
      <c r="EW167" s="49"/>
      <c r="EX167" s="49"/>
      <c r="EY167" s="49"/>
      <c r="EZ167" s="49"/>
      <c r="FA167" s="49"/>
    </row>
    <row r="168" spans="1:157" s="210" customFormat="1" ht="63.75" x14ac:dyDescent="0.25">
      <c r="A168" s="113">
        <f>IF(AND('[1]Cockpit Retorno'!$E$67=Sim,Mestre!M168=Mestre!$M$98),0,1)</f>
        <v>1</v>
      </c>
      <c r="B168" s="113">
        <f>IF(AND('[1]Cockpit Retorno'!$E$67=Sim,Mestre!L168=Mestre!$L$48),0,1)</f>
        <v>1</v>
      </c>
      <c r="C168" s="113">
        <f>IF(AND('[1]Cockpit Retorno'!$E$67=Sim,Mestre!M168=Mestre!$M$97),0,1)</f>
        <v>1</v>
      </c>
      <c r="D168" s="148" t="s">
        <v>7</v>
      </c>
      <c r="E168" s="115"/>
      <c r="F168" s="116" t="s">
        <v>107</v>
      </c>
      <c r="G168" s="149"/>
      <c r="H168" s="150" t="s">
        <v>7</v>
      </c>
      <c r="I168" s="151" t="str">
        <f t="shared" si="26"/>
        <v>Mercadorias</v>
      </c>
      <c r="J168" s="150" t="s">
        <v>15</v>
      </c>
      <c r="K168" s="152" t="s">
        <v>7</v>
      </c>
      <c r="L168" s="153" t="s">
        <v>21</v>
      </c>
      <c r="M168" s="154" t="s">
        <v>290</v>
      </c>
      <c r="N168" s="155" t="s">
        <v>309</v>
      </c>
      <c r="O168" s="155" t="s">
        <v>292</v>
      </c>
      <c r="P168" s="155" t="s">
        <v>43</v>
      </c>
      <c r="Q168" s="155" t="s">
        <v>43</v>
      </c>
      <c r="R168" s="155" t="s">
        <v>43</v>
      </c>
      <c r="S168" s="156" t="s">
        <v>43</v>
      </c>
      <c r="T168" s="156" t="s">
        <v>43</v>
      </c>
      <c r="U168" s="150" t="s">
        <v>43</v>
      </c>
      <c r="V168" s="150" t="s">
        <v>43</v>
      </c>
      <c r="W168" s="150" t="s">
        <v>43</v>
      </c>
      <c r="X168" s="157" t="s">
        <v>322</v>
      </c>
      <c r="Y168" s="150"/>
      <c r="Z168" s="150"/>
      <c r="AA168" s="158">
        <v>0</v>
      </c>
      <c r="AB168" s="155" t="s">
        <v>43</v>
      </c>
      <c r="AC168" s="150" t="s">
        <v>43</v>
      </c>
      <c r="AD168" s="155" t="s">
        <v>43</v>
      </c>
      <c r="AE168" s="155"/>
      <c r="AF168" s="150" t="s">
        <v>43</v>
      </c>
      <c r="AG168" s="159">
        <v>30</v>
      </c>
      <c r="AH168" s="159">
        <v>105.5271</v>
      </c>
      <c r="AI168" s="202">
        <v>0</v>
      </c>
      <c r="AJ168" s="161">
        <v>7.0000000000000007E-2</v>
      </c>
      <c r="AK168" s="162">
        <v>0.05</v>
      </c>
      <c r="AL168" s="163"/>
      <c r="AM168" s="164">
        <f>(((IF(L168=$L$101,1,IF(L168=$L$47,1,0))*(AH168*(1-AK168)))*AG168)*(1-AL168))</f>
        <v>0</v>
      </c>
      <c r="AN168" s="165">
        <f>IF(K168=$K$50,AM168,IF(K168=$K$53,AM168,IF(K168=$K$54,AM168,IF(K168=$K$55,AM168,IF(K168=$K$56,AM168,IF(K168=$K$57,AM168,IF(K168=$K$58,AM168,IF(K168=$K$65,AM168,IF(K168=$K$66,AM168,IF(K168=$K$67,AM168,IF(K168=$K$68,AM168,IF(K168=$K$69,AM168,IF(K168=$K$51,AM168,(AM168*(1+AI168)))))))))))))))</f>
        <v>0</v>
      </c>
      <c r="AO168" s="166">
        <v>1.4</v>
      </c>
      <c r="AP168" s="160">
        <f t="shared" si="27"/>
        <v>0</v>
      </c>
      <c r="AQ168" s="167">
        <f t="shared" si="24"/>
        <v>0</v>
      </c>
      <c r="AR168" s="160">
        <f t="shared" si="28"/>
        <v>0</v>
      </c>
      <c r="AS168" s="168">
        <f t="shared" si="29"/>
        <v>0</v>
      </c>
      <c r="AT168" s="169" t="str">
        <f>K168</f>
        <v>MI</v>
      </c>
      <c r="AU168" s="169" t="str">
        <f>I168</f>
        <v>Mercadorias</v>
      </c>
      <c r="AV168" s="170"/>
      <c r="AW168" s="171">
        <f>IF(K168=$K$50,0,IF(K168=$K$53,0,IF(K168=$K$54,0,IF(K168=$K$55,0,IF(K168=$K$56,0,IF(K168=$K$57,0,IF(K168=$K$58,0,IF(K168=$K$65,0,IF(K168=$K$66,0,IF(K168=$K$67,0,IF(K168=$K$68,0,IF(K168=$K$69,0,IF(K168=$K$51,0,1))))))))))))*AM168*AI168)</f>
        <v>0</v>
      </c>
      <c r="AX168" s="172">
        <f>IF(K168=$K$50,0,IF(K168=$K$53,0,IF(K168=$K$54,0,IF(K168=$K$55,0,IF(K168=$K$56,0,IF(K168=$K$57,0,IF(K168=$K$58,0,IF(K168=$K$65,0,IF(K168=$K$66,0,IF(K168=$K$67,0,IF(K168=$K$68,0,IF(K168=$K$69,0,IF(K168=$K$51,0,1))))))))))))*AM168*AJ168*$AX$94)</f>
        <v>0</v>
      </c>
      <c r="AY168" s="172">
        <f>IF(K168=$K$53,0,IF(K168=$K$54,0,IF(K168=$K$55,0,IF(K168=$K$56,0,IF(K168=$K$58,0,IF(K168=$K$50,0,IF(K168=$K$65,0,IF(K168=$K$57,0,IF(K168=$K$51,0,AM168*$AY$102)))))))))</f>
        <v>0</v>
      </c>
      <c r="AZ168" s="172">
        <f>IF(K168=$K$53,0,IF(K168=$K$54,0,IF(K168=$K$55,0,IF(K168=$K$56,0,IF(K168=$K$58,0,IF(K168=$K$50,0,IF(K168=$K$65,0,IF(K168=$K$57,0,IF(K168=$K$51,0,AM168*$AZ$102)))))))))</f>
        <v>0</v>
      </c>
      <c r="BA168" s="172">
        <f t="shared" si="30"/>
        <v>0</v>
      </c>
      <c r="BB168" s="173">
        <f>IF($BA$97=1,AQ168*$BB$102,IF(K168=$K$50,0,IF(K168=$K$53,0,IF(K168=$K$54,0,IF(K168=$K$55,0,IF(K168=$K$56,0,IF(K168=$K$57,0,IF(K168=$K$58,0,IF(K168=$K$65,0,IF(K168=$K$66,0,IF(K168=$K$67,0,IF(K168=$K$68,0,IF(K168=$K$69,0,IF(K168=$K$51,0,1)))))))))))*AQ168*$BB$102)))</f>
        <v>0</v>
      </c>
      <c r="BC168" s="172">
        <f t="shared" si="31"/>
        <v>0</v>
      </c>
      <c r="BD168" s="172">
        <f t="shared" si="32"/>
        <v>0</v>
      </c>
      <c r="BE168" s="172">
        <f>IF($BE$95=I168,$BE$97,IF(I168=$BE$96,$BE$97,1))*($BE$102*AQ168)*$AZ$97</f>
        <v>0</v>
      </c>
      <c r="BF168" s="172">
        <f>IF('[1]Cockpit Retorno'!$C$65=Sim,Mestre!BA168,SUM(BB168:BE168)+(IF(K168=$K$56,AQ168*MOE_IRRF_LR,0)))</f>
        <v>0</v>
      </c>
      <c r="BG168" s="174">
        <f>IF(AA168&gt;0,0,IF(Z168=$Z$82,AG168*1,(IF(Z168=$Z$81,AG168*1,0))))</f>
        <v>0</v>
      </c>
      <c r="BH168" s="174">
        <f>IF(AA168&gt;0,0,IF(Z168=$Z$83,AG168*1,IF(Z168=$Z$81,AG168*1,0)))</f>
        <v>0</v>
      </c>
      <c r="BI168" s="174">
        <f>IF(AA168&gt;0,0,IF(Z168=$Z$84,AG168*1,IF(Z168=$Z$93,AG168*2,IF(Z168=$Z$100,AG168,IF(Z168=$Z$81,AG168*2,IF(Z168=$Z$80,AG168*1,IF(Z168=$Z$79,AG168*3,IF(Z168=$Z$78,AG168*2,0))))))))</f>
        <v>0</v>
      </c>
      <c r="BJ168" s="174">
        <f>IF(AA168&gt;0,0,IF(Z168=$Z$85,AG168,IF(Z168=$Z$93,AG168,IF(Z168=$Z$100,AG168,IF(Z168=$Z$81,AG168*1,IF(Z168=$Z$80,AG168*2,IF(Z168=$Z$79,AG168*2,IF(Z168=$Z$78,AG168*2,0))))))))</f>
        <v>0</v>
      </c>
      <c r="BK168" s="174">
        <f>IF(AA168&gt;0,0,IF(Z168=$Z$92,AG168,0))</f>
        <v>0</v>
      </c>
      <c r="BL168" s="174">
        <f>IF(AA168&gt;0,0,IF(Z168=$Z$91,AG168,0))</f>
        <v>0</v>
      </c>
      <c r="BM168" s="174">
        <f>IF(AA168&gt;0,0,IF(Z168=$Z$86,AG168,0))</f>
        <v>0</v>
      </c>
      <c r="BN168" s="174">
        <f>IF(AA168&gt;0,0,IF(Z168=$Z$87,AG168,0))</f>
        <v>0</v>
      </c>
      <c r="BO168" s="174">
        <f>IF(AA168&gt;0,0,IF(Z168=$Z$88,AG168,0))</f>
        <v>0</v>
      </c>
      <c r="BP168" s="174">
        <f>IF(AA168&gt;0,0,IF(Z168=$Z$89,AG168,0))</f>
        <v>0</v>
      </c>
      <c r="BQ168" s="174">
        <f>IF(AA168&gt;0,0,IF(Z168=$Z$90,AG168,0))</f>
        <v>0</v>
      </c>
      <c r="BR168" s="174">
        <f>IF(Z168=$Z$82,AA168*AG168,0)</f>
        <v>0</v>
      </c>
      <c r="BS168" s="174">
        <f>IF(Z168=$Z$83,AA168*AG168,0)</f>
        <v>0</v>
      </c>
      <c r="BT168" s="174">
        <f>IF(AA168&lt;1,0,IF(Z168=$Z$84,AA168*AG168,IF(Z168=$Z$93,"ERRO",IF(Z168=$Z$100,"ERRO",0))))</f>
        <v>0</v>
      </c>
      <c r="BU168" s="174">
        <f>IF(AA168&lt;1,0,IF(Z168=$Z$85,AA168*AG168,IF(Z168=$Z$93,"ERRO",IF(Z168=$Z$100,"ERRO",0))))</f>
        <v>0</v>
      </c>
      <c r="BV168" s="174">
        <f>IF(Z168=$Z$92,AA168*AG168,0)</f>
        <v>0</v>
      </c>
      <c r="BW168" s="174">
        <f>IF(Z168=$Z$91,AA168*AG168,0)</f>
        <v>0</v>
      </c>
      <c r="BX168" s="174">
        <f>IF(Z168=$Z$86,AA168*AG168,0)</f>
        <v>0</v>
      </c>
      <c r="BY168" s="174">
        <f>IF(Z168=$Z$87,AA168*AG168,0)</f>
        <v>0</v>
      </c>
      <c r="BZ168" s="174">
        <f>IF(Z168=$Z$88,AA168*AG168,0)</f>
        <v>0</v>
      </c>
      <c r="CA168" s="174">
        <f>IF(Z168=$Z$89,AA168*AG168,0)</f>
        <v>0</v>
      </c>
      <c r="CB168" s="174">
        <f>IF(Z168=$Z$90,AA168*AG168,0)</f>
        <v>0</v>
      </c>
      <c r="CC168" s="175">
        <f>IFERROR(IF(L168=$L$49,AG168*AH168*(1+AI168)*(1-AK168)*(1-AL168),0),0)</f>
        <v>3007.5223499999997</v>
      </c>
      <c r="CD168" s="203">
        <f>IF(I168=$CD$97,1,IF(I168=$CD$100,2,IF(K168=$K$66,1,IF(K168=$K$69,1,3))))</f>
        <v>1</v>
      </c>
      <c r="CE168" s="203">
        <f t="shared" si="14"/>
        <v>1.07</v>
      </c>
      <c r="CF168" s="204">
        <f t="shared" si="33"/>
        <v>1.2353999999999998</v>
      </c>
      <c r="CG168" s="203">
        <f t="shared" si="15"/>
        <v>1.42</v>
      </c>
      <c r="CH168" s="204">
        <f t="shared" si="34"/>
        <v>1.5478000000000001</v>
      </c>
      <c r="CI168" s="203">
        <f t="shared" si="16"/>
        <v>1.7</v>
      </c>
      <c r="CJ168" s="205">
        <f t="shared" si="17"/>
        <v>1.0486</v>
      </c>
      <c r="CK168" s="205">
        <f t="shared" si="18"/>
        <v>1.148922</v>
      </c>
      <c r="CL168" s="205">
        <f t="shared" si="19"/>
        <v>1.3915999999999999</v>
      </c>
      <c r="CM168" s="205">
        <f t="shared" si="20"/>
        <v>1.501366</v>
      </c>
      <c r="CN168" s="206">
        <f t="shared" si="21"/>
        <v>1.6319999999999999</v>
      </c>
      <c r="CO168" s="204">
        <f t="shared" si="25"/>
        <v>1.006656</v>
      </c>
      <c r="CP168" s="207">
        <f t="shared" si="35"/>
        <v>0</v>
      </c>
      <c r="CQ168" s="208">
        <f t="shared" si="36"/>
        <v>0</v>
      </c>
      <c r="CR168" s="209">
        <f t="shared" si="37"/>
        <v>0</v>
      </c>
      <c r="CS168" s="49"/>
      <c r="CT168" s="49"/>
      <c r="CU168" s="49"/>
      <c r="CV168" s="49"/>
      <c r="CW168" s="49"/>
      <c r="CX168" s="49"/>
      <c r="CY168" s="49"/>
      <c r="CZ168" s="49"/>
      <c r="DA168" s="49"/>
      <c r="DB168" s="49"/>
      <c r="DC168" s="49"/>
      <c r="DD168" s="49"/>
      <c r="DE168" s="49"/>
      <c r="DF168" s="49"/>
      <c r="DG168" s="49"/>
      <c r="DH168" s="49"/>
      <c r="DI168" s="49"/>
      <c r="DJ168" s="49"/>
      <c r="DK168" s="49"/>
      <c r="DL168" s="49"/>
      <c r="DM168" s="49"/>
      <c r="DN168" s="49"/>
      <c r="DO168" s="49"/>
      <c r="DP168" s="49"/>
      <c r="DQ168" s="49"/>
      <c r="DR168" s="49"/>
      <c r="DS168" s="49"/>
      <c r="DT168" s="49"/>
      <c r="DU168" s="49"/>
      <c r="DV168" s="49"/>
      <c r="DW168" s="49"/>
      <c r="DX168" s="49"/>
      <c r="DY168" s="49"/>
      <c r="DZ168" s="49"/>
      <c r="EA168" s="49"/>
      <c r="EB168" s="49"/>
      <c r="EC168" s="49"/>
      <c r="ED168" s="49"/>
      <c r="EE168" s="49"/>
      <c r="EF168" s="49"/>
      <c r="EG168" s="49"/>
      <c r="EH168" s="49"/>
      <c r="EI168" s="49"/>
      <c r="EJ168" s="49"/>
      <c r="EK168" s="49"/>
      <c r="EL168" s="49"/>
      <c r="EM168" s="49"/>
      <c r="EN168" s="49"/>
      <c r="EO168" s="49"/>
      <c r="EP168" s="49"/>
      <c r="EQ168" s="49"/>
      <c r="ER168" s="49"/>
      <c r="ES168" s="49"/>
      <c r="ET168" s="49"/>
      <c r="EU168" s="49"/>
      <c r="EV168" s="49"/>
      <c r="EW168" s="49"/>
      <c r="EX168" s="49"/>
      <c r="EY168" s="49"/>
      <c r="EZ168" s="49"/>
      <c r="FA168" s="49"/>
    </row>
    <row r="169" spans="1:157" s="210" customFormat="1" ht="63.75" x14ac:dyDescent="0.25">
      <c r="A169" s="113">
        <f>IF(AND('[1]Cockpit Retorno'!$E$67=Sim,Mestre!M169=Mestre!$M$98),0,1)</f>
        <v>1</v>
      </c>
      <c r="B169" s="113">
        <f>IF(AND('[1]Cockpit Retorno'!$E$67=Sim,Mestre!L169=Mestre!$L$48),0,1)</f>
        <v>1</v>
      </c>
      <c r="C169" s="113">
        <f>IF(AND('[1]Cockpit Retorno'!$E$67=Sim,Mestre!M169=Mestre!$M$97),0,1)</f>
        <v>1</v>
      </c>
      <c r="D169" s="148" t="s">
        <v>7</v>
      </c>
      <c r="E169" s="115"/>
      <c r="F169" s="116" t="s">
        <v>107</v>
      </c>
      <c r="G169" s="149"/>
      <c r="H169" s="150" t="s">
        <v>7</v>
      </c>
      <c r="I169" s="151" t="str">
        <f t="shared" si="26"/>
        <v>Mercadorias</v>
      </c>
      <c r="J169" s="150" t="s">
        <v>15</v>
      </c>
      <c r="K169" s="152" t="s">
        <v>7</v>
      </c>
      <c r="L169" s="153" t="s">
        <v>21</v>
      </c>
      <c r="M169" s="154" t="s">
        <v>290</v>
      </c>
      <c r="N169" s="155" t="s">
        <v>309</v>
      </c>
      <c r="O169" s="155" t="s">
        <v>292</v>
      </c>
      <c r="P169" s="155" t="s">
        <v>43</v>
      </c>
      <c r="Q169" s="155" t="s">
        <v>43</v>
      </c>
      <c r="R169" s="155" t="s">
        <v>43</v>
      </c>
      <c r="S169" s="156" t="s">
        <v>43</v>
      </c>
      <c r="T169" s="156" t="s">
        <v>43</v>
      </c>
      <c r="U169" s="150" t="s">
        <v>43</v>
      </c>
      <c r="V169" s="150" t="s">
        <v>43</v>
      </c>
      <c r="W169" s="150" t="s">
        <v>43</v>
      </c>
      <c r="X169" s="157" t="s">
        <v>323</v>
      </c>
      <c r="Y169" s="150"/>
      <c r="Z169" s="150"/>
      <c r="AA169" s="158">
        <v>0</v>
      </c>
      <c r="AB169" s="155" t="s">
        <v>43</v>
      </c>
      <c r="AC169" s="150" t="s">
        <v>43</v>
      </c>
      <c r="AD169" s="155" t="s">
        <v>43</v>
      </c>
      <c r="AE169" s="155"/>
      <c r="AF169" s="150" t="s">
        <v>43</v>
      </c>
      <c r="AG169" s="159">
        <v>3</v>
      </c>
      <c r="AH169" s="159">
        <v>151.03200000000001</v>
      </c>
      <c r="AI169" s="202">
        <v>0</v>
      </c>
      <c r="AJ169" s="161">
        <v>7.0000000000000007E-2</v>
      </c>
      <c r="AK169" s="162">
        <v>0.05</v>
      </c>
      <c r="AL169" s="163"/>
      <c r="AM169" s="164">
        <f>(((IF(L169=$L$101,1,IF(L169=$L$47,1,0))*(AH169*(1-AK169)))*AG169)*(1-AL169))</f>
        <v>0</v>
      </c>
      <c r="AN169" s="165">
        <f>IF(K169=$K$50,AM169,IF(K169=$K$53,AM169,IF(K169=$K$54,AM169,IF(K169=$K$55,AM169,IF(K169=$K$56,AM169,IF(K169=$K$57,AM169,IF(K169=$K$58,AM169,IF(K169=$K$65,AM169,IF(K169=$K$66,AM169,IF(K169=$K$67,AM169,IF(K169=$K$68,AM169,IF(K169=$K$69,AM169,IF(K169=$K$51,AM169,(AM169*(1+AI169)))))))))))))))</f>
        <v>0</v>
      </c>
      <c r="AO169" s="166">
        <v>1.4</v>
      </c>
      <c r="AP169" s="160">
        <f t="shared" si="27"/>
        <v>0</v>
      </c>
      <c r="AQ169" s="167">
        <f t="shared" si="24"/>
        <v>0</v>
      </c>
      <c r="AR169" s="160">
        <f t="shared" si="28"/>
        <v>0</v>
      </c>
      <c r="AS169" s="168">
        <f t="shared" si="29"/>
        <v>0</v>
      </c>
      <c r="AT169" s="169" t="str">
        <f>K169</f>
        <v>MI</v>
      </c>
      <c r="AU169" s="169" t="str">
        <f>I169</f>
        <v>Mercadorias</v>
      </c>
      <c r="AV169" s="170"/>
      <c r="AW169" s="171">
        <f>IF(K169=$K$50,0,IF(K169=$K$53,0,IF(K169=$K$54,0,IF(K169=$K$55,0,IF(K169=$K$56,0,IF(K169=$K$57,0,IF(K169=$K$58,0,IF(K169=$K$65,0,IF(K169=$K$66,0,IF(K169=$K$67,0,IF(K169=$K$68,0,IF(K169=$K$69,0,IF(K169=$K$51,0,1))))))))))))*AM169*AI169)</f>
        <v>0</v>
      </c>
      <c r="AX169" s="172">
        <f>IF(K169=$K$50,0,IF(K169=$K$53,0,IF(K169=$K$54,0,IF(K169=$K$55,0,IF(K169=$K$56,0,IF(K169=$K$57,0,IF(K169=$K$58,0,IF(K169=$K$65,0,IF(K169=$K$66,0,IF(K169=$K$67,0,IF(K169=$K$68,0,IF(K169=$K$69,0,IF(K169=$K$51,0,1))))))))))))*AM169*AJ169*$AX$94)</f>
        <v>0</v>
      </c>
      <c r="AY169" s="172">
        <f>IF(K169=$K$53,0,IF(K169=$K$54,0,IF(K169=$K$55,0,IF(K169=$K$56,0,IF(K169=$K$58,0,IF(K169=$K$50,0,IF(K169=$K$65,0,IF(K169=$K$57,0,IF(K169=$K$51,0,AM169*$AY$102)))))))))</f>
        <v>0</v>
      </c>
      <c r="AZ169" s="172">
        <f>IF(K169=$K$53,0,IF(K169=$K$54,0,IF(K169=$K$55,0,IF(K169=$K$56,0,IF(K169=$K$58,0,IF(K169=$K$50,0,IF(K169=$K$65,0,IF(K169=$K$57,0,IF(K169=$K$51,0,AM169*$AZ$102)))))))))</f>
        <v>0</v>
      </c>
      <c r="BA169" s="172">
        <f t="shared" si="30"/>
        <v>0</v>
      </c>
      <c r="BB169" s="173">
        <f>IF($BA$97=1,AQ169*$BB$102,IF(K169=$K$50,0,IF(K169=$K$53,0,IF(K169=$K$54,0,IF(K169=$K$55,0,IF(K169=$K$56,0,IF(K169=$K$57,0,IF(K169=$K$58,0,IF(K169=$K$65,0,IF(K169=$K$66,0,IF(K169=$K$67,0,IF(K169=$K$68,0,IF(K169=$K$69,0,IF(K169=$K$51,0,1)))))))))))*AQ169*$BB$102)))</f>
        <v>0</v>
      </c>
      <c r="BC169" s="172">
        <f t="shared" si="31"/>
        <v>0</v>
      </c>
      <c r="BD169" s="172">
        <f t="shared" si="32"/>
        <v>0</v>
      </c>
      <c r="BE169" s="172">
        <f>IF($BE$95=I169,$BE$97,IF(I169=$BE$96,$BE$97,1))*($BE$102*AQ169)*$AZ$97</f>
        <v>0</v>
      </c>
      <c r="BF169" s="172">
        <f>IF('[1]Cockpit Retorno'!$C$65=Sim,Mestre!BA169,SUM(BB169:BE169)+(IF(K169=$K$56,AQ169*MOE_IRRF_LR,0)))</f>
        <v>0</v>
      </c>
      <c r="BG169" s="174">
        <f>IF(AA169&gt;0,0,IF(Z169=$Z$82,AG169*1,(IF(Z169=$Z$81,AG169*1,0))))</f>
        <v>0</v>
      </c>
      <c r="BH169" s="174">
        <f>IF(AA169&gt;0,0,IF(Z169=$Z$83,AG169*1,IF(Z169=$Z$81,AG169*1,0)))</f>
        <v>0</v>
      </c>
      <c r="BI169" s="174">
        <f>IF(AA169&gt;0,0,IF(Z169=$Z$84,AG169*1,IF(Z169=$Z$93,AG169*2,IF(Z169=$Z$100,AG169,IF(Z169=$Z$81,AG169*2,IF(Z169=$Z$80,AG169*1,IF(Z169=$Z$79,AG169*3,IF(Z169=$Z$78,AG169*2,0))))))))</f>
        <v>0</v>
      </c>
      <c r="BJ169" s="174">
        <f>IF(AA169&gt;0,0,IF(Z169=$Z$85,AG169,IF(Z169=$Z$93,AG169,IF(Z169=$Z$100,AG169,IF(Z169=$Z$81,AG169*1,IF(Z169=$Z$80,AG169*2,IF(Z169=$Z$79,AG169*2,IF(Z169=$Z$78,AG169*2,0))))))))</f>
        <v>0</v>
      </c>
      <c r="BK169" s="174">
        <f>IF(AA169&gt;0,0,IF(Z169=$Z$92,AG169,0))</f>
        <v>0</v>
      </c>
      <c r="BL169" s="174">
        <f>IF(AA169&gt;0,0,IF(Z169=$Z$91,AG169,0))</f>
        <v>0</v>
      </c>
      <c r="BM169" s="174">
        <f>IF(AA169&gt;0,0,IF(Z169=$Z$86,AG169,0))</f>
        <v>0</v>
      </c>
      <c r="BN169" s="174">
        <f>IF(AA169&gt;0,0,IF(Z169=$Z$87,AG169,0))</f>
        <v>0</v>
      </c>
      <c r="BO169" s="174">
        <f>IF(AA169&gt;0,0,IF(Z169=$Z$88,AG169,0))</f>
        <v>0</v>
      </c>
      <c r="BP169" s="174">
        <f>IF(AA169&gt;0,0,IF(Z169=$Z$89,AG169,0))</f>
        <v>0</v>
      </c>
      <c r="BQ169" s="174">
        <f>IF(AA169&gt;0,0,IF(Z169=$Z$90,AG169,0))</f>
        <v>0</v>
      </c>
      <c r="BR169" s="174">
        <f>IF(Z169=$Z$82,AA169*AG169,0)</f>
        <v>0</v>
      </c>
      <c r="BS169" s="174">
        <f>IF(Z169=$Z$83,AA169*AG169,0)</f>
        <v>0</v>
      </c>
      <c r="BT169" s="174">
        <f>IF(AA169&lt;1,0,IF(Z169=$Z$84,AA169*AG169,IF(Z169=$Z$93,"ERRO",IF(Z169=$Z$100,"ERRO",0))))</f>
        <v>0</v>
      </c>
      <c r="BU169" s="174">
        <f>IF(AA169&lt;1,0,IF(Z169=$Z$85,AA169*AG169,IF(Z169=$Z$93,"ERRO",IF(Z169=$Z$100,"ERRO",0))))</f>
        <v>0</v>
      </c>
      <c r="BV169" s="174">
        <f>IF(Z169=$Z$92,AA169*AG169,0)</f>
        <v>0</v>
      </c>
      <c r="BW169" s="174">
        <f>IF(Z169=$Z$91,AA169*AG169,0)</f>
        <v>0</v>
      </c>
      <c r="BX169" s="174">
        <f>IF(Z169=$Z$86,AA169*AG169,0)</f>
        <v>0</v>
      </c>
      <c r="BY169" s="174">
        <f>IF(Z169=$Z$87,AA169*AG169,0)</f>
        <v>0</v>
      </c>
      <c r="BZ169" s="174">
        <f>IF(Z169=$Z$88,AA169*AG169,0)</f>
        <v>0</v>
      </c>
      <c r="CA169" s="174">
        <f>IF(Z169=$Z$89,AA169*AG169,0)</f>
        <v>0</v>
      </c>
      <c r="CB169" s="174">
        <f>IF(Z169=$Z$90,AA169*AG169,0)</f>
        <v>0</v>
      </c>
      <c r="CC169" s="175">
        <f>IFERROR(IF(L169=$L$49,AG169*AH169*(1+AI169)*(1-AK169)*(1-AL169),0),0)</f>
        <v>430.44119999999998</v>
      </c>
      <c r="CD169" s="203">
        <f>IF(I169=$CD$97,1,IF(I169=$CD$100,2,IF(K169=$K$66,1,IF(K169=$K$69,1,3))))</f>
        <v>1</v>
      </c>
      <c r="CE169" s="203">
        <f t="shared" si="14"/>
        <v>1.07</v>
      </c>
      <c r="CF169" s="204">
        <f t="shared" si="33"/>
        <v>1.2353999999999998</v>
      </c>
      <c r="CG169" s="203">
        <f t="shared" si="15"/>
        <v>1.42</v>
      </c>
      <c r="CH169" s="204">
        <f t="shared" si="34"/>
        <v>1.5478000000000001</v>
      </c>
      <c r="CI169" s="203">
        <f t="shared" si="16"/>
        <v>1.7</v>
      </c>
      <c r="CJ169" s="205">
        <f t="shared" si="17"/>
        <v>1.0486</v>
      </c>
      <c r="CK169" s="205">
        <f t="shared" si="18"/>
        <v>1.148922</v>
      </c>
      <c r="CL169" s="205">
        <f t="shared" si="19"/>
        <v>1.3915999999999999</v>
      </c>
      <c r="CM169" s="205">
        <f t="shared" si="20"/>
        <v>1.501366</v>
      </c>
      <c r="CN169" s="206">
        <f t="shared" si="21"/>
        <v>1.6319999999999999</v>
      </c>
      <c r="CO169" s="204">
        <f t="shared" si="25"/>
        <v>1.006656</v>
      </c>
      <c r="CP169" s="207">
        <f t="shared" si="35"/>
        <v>0</v>
      </c>
      <c r="CQ169" s="208">
        <f t="shared" si="36"/>
        <v>0</v>
      </c>
      <c r="CR169" s="209">
        <f t="shared" si="37"/>
        <v>0</v>
      </c>
      <c r="CS169" s="49"/>
      <c r="CT169" s="49"/>
      <c r="CU169" s="49"/>
      <c r="CV169" s="49"/>
      <c r="CW169" s="49"/>
      <c r="CX169" s="49"/>
      <c r="CY169" s="49"/>
      <c r="CZ169" s="49"/>
      <c r="DA169" s="49"/>
      <c r="DB169" s="49"/>
      <c r="DC169" s="49"/>
      <c r="DD169" s="49"/>
      <c r="DE169" s="49"/>
      <c r="DF169" s="49"/>
      <c r="DG169" s="49"/>
      <c r="DH169" s="49"/>
      <c r="DI169" s="49"/>
      <c r="DJ169" s="49"/>
      <c r="DK169" s="49"/>
      <c r="DL169" s="49"/>
      <c r="DM169" s="49"/>
      <c r="DN169" s="49"/>
      <c r="DO169" s="49"/>
      <c r="DP169" s="49"/>
      <c r="DQ169" s="49"/>
      <c r="DR169" s="49"/>
      <c r="DS169" s="49"/>
      <c r="DT169" s="49"/>
      <c r="DU169" s="49"/>
      <c r="DV169" s="49"/>
      <c r="DW169" s="49"/>
      <c r="DX169" s="49"/>
      <c r="DY169" s="49"/>
      <c r="DZ169" s="49"/>
      <c r="EA169" s="49"/>
      <c r="EB169" s="49"/>
      <c r="EC169" s="49"/>
      <c r="ED169" s="49"/>
      <c r="EE169" s="49"/>
      <c r="EF169" s="49"/>
      <c r="EG169" s="49"/>
      <c r="EH169" s="49"/>
      <c r="EI169" s="49"/>
      <c r="EJ169" s="49"/>
      <c r="EK169" s="49"/>
      <c r="EL169" s="49"/>
      <c r="EM169" s="49"/>
      <c r="EN169" s="49"/>
      <c r="EO169" s="49"/>
      <c r="EP169" s="49"/>
      <c r="EQ169" s="49"/>
      <c r="ER169" s="49"/>
      <c r="ES169" s="49"/>
      <c r="ET169" s="49"/>
      <c r="EU169" s="49"/>
      <c r="EV169" s="49"/>
      <c r="EW169" s="49"/>
      <c r="EX169" s="49"/>
      <c r="EY169" s="49"/>
      <c r="EZ169" s="49"/>
      <c r="FA169" s="49"/>
    </row>
    <row r="170" spans="1:157" s="210" customFormat="1" ht="63.75" x14ac:dyDescent="0.25">
      <c r="A170" s="113">
        <f>IF(AND('[1]Cockpit Retorno'!$E$67=Sim,Mestre!M170=Mestre!$M$98),0,1)</f>
        <v>1</v>
      </c>
      <c r="B170" s="113">
        <f>IF(AND('[1]Cockpit Retorno'!$E$67=Sim,Mestre!L170=Mestre!$L$48),0,1)</f>
        <v>1</v>
      </c>
      <c r="C170" s="113">
        <f>IF(AND('[1]Cockpit Retorno'!$E$67=Sim,Mestre!M170=Mestre!$M$97),0,1)</f>
        <v>1</v>
      </c>
      <c r="D170" s="148" t="s">
        <v>7</v>
      </c>
      <c r="E170" s="115"/>
      <c r="F170" s="116" t="s">
        <v>107</v>
      </c>
      <c r="G170" s="149"/>
      <c r="H170" s="150" t="s">
        <v>7</v>
      </c>
      <c r="I170" s="151" t="str">
        <f t="shared" si="26"/>
        <v>Mercadorias</v>
      </c>
      <c r="J170" s="150" t="s">
        <v>15</v>
      </c>
      <c r="K170" s="152" t="s">
        <v>7</v>
      </c>
      <c r="L170" s="153" t="s">
        <v>21</v>
      </c>
      <c r="M170" s="154" t="s">
        <v>290</v>
      </c>
      <c r="N170" s="155" t="s">
        <v>309</v>
      </c>
      <c r="O170" s="155" t="s">
        <v>292</v>
      </c>
      <c r="P170" s="155" t="s">
        <v>43</v>
      </c>
      <c r="Q170" s="155" t="s">
        <v>43</v>
      </c>
      <c r="R170" s="155" t="s">
        <v>43</v>
      </c>
      <c r="S170" s="156" t="s">
        <v>43</v>
      </c>
      <c r="T170" s="156" t="s">
        <v>43</v>
      </c>
      <c r="U170" s="150" t="s">
        <v>43</v>
      </c>
      <c r="V170" s="150" t="s">
        <v>43</v>
      </c>
      <c r="W170" s="150" t="s">
        <v>43</v>
      </c>
      <c r="X170" s="157" t="s">
        <v>324</v>
      </c>
      <c r="Y170" s="150"/>
      <c r="Z170" s="150"/>
      <c r="AA170" s="158">
        <v>0</v>
      </c>
      <c r="AB170" s="155" t="s">
        <v>43</v>
      </c>
      <c r="AC170" s="150" t="s">
        <v>43</v>
      </c>
      <c r="AD170" s="155" t="s">
        <v>43</v>
      </c>
      <c r="AE170" s="155"/>
      <c r="AF170" s="150" t="s">
        <v>43</v>
      </c>
      <c r="AG170" s="159">
        <v>20</v>
      </c>
      <c r="AH170" s="159">
        <v>227.85000000000002</v>
      </c>
      <c r="AI170" s="202">
        <v>0</v>
      </c>
      <c r="AJ170" s="161">
        <v>7.0000000000000007E-2</v>
      </c>
      <c r="AK170" s="162">
        <v>0.05</v>
      </c>
      <c r="AL170" s="163"/>
      <c r="AM170" s="164">
        <f>(((IF(L170=$L$101,1,IF(L170=$L$47,1,0))*(AH170*(1-AK170)))*AG170)*(1-AL170))</f>
        <v>0</v>
      </c>
      <c r="AN170" s="165">
        <f>IF(K170=$K$50,AM170,IF(K170=$K$53,AM170,IF(K170=$K$54,AM170,IF(K170=$K$55,AM170,IF(K170=$K$56,AM170,IF(K170=$K$57,AM170,IF(K170=$K$58,AM170,IF(K170=$K$65,AM170,IF(K170=$K$66,AM170,IF(K170=$K$67,AM170,IF(K170=$K$68,AM170,IF(K170=$K$69,AM170,IF(K170=$K$51,AM170,(AM170*(1+AI170)))))))))))))))</f>
        <v>0</v>
      </c>
      <c r="AO170" s="166">
        <v>1.4</v>
      </c>
      <c r="AP170" s="160">
        <f t="shared" si="27"/>
        <v>0</v>
      </c>
      <c r="AQ170" s="167">
        <f t="shared" si="24"/>
        <v>0</v>
      </c>
      <c r="AR170" s="160">
        <f t="shared" si="28"/>
        <v>0</v>
      </c>
      <c r="AS170" s="168">
        <f t="shared" si="29"/>
        <v>0</v>
      </c>
      <c r="AT170" s="169" t="str">
        <f>K170</f>
        <v>MI</v>
      </c>
      <c r="AU170" s="169" t="str">
        <f>I170</f>
        <v>Mercadorias</v>
      </c>
      <c r="AV170" s="170"/>
      <c r="AW170" s="171">
        <f>IF(K170=$K$50,0,IF(K170=$K$53,0,IF(K170=$K$54,0,IF(K170=$K$55,0,IF(K170=$K$56,0,IF(K170=$K$57,0,IF(K170=$K$58,0,IF(K170=$K$65,0,IF(K170=$K$66,0,IF(K170=$K$67,0,IF(K170=$K$68,0,IF(K170=$K$69,0,IF(K170=$K$51,0,1))))))))))))*AM170*AI170)</f>
        <v>0</v>
      </c>
      <c r="AX170" s="172">
        <f>IF(K170=$K$50,0,IF(K170=$K$53,0,IF(K170=$K$54,0,IF(K170=$K$55,0,IF(K170=$K$56,0,IF(K170=$K$57,0,IF(K170=$K$58,0,IF(K170=$K$65,0,IF(K170=$K$66,0,IF(K170=$K$67,0,IF(K170=$K$68,0,IF(K170=$K$69,0,IF(K170=$K$51,0,1))))))))))))*AM170*AJ170*$AX$94)</f>
        <v>0</v>
      </c>
      <c r="AY170" s="172">
        <f>IF(K170=$K$53,0,IF(K170=$K$54,0,IF(K170=$K$55,0,IF(K170=$K$56,0,IF(K170=$K$58,0,IF(K170=$K$50,0,IF(K170=$K$65,0,IF(K170=$K$57,0,IF(K170=$K$51,0,AM170*$AY$102)))))))))</f>
        <v>0</v>
      </c>
      <c r="AZ170" s="172">
        <f>IF(K170=$K$53,0,IF(K170=$K$54,0,IF(K170=$K$55,0,IF(K170=$K$56,0,IF(K170=$K$58,0,IF(K170=$K$50,0,IF(K170=$K$65,0,IF(K170=$K$57,0,IF(K170=$K$51,0,AM170*$AZ$102)))))))))</f>
        <v>0</v>
      </c>
      <c r="BA170" s="172">
        <f t="shared" si="30"/>
        <v>0</v>
      </c>
      <c r="BB170" s="173">
        <f>IF($BA$97=1,AQ170*$BB$102,IF(K170=$K$50,0,IF(K170=$K$53,0,IF(K170=$K$54,0,IF(K170=$K$55,0,IF(K170=$K$56,0,IF(K170=$K$57,0,IF(K170=$K$58,0,IF(K170=$K$65,0,IF(K170=$K$66,0,IF(K170=$K$67,0,IF(K170=$K$68,0,IF(K170=$K$69,0,IF(K170=$K$51,0,1)))))))))))*AQ170*$BB$102)))</f>
        <v>0</v>
      </c>
      <c r="BC170" s="172">
        <f t="shared" si="31"/>
        <v>0</v>
      </c>
      <c r="BD170" s="172">
        <f t="shared" si="32"/>
        <v>0</v>
      </c>
      <c r="BE170" s="172">
        <f>IF($BE$95=I170,$BE$97,IF(I170=$BE$96,$BE$97,1))*($BE$102*AQ170)*$AZ$97</f>
        <v>0</v>
      </c>
      <c r="BF170" s="172">
        <f>IF('[1]Cockpit Retorno'!$C$65=Sim,Mestre!BA170,SUM(BB170:BE170)+(IF(K170=$K$56,AQ170*MOE_IRRF_LR,0)))</f>
        <v>0</v>
      </c>
      <c r="BG170" s="174">
        <f>IF(AA170&gt;0,0,IF(Z170=$Z$82,AG170*1,(IF(Z170=$Z$81,AG170*1,0))))</f>
        <v>0</v>
      </c>
      <c r="BH170" s="174">
        <f>IF(AA170&gt;0,0,IF(Z170=$Z$83,AG170*1,IF(Z170=$Z$81,AG170*1,0)))</f>
        <v>0</v>
      </c>
      <c r="BI170" s="174">
        <f>IF(AA170&gt;0,0,IF(Z170=$Z$84,AG170*1,IF(Z170=$Z$93,AG170*2,IF(Z170=$Z$100,AG170,IF(Z170=$Z$81,AG170*2,IF(Z170=$Z$80,AG170*1,IF(Z170=$Z$79,AG170*3,IF(Z170=$Z$78,AG170*2,0))))))))</f>
        <v>0</v>
      </c>
      <c r="BJ170" s="174">
        <f>IF(AA170&gt;0,0,IF(Z170=$Z$85,AG170,IF(Z170=$Z$93,AG170,IF(Z170=$Z$100,AG170,IF(Z170=$Z$81,AG170*1,IF(Z170=$Z$80,AG170*2,IF(Z170=$Z$79,AG170*2,IF(Z170=$Z$78,AG170*2,0))))))))</f>
        <v>0</v>
      </c>
      <c r="BK170" s="174">
        <f>IF(AA170&gt;0,0,IF(Z170=$Z$92,AG170,0))</f>
        <v>0</v>
      </c>
      <c r="BL170" s="174">
        <f>IF(AA170&gt;0,0,IF(Z170=$Z$91,AG170,0))</f>
        <v>0</v>
      </c>
      <c r="BM170" s="174">
        <f>IF(AA170&gt;0,0,IF(Z170=$Z$86,AG170,0))</f>
        <v>0</v>
      </c>
      <c r="BN170" s="174">
        <f>IF(AA170&gt;0,0,IF(Z170=$Z$87,AG170,0))</f>
        <v>0</v>
      </c>
      <c r="BO170" s="174">
        <f>IF(AA170&gt;0,0,IF(Z170=$Z$88,AG170,0))</f>
        <v>0</v>
      </c>
      <c r="BP170" s="174">
        <f>IF(AA170&gt;0,0,IF(Z170=$Z$89,AG170,0))</f>
        <v>0</v>
      </c>
      <c r="BQ170" s="174">
        <f>IF(AA170&gt;0,0,IF(Z170=$Z$90,AG170,0))</f>
        <v>0</v>
      </c>
      <c r="BR170" s="174">
        <f>IF(Z170=$Z$82,AA170*AG170,0)</f>
        <v>0</v>
      </c>
      <c r="BS170" s="174">
        <f>IF(Z170=$Z$83,AA170*AG170,0)</f>
        <v>0</v>
      </c>
      <c r="BT170" s="174">
        <f>IF(AA170&lt;1,0,IF(Z170=$Z$84,AA170*AG170,IF(Z170=$Z$93,"ERRO",IF(Z170=$Z$100,"ERRO",0))))</f>
        <v>0</v>
      </c>
      <c r="BU170" s="174">
        <f>IF(AA170&lt;1,0,IF(Z170=$Z$85,AA170*AG170,IF(Z170=$Z$93,"ERRO",IF(Z170=$Z$100,"ERRO",0))))</f>
        <v>0</v>
      </c>
      <c r="BV170" s="174">
        <f>IF(Z170=$Z$92,AA170*AG170,0)</f>
        <v>0</v>
      </c>
      <c r="BW170" s="174">
        <f>IF(Z170=$Z$91,AA170*AG170,0)</f>
        <v>0</v>
      </c>
      <c r="BX170" s="174">
        <f>IF(Z170=$Z$86,AA170*AG170,0)</f>
        <v>0</v>
      </c>
      <c r="BY170" s="174">
        <f>IF(Z170=$Z$87,AA170*AG170,0)</f>
        <v>0</v>
      </c>
      <c r="BZ170" s="174">
        <f>IF(Z170=$Z$88,AA170*AG170,0)</f>
        <v>0</v>
      </c>
      <c r="CA170" s="174">
        <f>IF(Z170=$Z$89,AA170*AG170,0)</f>
        <v>0</v>
      </c>
      <c r="CB170" s="174">
        <f>IF(Z170=$Z$90,AA170*AG170,0)</f>
        <v>0</v>
      </c>
      <c r="CC170" s="175">
        <f>IFERROR(IF(L170=$L$49,AG170*AH170*(1+AI170)*(1-AK170)*(1-AL170),0),0)</f>
        <v>4329.1499999999996</v>
      </c>
      <c r="CD170" s="203">
        <f>IF(I170=$CD$97,1,IF(I170=$CD$100,2,IF(K170=$K$66,1,IF(K170=$K$69,1,3))))</f>
        <v>1</v>
      </c>
      <c r="CE170" s="203">
        <f t="shared" si="14"/>
        <v>1.07</v>
      </c>
      <c r="CF170" s="204">
        <f t="shared" si="33"/>
        <v>1.2353999999999998</v>
      </c>
      <c r="CG170" s="203">
        <f t="shared" si="15"/>
        <v>1.42</v>
      </c>
      <c r="CH170" s="204">
        <f t="shared" si="34"/>
        <v>1.5478000000000001</v>
      </c>
      <c r="CI170" s="203">
        <f t="shared" si="16"/>
        <v>1.7</v>
      </c>
      <c r="CJ170" s="205">
        <f t="shared" si="17"/>
        <v>1.0486</v>
      </c>
      <c r="CK170" s="205">
        <f t="shared" si="18"/>
        <v>1.148922</v>
      </c>
      <c r="CL170" s="205">
        <f t="shared" si="19"/>
        <v>1.3915999999999999</v>
      </c>
      <c r="CM170" s="205">
        <f t="shared" si="20"/>
        <v>1.501366</v>
      </c>
      <c r="CN170" s="206">
        <f t="shared" si="21"/>
        <v>1.6319999999999999</v>
      </c>
      <c r="CO170" s="204">
        <f t="shared" si="25"/>
        <v>1.006656</v>
      </c>
      <c r="CP170" s="207">
        <f t="shared" si="35"/>
        <v>0</v>
      </c>
      <c r="CQ170" s="208">
        <f t="shared" si="36"/>
        <v>0</v>
      </c>
      <c r="CR170" s="209">
        <f t="shared" si="37"/>
        <v>0</v>
      </c>
      <c r="CS170" s="49"/>
      <c r="CT170" s="49"/>
      <c r="CU170" s="49"/>
      <c r="CV170" s="49"/>
      <c r="CW170" s="49"/>
      <c r="CX170" s="49"/>
      <c r="CY170" s="49"/>
      <c r="CZ170" s="49"/>
      <c r="DA170" s="49"/>
      <c r="DB170" s="49"/>
      <c r="DC170" s="49"/>
      <c r="DD170" s="49"/>
      <c r="DE170" s="49"/>
      <c r="DF170" s="49"/>
      <c r="DG170" s="49"/>
      <c r="DH170" s="49"/>
      <c r="DI170" s="49"/>
      <c r="DJ170" s="49"/>
      <c r="DK170" s="49"/>
      <c r="DL170" s="49"/>
      <c r="DM170" s="49"/>
      <c r="DN170" s="49"/>
      <c r="DO170" s="49"/>
      <c r="DP170" s="49"/>
      <c r="DQ170" s="49"/>
      <c r="DR170" s="49"/>
      <c r="DS170" s="49"/>
      <c r="DT170" s="49"/>
      <c r="DU170" s="49"/>
      <c r="DV170" s="49"/>
      <c r="DW170" s="49"/>
      <c r="DX170" s="49"/>
      <c r="DY170" s="49"/>
      <c r="DZ170" s="49"/>
      <c r="EA170" s="49"/>
      <c r="EB170" s="49"/>
      <c r="EC170" s="49"/>
      <c r="ED170" s="49"/>
      <c r="EE170" s="49"/>
      <c r="EF170" s="49"/>
      <c r="EG170" s="49"/>
      <c r="EH170" s="49"/>
      <c r="EI170" s="49"/>
      <c r="EJ170" s="49"/>
      <c r="EK170" s="49"/>
      <c r="EL170" s="49"/>
      <c r="EM170" s="49"/>
      <c r="EN170" s="49"/>
      <c r="EO170" s="49"/>
      <c r="EP170" s="49"/>
      <c r="EQ170" s="49"/>
      <c r="ER170" s="49"/>
      <c r="ES170" s="49"/>
      <c r="ET170" s="49"/>
      <c r="EU170" s="49"/>
      <c r="EV170" s="49"/>
      <c r="EW170" s="49"/>
      <c r="EX170" s="49"/>
      <c r="EY170" s="49"/>
      <c r="EZ170" s="49"/>
      <c r="FA170" s="49"/>
    </row>
    <row r="171" spans="1:157" s="210" customFormat="1" ht="51" x14ac:dyDescent="0.25">
      <c r="A171" s="113">
        <f>IF(AND('[1]Cockpit Retorno'!$E$67=Sim,Mestre!M171=Mestre!$M$98),0,1)</f>
        <v>1</v>
      </c>
      <c r="B171" s="113">
        <f>IF(AND('[1]Cockpit Retorno'!$E$67=Sim,Mestre!L171=Mestre!$L$48),0,1)</f>
        <v>1</v>
      </c>
      <c r="C171" s="113">
        <f>IF(AND('[1]Cockpit Retorno'!$E$67=Sim,Mestre!M171=Mestre!$M$97),0,1)</f>
        <v>1</v>
      </c>
      <c r="D171" s="148" t="s">
        <v>7</v>
      </c>
      <c r="E171" s="115"/>
      <c r="F171" s="116" t="s">
        <v>107</v>
      </c>
      <c r="G171" s="149"/>
      <c r="H171" s="150" t="s">
        <v>7</v>
      </c>
      <c r="I171" s="151" t="str">
        <f t="shared" si="26"/>
        <v>Mercadorias</v>
      </c>
      <c r="J171" s="150" t="s">
        <v>15</v>
      </c>
      <c r="K171" s="152" t="s">
        <v>7</v>
      </c>
      <c r="L171" s="153" t="s">
        <v>21</v>
      </c>
      <c r="M171" s="154" t="s">
        <v>290</v>
      </c>
      <c r="N171" s="155" t="s">
        <v>309</v>
      </c>
      <c r="O171" s="155" t="s">
        <v>292</v>
      </c>
      <c r="P171" s="155" t="s">
        <v>43</v>
      </c>
      <c r="Q171" s="155" t="s">
        <v>43</v>
      </c>
      <c r="R171" s="155" t="s">
        <v>43</v>
      </c>
      <c r="S171" s="156" t="s">
        <v>43</v>
      </c>
      <c r="T171" s="156" t="s">
        <v>43</v>
      </c>
      <c r="U171" s="150" t="s">
        <v>43</v>
      </c>
      <c r="V171" s="150" t="s">
        <v>43</v>
      </c>
      <c r="W171" s="150" t="s">
        <v>43</v>
      </c>
      <c r="X171" s="157" t="s">
        <v>325</v>
      </c>
      <c r="Y171" s="150"/>
      <c r="Z171" s="150"/>
      <c r="AA171" s="158">
        <v>0</v>
      </c>
      <c r="AB171" s="155" t="s">
        <v>43</v>
      </c>
      <c r="AC171" s="150" t="s">
        <v>43</v>
      </c>
      <c r="AD171" s="155" t="s">
        <v>43</v>
      </c>
      <c r="AE171" s="155"/>
      <c r="AF171" s="150" t="s">
        <v>43</v>
      </c>
      <c r="AG171" s="159">
        <v>3</v>
      </c>
      <c r="AH171" s="159">
        <v>157.8117</v>
      </c>
      <c r="AI171" s="202">
        <v>0</v>
      </c>
      <c r="AJ171" s="161">
        <v>7.0000000000000007E-2</v>
      </c>
      <c r="AK171" s="162">
        <v>0.05</v>
      </c>
      <c r="AL171" s="163"/>
      <c r="AM171" s="164">
        <f>(((IF(L171=$L$101,1,IF(L171=$L$47,1,0))*(AH171*(1-AK171)))*AG171)*(1-AL171))</f>
        <v>0</v>
      </c>
      <c r="AN171" s="165">
        <f>IF(K171=$K$50,AM171,IF(K171=$K$53,AM171,IF(K171=$K$54,AM171,IF(K171=$K$55,AM171,IF(K171=$K$56,AM171,IF(K171=$K$57,AM171,IF(K171=$K$58,AM171,IF(K171=$K$65,AM171,IF(K171=$K$66,AM171,IF(K171=$K$67,AM171,IF(K171=$K$68,AM171,IF(K171=$K$69,AM171,IF(K171=$K$51,AM171,(AM171*(1+AI171)))))))))))))))</f>
        <v>0</v>
      </c>
      <c r="AO171" s="166">
        <v>1.4</v>
      </c>
      <c r="AP171" s="160">
        <f t="shared" si="27"/>
        <v>0</v>
      </c>
      <c r="AQ171" s="167">
        <f t="shared" si="24"/>
        <v>0</v>
      </c>
      <c r="AR171" s="160">
        <f t="shared" si="28"/>
        <v>0</v>
      </c>
      <c r="AS171" s="168">
        <f t="shared" si="29"/>
        <v>0</v>
      </c>
      <c r="AT171" s="169" t="str">
        <f>K171</f>
        <v>MI</v>
      </c>
      <c r="AU171" s="169" t="str">
        <f>I171</f>
        <v>Mercadorias</v>
      </c>
      <c r="AV171" s="170"/>
      <c r="AW171" s="171">
        <f>IF(K171=$K$50,0,IF(K171=$K$53,0,IF(K171=$K$54,0,IF(K171=$K$55,0,IF(K171=$K$56,0,IF(K171=$K$57,0,IF(K171=$K$58,0,IF(K171=$K$65,0,IF(K171=$K$66,0,IF(K171=$K$67,0,IF(K171=$K$68,0,IF(K171=$K$69,0,IF(K171=$K$51,0,1))))))))))))*AM171*AI171)</f>
        <v>0</v>
      </c>
      <c r="AX171" s="172">
        <f>IF(K171=$K$50,0,IF(K171=$K$53,0,IF(K171=$K$54,0,IF(K171=$K$55,0,IF(K171=$K$56,0,IF(K171=$K$57,0,IF(K171=$K$58,0,IF(K171=$K$65,0,IF(K171=$K$66,0,IF(K171=$K$67,0,IF(K171=$K$68,0,IF(K171=$K$69,0,IF(K171=$K$51,0,1))))))))))))*AM171*AJ171*$AX$94)</f>
        <v>0</v>
      </c>
      <c r="AY171" s="172">
        <f>IF(K171=$K$53,0,IF(K171=$K$54,0,IF(K171=$K$55,0,IF(K171=$K$56,0,IF(K171=$K$58,0,IF(K171=$K$50,0,IF(K171=$K$65,0,IF(K171=$K$57,0,IF(K171=$K$51,0,AM171*$AY$102)))))))))</f>
        <v>0</v>
      </c>
      <c r="AZ171" s="172">
        <f>IF(K171=$K$53,0,IF(K171=$K$54,0,IF(K171=$K$55,0,IF(K171=$K$56,0,IF(K171=$K$58,0,IF(K171=$K$50,0,IF(K171=$K$65,0,IF(K171=$K$57,0,IF(K171=$K$51,0,AM171*$AZ$102)))))))))</f>
        <v>0</v>
      </c>
      <c r="BA171" s="172">
        <f t="shared" si="30"/>
        <v>0</v>
      </c>
      <c r="BB171" s="173">
        <f>IF($BA$97=1,AQ171*$BB$102,IF(K171=$K$50,0,IF(K171=$K$53,0,IF(K171=$K$54,0,IF(K171=$K$55,0,IF(K171=$K$56,0,IF(K171=$K$57,0,IF(K171=$K$58,0,IF(K171=$K$65,0,IF(K171=$K$66,0,IF(K171=$K$67,0,IF(K171=$K$68,0,IF(K171=$K$69,0,IF(K171=$K$51,0,1)))))))))))*AQ171*$BB$102)))</f>
        <v>0</v>
      </c>
      <c r="BC171" s="172">
        <f t="shared" si="31"/>
        <v>0</v>
      </c>
      <c r="BD171" s="172">
        <f t="shared" si="32"/>
        <v>0</v>
      </c>
      <c r="BE171" s="172">
        <f>IF($BE$95=I171,$BE$97,IF(I171=$BE$96,$BE$97,1))*($BE$102*AQ171)*$AZ$97</f>
        <v>0</v>
      </c>
      <c r="BF171" s="172">
        <f>IF('[1]Cockpit Retorno'!$C$65=Sim,Mestre!BA171,SUM(BB171:BE171)+(IF(K171=$K$56,AQ171*MOE_IRRF_LR,0)))</f>
        <v>0</v>
      </c>
      <c r="BG171" s="174">
        <f>IF(AA171&gt;0,0,IF(Z171=$Z$82,AG171*1,(IF(Z171=$Z$81,AG171*1,0))))</f>
        <v>0</v>
      </c>
      <c r="BH171" s="174">
        <f>IF(AA171&gt;0,0,IF(Z171=$Z$83,AG171*1,IF(Z171=$Z$81,AG171*1,0)))</f>
        <v>0</v>
      </c>
      <c r="BI171" s="174">
        <f>IF(AA171&gt;0,0,IF(Z171=$Z$84,AG171*1,IF(Z171=$Z$93,AG171*2,IF(Z171=$Z$100,AG171,IF(Z171=$Z$81,AG171*2,IF(Z171=$Z$80,AG171*1,IF(Z171=$Z$79,AG171*3,IF(Z171=$Z$78,AG171*2,0))))))))</f>
        <v>0</v>
      </c>
      <c r="BJ171" s="174">
        <f>IF(AA171&gt;0,0,IF(Z171=$Z$85,AG171,IF(Z171=$Z$93,AG171,IF(Z171=$Z$100,AG171,IF(Z171=$Z$81,AG171*1,IF(Z171=$Z$80,AG171*2,IF(Z171=$Z$79,AG171*2,IF(Z171=$Z$78,AG171*2,0))))))))</f>
        <v>0</v>
      </c>
      <c r="BK171" s="174">
        <f>IF(AA171&gt;0,0,IF(Z171=$Z$92,AG171,0))</f>
        <v>0</v>
      </c>
      <c r="BL171" s="174">
        <f>IF(AA171&gt;0,0,IF(Z171=$Z$91,AG171,0))</f>
        <v>0</v>
      </c>
      <c r="BM171" s="174">
        <f>IF(AA171&gt;0,0,IF(Z171=$Z$86,AG171,0))</f>
        <v>0</v>
      </c>
      <c r="BN171" s="174">
        <f>IF(AA171&gt;0,0,IF(Z171=$Z$87,AG171,0))</f>
        <v>0</v>
      </c>
      <c r="BO171" s="174">
        <f>IF(AA171&gt;0,0,IF(Z171=$Z$88,AG171,0))</f>
        <v>0</v>
      </c>
      <c r="BP171" s="174">
        <f>IF(AA171&gt;0,0,IF(Z171=$Z$89,AG171,0))</f>
        <v>0</v>
      </c>
      <c r="BQ171" s="174">
        <f>IF(AA171&gt;0,0,IF(Z171=$Z$90,AG171,0))</f>
        <v>0</v>
      </c>
      <c r="BR171" s="174">
        <f>IF(Z171=$Z$82,AA171*AG171,0)</f>
        <v>0</v>
      </c>
      <c r="BS171" s="174">
        <f>IF(Z171=$Z$83,AA171*AG171,0)</f>
        <v>0</v>
      </c>
      <c r="BT171" s="174">
        <f>IF(AA171&lt;1,0,IF(Z171=$Z$84,AA171*AG171,IF(Z171=$Z$93,"ERRO",IF(Z171=$Z$100,"ERRO",0))))</f>
        <v>0</v>
      </c>
      <c r="BU171" s="174">
        <f>IF(AA171&lt;1,0,IF(Z171=$Z$85,AA171*AG171,IF(Z171=$Z$93,"ERRO",IF(Z171=$Z$100,"ERRO",0))))</f>
        <v>0</v>
      </c>
      <c r="BV171" s="174">
        <f>IF(Z171=$Z$92,AA171*AG171,0)</f>
        <v>0</v>
      </c>
      <c r="BW171" s="174">
        <f>IF(Z171=$Z$91,AA171*AG171,0)</f>
        <v>0</v>
      </c>
      <c r="BX171" s="174">
        <f>IF(Z171=$Z$86,AA171*AG171,0)</f>
        <v>0</v>
      </c>
      <c r="BY171" s="174">
        <f>IF(Z171=$Z$87,AA171*AG171,0)</f>
        <v>0</v>
      </c>
      <c r="BZ171" s="174">
        <f>IF(Z171=$Z$88,AA171*AG171,0)</f>
        <v>0</v>
      </c>
      <c r="CA171" s="174">
        <f>IF(Z171=$Z$89,AA171*AG171,0)</f>
        <v>0</v>
      </c>
      <c r="CB171" s="174">
        <f>IF(Z171=$Z$90,AA171*AG171,0)</f>
        <v>0</v>
      </c>
      <c r="CC171" s="175">
        <f>IFERROR(IF(L171=$L$49,AG171*AH171*(1+AI171)*(1-AK171)*(1-AL171),0),0)</f>
        <v>449.76334500000002</v>
      </c>
      <c r="CD171" s="203">
        <f>IF(I171=$CD$97,1,IF(I171=$CD$100,2,IF(K171=$K$66,1,IF(K171=$K$69,1,3))))</f>
        <v>1</v>
      </c>
      <c r="CE171" s="203">
        <f t="shared" si="14"/>
        <v>1.07</v>
      </c>
      <c r="CF171" s="204">
        <f t="shared" si="33"/>
        <v>1.2353999999999998</v>
      </c>
      <c r="CG171" s="203">
        <f t="shared" si="15"/>
        <v>1.42</v>
      </c>
      <c r="CH171" s="204">
        <f t="shared" si="34"/>
        <v>1.5478000000000001</v>
      </c>
      <c r="CI171" s="203">
        <f t="shared" si="16"/>
        <v>1.7</v>
      </c>
      <c r="CJ171" s="205">
        <f t="shared" si="17"/>
        <v>1.0486</v>
      </c>
      <c r="CK171" s="205">
        <f t="shared" si="18"/>
        <v>1.148922</v>
      </c>
      <c r="CL171" s="205">
        <f t="shared" si="19"/>
        <v>1.3915999999999999</v>
      </c>
      <c r="CM171" s="205">
        <f t="shared" si="20"/>
        <v>1.501366</v>
      </c>
      <c r="CN171" s="206">
        <f t="shared" si="21"/>
        <v>1.6319999999999999</v>
      </c>
      <c r="CO171" s="204">
        <f t="shared" si="25"/>
        <v>1.006656</v>
      </c>
      <c r="CP171" s="207">
        <f t="shared" si="35"/>
        <v>0</v>
      </c>
      <c r="CQ171" s="208">
        <f t="shared" si="36"/>
        <v>0</v>
      </c>
      <c r="CR171" s="209">
        <f t="shared" si="37"/>
        <v>0</v>
      </c>
      <c r="CS171" s="49"/>
      <c r="CT171" s="49"/>
      <c r="CU171" s="49"/>
      <c r="CV171" s="49"/>
      <c r="CW171" s="49"/>
      <c r="CX171" s="49"/>
      <c r="CY171" s="49"/>
      <c r="CZ171" s="49"/>
      <c r="DA171" s="49"/>
      <c r="DB171" s="49"/>
      <c r="DC171" s="49"/>
      <c r="DD171" s="49"/>
      <c r="DE171" s="49"/>
      <c r="DF171" s="49"/>
      <c r="DG171" s="49"/>
      <c r="DH171" s="49"/>
      <c r="DI171" s="49"/>
      <c r="DJ171" s="49"/>
      <c r="DK171" s="49"/>
      <c r="DL171" s="49"/>
      <c r="DM171" s="49"/>
      <c r="DN171" s="49"/>
      <c r="DO171" s="49"/>
      <c r="DP171" s="49"/>
      <c r="DQ171" s="49"/>
      <c r="DR171" s="49"/>
      <c r="DS171" s="49"/>
      <c r="DT171" s="49"/>
      <c r="DU171" s="49"/>
      <c r="DV171" s="49"/>
      <c r="DW171" s="49"/>
      <c r="DX171" s="49"/>
      <c r="DY171" s="49"/>
      <c r="DZ171" s="49"/>
      <c r="EA171" s="49"/>
      <c r="EB171" s="49"/>
      <c r="EC171" s="49"/>
      <c r="ED171" s="49"/>
      <c r="EE171" s="49"/>
      <c r="EF171" s="49"/>
      <c r="EG171" s="49"/>
      <c r="EH171" s="49"/>
      <c r="EI171" s="49"/>
      <c r="EJ171" s="49"/>
      <c r="EK171" s="49"/>
      <c r="EL171" s="49"/>
      <c r="EM171" s="49"/>
      <c r="EN171" s="49"/>
      <c r="EO171" s="49"/>
      <c r="EP171" s="49"/>
      <c r="EQ171" s="49"/>
      <c r="ER171" s="49"/>
      <c r="ES171" s="49"/>
      <c r="ET171" s="49"/>
      <c r="EU171" s="49"/>
      <c r="EV171" s="49"/>
      <c r="EW171" s="49"/>
      <c r="EX171" s="49"/>
      <c r="EY171" s="49"/>
      <c r="EZ171" s="49"/>
      <c r="FA171" s="49"/>
    </row>
    <row r="172" spans="1:157" s="210" customFormat="1" ht="51" x14ac:dyDescent="0.25">
      <c r="A172" s="113">
        <f>IF(AND('[1]Cockpit Retorno'!$E$67=Sim,Mestre!M172=Mestre!$M$98),0,1)</f>
        <v>1</v>
      </c>
      <c r="B172" s="113">
        <f>IF(AND('[1]Cockpit Retorno'!$E$67=Sim,Mestre!L172=Mestre!$L$48),0,1)</f>
        <v>1</v>
      </c>
      <c r="C172" s="113">
        <f>IF(AND('[1]Cockpit Retorno'!$E$67=Sim,Mestre!M172=Mestre!$M$97),0,1)</f>
        <v>1</v>
      </c>
      <c r="D172" s="148" t="s">
        <v>7</v>
      </c>
      <c r="E172" s="115"/>
      <c r="F172" s="116" t="s">
        <v>107</v>
      </c>
      <c r="G172" s="149"/>
      <c r="H172" s="150" t="s">
        <v>7</v>
      </c>
      <c r="I172" s="151" t="str">
        <f t="shared" si="26"/>
        <v>Mercadorias</v>
      </c>
      <c r="J172" s="150" t="s">
        <v>15</v>
      </c>
      <c r="K172" s="152" t="s">
        <v>7</v>
      </c>
      <c r="L172" s="153" t="s">
        <v>21</v>
      </c>
      <c r="M172" s="154" t="s">
        <v>290</v>
      </c>
      <c r="N172" s="155" t="s">
        <v>309</v>
      </c>
      <c r="O172" s="155" t="s">
        <v>292</v>
      </c>
      <c r="P172" s="155" t="s">
        <v>43</v>
      </c>
      <c r="Q172" s="155" t="s">
        <v>43</v>
      </c>
      <c r="R172" s="155" t="s">
        <v>43</v>
      </c>
      <c r="S172" s="156" t="s">
        <v>43</v>
      </c>
      <c r="T172" s="156" t="s">
        <v>43</v>
      </c>
      <c r="U172" s="150" t="s">
        <v>43</v>
      </c>
      <c r="V172" s="150" t="s">
        <v>43</v>
      </c>
      <c r="W172" s="150" t="s">
        <v>43</v>
      </c>
      <c r="X172" s="157" t="s">
        <v>326</v>
      </c>
      <c r="Y172" s="150"/>
      <c r="Z172" s="150"/>
      <c r="AA172" s="158">
        <v>0</v>
      </c>
      <c r="AB172" s="155" t="s">
        <v>43</v>
      </c>
      <c r="AC172" s="150" t="s">
        <v>43</v>
      </c>
      <c r="AD172" s="155" t="s">
        <v>43</v>
      </c>
      <c r="AE172" s="155"/>
      <c r="AF172" s="150" t="s">
        <v>43</v>
      </c>
      <c r="AG172" s="159">
        <v>11</v>
      </c>
      <c r="AH172" s="159">
        <v>263.19929999999999</v>
      </c>
      <c r="AI172" s="202">
        <v>0</v>
      </c>
      <c r="AJ172" s="161">
        <v>7.0000000000000007E-2</v>
      </c>
      <c r="AK172" s="162">
        <v>0.05</v>
      </c>
      <c r="AL172" s="163"/>
      <c r="AM172" s="164">
        <f>(((IF(L172=$L$101,1,IF(L172=$L$47,1,0))*(AH172*(1-AK172)))*AG172)*(1-AL172))</f>
        <v>0</v>
      </c>
      <c r="AN172" s="165">
        <f>IF(K172=$K$50,AM172,IF(K172=$K$53,AM172,IF(K172=$K$54,AM172,IF(K172=$K$55,AM172,IF(K172=$K$56,AM172,IF(K172=$K$57,AM172,IF(K172=$K$58,AM172,IF(K172=$K$65,AM172,IF(K172=$K$66,AM172,IF(K172=$K$67,AM172,IF(K172=$K$68,AM172,IF(K172=$K$69,AM172,IF(K172=$K$51,AM172,(AM172*(1+AI172)))))))))))))))</f>
        <v>0</v>
      </c>
      <c r="AO172" s="166">
        <v>1.4</v>
      </c>
      <c r="AP172" s="160">
        <f t="shared" si="27"/>
        <v>0</v>
      </c>
      <c r="AQ172" s="167">
        <f t="shared" si="24"/>
        <v>0</v>
      </c>
      <c r="AR172" s="160">
        <f t="shared" si="28"/>
        <v>0</v>
      </c>
      <c r="AS172" s="168">
        <f t="shared" si="29"/>
        <v>0</v>
      </c>
      <c r="AT172" s="169" t="str">
        <f>K172</f>
        <v>MI</v>
      </c>
      <c r="AU172" s="169" t="str">
        <f>I172</f>
        <v>Mercadorias</v>
      </c>
      <c r="AV172" s="170"/>
      <c r="AW172" s="171">
        <f>IF(K172=$K$50,0,IF(K172=$K$53,0,IF(K172=$K$54,0,IF(K172=$K$55,0,IF(K172=$K$56,0,IF(K172=$K$57,0,IF(K172=$K$58,0,IF(K172=$K$65,0,IF(K172=$K$66,0,IF(K172=$K$67,0,IF(K172=$K$68,0,IF(K172=$K$69,0,IF(K172=$K$51,0,1))))))))))))*AM172*AI172)</f>
        <v>0</v>
      </c>
      <c r="AX172" s="172">
        <f>IF(K172=$K$50,0,IF(K172=$K$53,0,IF(K172=$K$54,0,IF(K172=$K$55,0,IF(K172=$K$56,0,IF(K172=$K$57,0,IF(K172=$K$58,0,IF(K172=$K$65,0,IF(K172=$K$66,0,IF(K172=$K$67,0,IF(K172=$K$68,0,IF(K172=$K$69,0,IF(K172=$K$51,0,1))))))))))))*AM172*AJ172*$AX$94)</f>
        <v>0</v>
      </c>
      <c r="AY172" s="172">
        <f>IF(K172=$K$53,0,IF(K172=$K$54,0,IF(K172=$K$55,0,IF(K172=$K$56,0,IF(K172=$K$58,0,IF(K172=$K$50,0,IF(K172=$K$65,0,IF(K172=$K$57,0,IF(K172=$K$51,0,AM172*$AY$102)))))))))</f>
        <v>0</v>
      </c>
      <c r="AZ172" s="172">
        <f>IF(K172=$K$53,0,IF(K172=$K$54,0,IF(K172=$K$55,0,IF(K172=$K$56,0,IF(K172=$K$58,0,IF(K172=$K$50,0,IF(K172=$K$65,0,IF(K172=$K$57,0,IF(K172=$K$51,0,AM172*$AZ$102)))))))))</f>
        <v>0</v>
      </c>
      <c r="BA172" s="172">
        <f t="shared" si="30"/>
        <v>0</v>
      </c>
      <c r="BB172" s="173">
        <f>IF($BA$97=1,AQ172*$BB$102,IF(K172=$K$50,0,IF(K172=$K$53,0,IF(K172=$K$54,0,IF(K172=$K$55,0,IF(K172=$K$56,0,IF(K172=$K$57,0,IF(K172=$K$58,0,IF(K172=$K$65,0,IF(K172=$K$66,0,IF(K172=$K$67,0,IF(K172=$K$68,0,IF(K172=$K$69,0,IF(K172=$K$51,0,1)))))))))))*AQ172*$BB$102)))</f>
        <v>0</v>
      </c>
      <c r="BC172" s="172">
        <f t="shared" si="31"/>
        <v>0</v>
      </c>
      <c r="BD172" s="172">
        <f t="shared" si="32"/>
        <v>0</v>
      </c>
      <c r="BE172" s="172">
        <f>IF($BE$95=I172,$BE$97,IF(I172=$BE$96,$BE$97,1))*($BE$102*AQ172)*$AZ$97</f>
        <v>0</v>
      </c>
      <c r="BF172" s="172">
        <f>IF('[1]Cockpit Retorno'!$C$65=Sim,Mestre!BA172,SUM(BB172:BE172)+(IF(K172=$K$56,AQ172*MOE_IRRF_LR,0)))</f>
        <v>0</v>
      </c>
      <c r="BG172" s="174">
        <f>IF(AA172&gt;0,0,IF(Z172=$Z$82,AG172*1,(IF(Z172=$Z$81,AG172*1,0))))</f>
        <v>0</v>
      </c>
      <c r="BH172" s="174">
        <f>IF(AA172&gt;0,0,IF(Z172=$Z$83,AG172*1,IF(Z172=$Z$81,AG172*1,0)))</f>
        <v>0</v>
      </c>
      <c r="BI172" s="174">
        <f>IF(AA172&gt;0,0,IF(Z172=$Z$84,AG172*1,IF(Z172=$Z$93,AG172*2,IF(Z172=$Z$100,AG172,IF(Z172=$Z$81,AG172*2,IF(Z172=$Z$80,AG172*1,IF(Z172=$Z$79,AG172*3,IF(Z172=$Z$78,AG172*2,0))))))))</f>
        <v>0</v>
      </c>
      <c r="BJ172" s="174">
        <f>IF(AA172&gt;0,0,IF(Z172=$Z$85,AG172,IF(Z172=$Z$93,AG172,IF(Z172=$Z$100,AG172,IF(Z172=$Z$81,AG172*1,IF(Z172=$Z$80,AG172*2,IF(Z172=$Z$79,AG172*2,IF(Z172=$Z$78,AG172*2,0))))))))</f>
        <v>0</v>
      </c>
      <c r="BK172" s="174">
        <f>IF(AA172&gt;0,0,IF(Z172=$Z$92,AG172,0))</f>
        <v>0</v>
      </c>
      <c r="BL172" s="174">
        <f>IF(AA172&gt;0,0,IF(Z172=$Z$91,AG172,0))</f>
        <v>0</v>
      </c>
      <c r="BM172" s="174">
        <f>IF(AA172&gt;0,0,IF(Z172=$Z$86,AG172,0))</f>
        <v>0</v>
      </c>
      <c r="BN172" s="174">
        <f>IF(AA172&gt;0,0,IF(Z172=$Z$87,AG172,0))</f>
        <v>0</v>
      </c>
      <c r="BO172" s="174">
        <f>IF(AA172&gt;0,0,IF(Z172=$Z$88,AG172,0))</f>
        <v>0</v>
      </c>
      <c r="BP172" s="174">
        <f>IF(AA172&gt;0,0,IF(Z172=$Z$89,AG172,0))</f>
        <v>0</v>
      </c>
      <c r="BQ172" s="174">
        <f>IF(AA172&gt;0,0,IF(Z172=$Z$90,AG172,0))</f>
        <v>0</v>
      </c>
      <c r="BR172" s="174">
        <f>IF(Z172=$Z$82,AA172*AG172,0)</f>
        <v>0</v>
      </c>
      <c r="BS172" s="174">
        <f>IF(Z172=$Z$83,AA172*AG172,0)</f>
        <v>0</v>
      </c>
      <c r="BT172" s="174">
        <f>IF(AA172&lt;1,0,IF(Z172=$Z$84,AA172*AG172,IF(Z172=$Z$93,"ERRO",IF(Z172=$Z$100,"ERRO",0))))</f>
        <v>0</v>
      </c>
      <c r="BU172" s="174">
        <f>IF(AA172&lt;1,0,IF(Z172=$Z$85,AA172*AG172,IF(Z172=$Z$93,"ERRO",IF(Z172=$Z$100,"ERRO",0))))</f>
        <v>0</v>
      </c>
      <c r="BV172" s="174">
        <f>IF(Z172=$Z$92,AA172*AG172,0)</f>
        <v>0</v>
      </c>
      <c r="BW172" s="174">
        <f>IF(Z172=$Z$91,AA172*AG172,0)</f>
        <v>0</v>
      </c>
      <c r="BX172" s="174">
        <f>IF(Z172=$Z$86,AA172*AG172,0)</f>
        <v>0</v>
      </c>
      <c r="BY172" s="174">
        <f>IF(Z172=$Z$87,AA172*AG172,0)</f>
        <v>0</v>
      </c>
      <c r="BZ172" s="174">
        <f>IF(Z172=$Z$88,AA172*AG172,0)</f>
        <v>0</v>
      </c>
      <c r="CA172" s="174">
        <f>IF(Z172=$Z$89,AA172*AG172,0)</f>
        <v>0</v>
      </c>
      <c r="CB172" s="174">
        <f>IF(Z172=$Z$90,AA172*AG172,0)</f>
        <v>0</v>
      </c>
      <c r="CC172" s="175">
        <f>IFERROR(IF(L172=$L$49,AG172*AH172*(1+AI172)*(1-AK172)*(1-AL172),0),0)</f>
        <v>2750.4326849999998</v>
      </c>
      <c r="CD172" s="203">
        <f>IF(I172=$CD$97,1,IF(I172=$CD$100,2,IF(K172=$K$66,1,IF(K172=$K$69,1,3))))</f>
        <v>1</v>
      </c>
      <c r="CE172" s="203">
        <f t="shared" si="14"/>
        <v>1.07</v>
      </c>
      <c r="CF172" s="204">
        <f t="shared" si="33"/>
        <v>1.2353999999999998</v>
      </c>
      <c r="CG172" s="203">
        <f t="shared" si="15"/>
        <v>1.42</v>
      </c>
      <c r="CH172" s="204">
        <f t="shared" si="34"/>
        <v>1.5478000000000001</v>
      </c>
      <c r="CI172" s="203">
        <f t="shared" si="16"/>
        <v>1.7</v>
      </c>
      <c r="CJ172" s="205">
        <f t="shared" si="17"/>
        <v>1.0486</v>
      </c>
      <c r="CK172" s="205">
        <f t="shared" si="18"/>
        <v>1.148922</v>
      </c>
      <c r="CL172" s="205">
        <f t="shared" si="19"/>
        <v>1.3915999999999999</v>
      </c>
      <c r="CM172" s="205">
        <f t="shared" si="20"/>
        <v>1.501366</v>
      </c>
      <c r="CN172" s="206">
        <f t="shared" si="21"/>
        <v>1.6319999999999999</v>
      </c>
      <c r="CO172" s="204">
        <f t="shared" si="25"/>
        <v>1.006656</v>
      </c>
      <c r="CP172" s="207">
        <f t="shared" si="35"/>
        <v>0</v>
      </c>
      <c r="CQ172" s="208">
        <f t="shared" si="36"/>
        <v>0</v>
      </c>
      <c r="CR172" s="209">
        <f t="shared" si="37"/>
        <v>0</v>
      </c>
      <c r="CS172" s="49"/>
      <c r="CT172" s="49"/>
      <c r="CU172" s="49"/>
      <c r="CV172" s="49"/>
      <c r="CW172" s="49"/>
      <c r="CX172" s="49"/>
      <c r="CY172" s="49"/>
      <c r="CZ172" s="49"/>
      <c r="DA172" s="49"/>
      <c r="DB172" s="49"/>
      <c r="DC172" s="49"/>
      <c r="DD172" s="49"/>
      <c r="DE172" s="49"/>
      <c r="DF172" s="49"/>
      <c r="DG172" s="49"/>
      <c r="DH172" s="49"/>
      <c r="DI172" s="49"/>
      <c r="DJ172" s="49"/>
      <c r="DK172" s="49"/>
      <c r="DL172" s="49"/>
      <c r="DM172" s="49"/>
      <c r="DN172" s="49"/>
      <c r="DO172" s="49"/>
      <c r="DP172" s="49"/>
      <c r="DQ172" s="49"/>
      <c r="DR172" s="49"/>
      <c r="DS172" s="49"/>
      <c r="DT172" s="49"/>
      <c r="DU172" s="49"/>
      <c r="DV172" s="49"/>
      <c r="DW172" s="49"/>
      <c r="DX172" s="49"/>
      <c r="DY172" s="49"/>
      <c r="DZ172" s="49"/>
      <c r="EA172" s="49"/>
      <c r="EB172" s="49"/>
      <c r="EC172" s="49"/>
      <c r="ED172" s="49"/>
      <c r="EE172" s="49"/>
      <c r="EF172" s="49"/>
      <c r="EG172" s="49"/>
      <c r="EH172" s="49"/>
      <c r="EI172" s="49"/>
      <c r="EJ172" s="49"/>
      <c r="EK172" s="49"/>
      <c r="EL172" s="49"/>
      <c r="EM172" s="49"/>
      <c r="EN172" s="49"/>
      <c r="EO172" s="49"/>
      <c r="EP172" s="49"/>
      <c r="EQ172" s="49"/>
      <c r="ER172" s="49"/>
      <c r="ES172" s="49"/>
      <c r="ET172" s="49"/>
      <c r="EU172" s="49"/>
      <c r="EV172" s="49"/>
      <c r="EW172" s="49"/>
      <c r="EX172" s="49"/>
      <c r="EY172" s="49"/>
      <c r="EZ172" s="49"/>
      <c r="FA172" s="49"/>
    </row>
    <row r="173" spans="1:157" s="210" customFormat="1" ht="51" x14ac:dyDescent="0.25">
      <c r="A173" s="113">
        <f>IF(AND('[1]Cockpit Retorno'!$E$67=Sim,Mestre!M173=Mestre!$M$98),0,1)</f>
        <v>1</v>
      </c>
      <c r="B173" s="113">
        <f>IF(AND('[1]Cockpit Retorno'!$E$67=Sim,Mestre!L173=Mestre!$L$48),0,1)</f>
        <v>1</v>
      </c>
      <c r="C173" s="113">
        <f>IF(AND('[1]Cockpit Retorno'!$E$67=Sim,Mestre!M173=Mestre!$M$97),0,1)</f>
        <v>1</v>
      </c>
      <c r="D173" s="148" t="s">
        <v>7</v>
      </c>
      <c r="E173" s="115"/>
      <c r="F173" s="116" t="s">
        <v>107</v>
      </c>
      <c r="G173" s="149"/>
      <c r="H173" s="150" t="s">
        <v>7</v>
      </c>
      <c r="I173" s="151" t="str">
        <f t="shared" si="26"/>
        <v>Mercadorias</v>
      </c>
      <c r="J173" s="150" t="s">
        <v>15</v>
      </c>
      <c r="K173" s="152" t="s">
        <v>7</v>
      </c>
      <c r="L173" s="153" t="s">
        <v>21</v>
      </c>
      <c r="M173" s="154" t="s">
        <v>290</v>
      </c>
      <c r="N173" s="155" t="s">
        <v>309</v>
      </c>
      <c r="O173" s="155" t="s">
        <v>292</v>
      </c>
      <c r="P173" s="155" t="s">
        <v>43</v>
      </c>
      <c r="Q173" s="155" t="s">
        <v>43</v>
      </c>
      <c r="R173" s="155" t="s">
        <v>43</v>
      </c>
      <c r="S173" s="156" t="s">
        <v>43</v>
      </c>
      <c r="T173" s="156" t="s">
        <v>43</v>
      </c>
      <c r="U173" s="150" t="s">
        <v>43</v>
      </c>
      <c r="V173" s="150" t="s">
        <v>43</v>
      </c>
      <c r="W173" s="150" t="s">
        <v>43</v>
      </c>
      <c r="X173" s="157" t="s">
        <v>327</v>
      </c>
      <c r="Y173" s="150"/>
      <c r="Z173" s="150"/>
      <c r="AA173" s="158">
        <v>0</v>
      </c>
      <c r="AB173" s="155" t="s">
        <v>43</v>
      </c>
      <c r="AC173" s="150" t="s">
        <v>43</v>
      </c>
      <c r="AD173" s="155" t="s">
        <v>43</v>
      </c>
      <c r="AE173" s="155"/>
      <c r="AF173" s="150" t="s">
        <v>43</v>
      </c>
      <c r="AG173" s="159">
        <v>2</v>
      </c>
      <c r="AH173" s="159">
        <v>438.78701999999998</v>
      </c>
      <c r="AI173" s="202">
        <v>0</v>
      </c>
      <c r="AJ173" s="161">
        <v>7.0000000000000007E-2</v>
      </c>
      <c r="AK173" s="162">
        <v>0.05</v>
      </c>
      <c r="AL173" s="163"/>
      <c r="AM173" s="164">
        <f>(((IF(L173=$L$101,1,IF(L173=$L$47,1,0))*(AH173*(1-AK173)))*AG173)*(1-AL173))</f>
        <v>0</v>
      </c>
      <c r="AN173" s="165">
        <f>IF(K173=$K$50,AM173,IF(K173=$K$53,AM173,IF(K173=$K$54,AM173,IF(K173=$K$55,AM173,IF(K173=$K$56,AM173,IF(K173=$K$57,AM173,IF(K173=$K$58,AM173,IF(K173=$K$65,AM173,IF(K173=$K$66,AM173,IF(K173=$K$67,AM173,IF(K173=$K$68,AM173,IF(K173=$K$69,AM173,IF(K173=$K$51,AM173,(AM173*(1+AI173)))))))))))))))</f>
        <v>0</v>
      </c>
      <c r="AO173" s="166">
        <v>1.4</v>
      </c>
      <c r="AP173" s="160">
        <f t="shared" si="27"/>
        <v>0</v>
      </c>
      <c r="AQ173" s="167">
        <f t="shared" si="24"/>
        <v>0</v>
      </c>
      <c r="AR173" s="160">
        <f t="shared" si="28"/>
        <v>0</v>
      </c>
      <c r="AS173" s="168">
        <f t="shared" si="29"/>
        <v>0</v>
      </c>
      <c r="AT173" s="169" t="str">
        <f>K173</f>
        <v>MI</v>
      </c>
      <c r="AU173" s="169" t="str">
        <f>I173</f>
        <v>Mercadorias</v>
      </c>
      <c r="AV173" s="170"/>
      <c r="AW173" s="171">
        <f>IF(K173=$K$50,0,IF(K173=$K$53,0,IF(K173=$K$54,0,IF(K173=$K$55,0,IF(K173=$K$56,0,IF(K173=$K$57,0,IF(K173=$K$58,0,IF(K173=$K$65,0,IF(K173=$K$66,0,IF(K173=$K$67,0,IF(K173=$K$68,0,IF(K173=$K$69,0,IF(K173=$K$51,0,1))))))))))))*AM173*AI173)</f>
        <v>0</v>
      </c>
      <c r="AX173" s="172">
        <f>IF(K173=$K$50,0,IF(K173=$K$53,0,IF(K173=$K$54,0,IF(K173=$K$55,0,IF(K173=$K$56,0,IF(K173=$K$57,0,IF(K173=$K$58,0,IF(K173=$K$65,0,IF(K173=$K$66,0,IF(K173=$K$67,0,IF(K173=$K$68,0,IF(K173=$K$69,0,IF(K173=$K$51,0,1))))))))))))*AM173*AJ173*$AX$94)</f>
        <v>0</v>
      </c>
      <c r="AY173" s="172">
        <f>IF(K173=$K$53,0,IF(K173=$K$54,0,IF(K173=$K$55,0,IF(K173=$K$56,0,IF(K173=$K$58,0,IF(K173=$K$50,0,IF(K173=$K$65,0,IF(K173=$K$57,0,IF(K173=$K$51,0,AM173*$AY$102)))))))))</f>
        <v>0</v>
      </c>
      <c r="AZ173" s="172">
        <f>IF(K173=$K$53,0,IF(K173=$K$54,0,IF(K173=$K$55,0,IF(K173=$K$56,0,IF(K173=$K$58,0,IF(K173=$K$50,0,IF(K173=$K$65,0,IF(K173=$K$57,0,IF(K173=$K$51,0,AM173*$AZ$102)))))))))</f>
        <v>0</v>
      </c>
      <c r="BA173" s="172">
        <f t="shared" si="30"/>
        <v>0</v>
      </c>
      <c r="BB173" s="173">
        <f>IF($BA$97=1,AQ173*$BB$102,IF(K173=$K$50,0,IF(K173=$K$53,0,IF(K173=$K$54,0,IF(K173=$K$55,0,IF(K173=$K$56,0,IF(K173=$K$57,0,IF(K173=$K$58,0,IF(K173=$K$65,0,IF(K173=$K$66,0,IF(K173=$K$67,0,IF(K173=$K$68,0,IF(K173=$K$69,0,IF(K173=$K$51,0,1)))))))))))*AQ173*$BB$102)))</f>
        <v>0</v>
      </c>
      <c r="BC173" s="172">
        <f t="shared" si="31"/>
        <v>0</v>
      </c>
      <c r="BD173" s="172">
        <f t="shared" si="32"/>
        <v>0</v>
      </c>
      <c r="BE173" s="172">
        <f>IF($BE$95=I173,$BE$97,IF(I173=$BE$96,$BE$97,1))*($BE$102*AQ173)*$AZ$97</f>
        <v>0</v>
      </c>
      <c r="BF173" s="172">
        <f>IF('[1]Cockpit Retorno'!$C$65=Sim,Mestre!BA173,SUM(BB173:BE173)+(IF(K173=$K$56,AQ173*MOE_IRRF_LR,0)))</f>
        <v>0</v>
      </c>
      <c r="BG173" s="174">
        <f>IF(AA173&gt;0,0,IF(Z173=$Z$82,AG173*1,(IF(Z173=$Z$81,AG173*1,0))))</f>
        <v>0</v>
      </c>
      <c r="BH173" s="174">
        <f>IF(AA173&gt;0,0,IF(Z173=$Z$83,AG173*1,IF(Z173=$Z$81,AG173*1,0)))</f>
        <v>0</v>
      </c>
      <c r="BI173" s="174">
        <f>IF(AA173&gt;0,0,IF(Z173=$Z$84,AG173*1,IF(Z173=$Z$93,AG173*2,IF(Z173=$Z$100,AG173,IF(Z173=$Z$81,AG173*2,IF(Z173=$Z$80,AG173*1,IF(Z173=$Z$79,AG173*3,IF(Z173=$Z$78,AG173*2,0))))))))</f>
        <v>0</v>
      </c>
      <c r="BJ173" s="174">
        <f>IF(AA173&gt;0,0,IF(Z173=$Z$85,AG173,IF(Z173=$Z$93,AG173,IF(Z173=$Z$100,AG173,IF(Z173=$Z$81,AG173*1,IF(Z173=$Z$80,AG173*2,IF(Z173=$Z$79,AG173*2,IF(Z173=$Z$78,AG173*2,0))))))))</f>
        <v>0</v>
      </c>
      <c r="BK173" s="174">
        <f>IF(AA173&gt;0,0,IF(Z173=$Z$92,AG173,0))</f>
        <v>0</v>
      </c>
      <c r="BL173" s="174">
        <f>IF(AA173&gt;0,0,IF(Z173=$Z$91,AG173,0))</f>
        <v>0</v>
      </c>
      <c r="BM173" s="174">
        <f>IF(AA173&gt;0,0,IF(Z173=$Z$86,AG173,0))</f>
        <v>0</v>
      </c>
      <c r="BN173" s="174">
        <f>IF(AA173&gt;0,0,IF(Z173=$Z$87,AG173,0))</f>
        <v>0</v>
      </c>
      <c r="BO173" s="174">
        <f>IF(AA173&gt;0,0,IF(Z173=$Z$88,AG173,0))</f>
        <v>0</v>
      </c>
      <c r="BP173" s="174">
        <f>IF(AA173&gt;0,0,IF(Z173=$Z$89,AG173,0))</f>
        <v>0</v>
      </c>
      <c r="BQ173" s="174">
        <f>IF(AA173&gt;0,0,IF(Z173=$Z$90,AG173,0))</f>
        <v>0</v>
      </c>
      <c r="BR173" s="174">
        <f>IF(Z173=$Z$82,AA173*AG173,0)</f>
        <v>0</v>
      </c>
      <c r="BS173" s="174">
        <f>IF(Z173=$Z$83,AA173*AG173,0)</f>
        <v>0</v>
      </c>
      <c r="BT173" s="174">
        <f>IF(AA173&lt;1,0,IF(Z173=$Z$84,AA173*AG173,IF(Z173=$Z$93,"ERRO",IF(Z173=$Z$100,"ERRO",0))))</f>
        <v>0</v>
      </c>
      <c r="BU173" s="174">
        <f>IF(AA173&lt;1,0,IF(Z173=$Z$85,AA173*AG173,IF(Z173=$Z$93,"ERRO",IF(Z173=$Z$100,"ERRO",0))))</f>
        <v>0</v>
      </c>
      <c r="BV173" s="174">
        <f>IF(Z173=$Z$92,AA173*AG173,0)</f>
        <v>0</v>
      </c>
      <c r="BW173" s="174">
        <f>IF(Z173=$Z$91,AA173*AG173,0)</f>
        <v>0</v>
      </c>
      <c r="BX173" s="174">
        <f>IF(Z173=$Z$86,AA173*AG173,0)</f>
        <v>0</v>
      </c>
      <c r="BY173" s="174">
        <f>IF(Z173=$Z$87,AA173*AG173,0)</f>
        <v>0</v>
      </c>
      <c r="BZ173" s="174">
        <f>IF(Z173=$Z$88,AA173*AG173,0)</f>
        <v>0</v>
      </c>
      <c r="CA173" s="174">
        <f>IF(Z173=$Z$89,AA173*AG173,0)</f>
        <v>0</v>
      </c>
      <c r="CB173" s="174">
        <f>IF(Z173=$Z$90,AA173*AG173,0)</f>
        <v>0</v>
      </c>
      <c r="CC173" s="175">
        <f>IFERROR(IF(L173=$L$49,AG173*AH173*(1+AI173)*(1-AK173)*(1-AL173),0),0)</f>
        <v>833.69533799999988</v>
      </c>
      <c r="CD173" s="203">
        <f>IF(I173=$CD$97,1,IF(I173=$CD$100,2,IF(K173=$K$66,1,IF(K173=$K$69,1,3))))</f>
        <v>1</v>
      </c>
      <c r="CE173" s="203">
        <f t="shared" si="14"/>
        <v>1.07</v>
      </c>
      <c r="CF173" s="204">
        <f t="shared" si="33"/>
        <v>1.2353999999999998</v>
      </c>
      <c r="CG173" s="203">
        <f t="shared" si="15"/>
        <v>1.42</v>
      </c>
      <c r="CH173" s="204">
        <f t="shared" si="34"/>
        <v>1.5478000000000001</v>
      </c>
      <c r="CI173" s="203">
        <f t="shared" si="16"/>
        <v>1.7</v>
      </c>
      <c r="CJ173" s="205">
        <f t="shared" si="17"/>
        <v>1.0486</v>
      </c>
      <c r="CK173" s="205">
        <f t="shared" si="18"/>
        <v>1.148922</v>
      </c>
      <c r="CL173" s="205">
        <f t="shared" si="19"/>
        <v>1.3915999999999999</v>
      </c>
      <c r="CM173" s="205">
        <f t="shared" si="20"/>
        <v>1.501366</v>
      </c>
      <c r="CN173" s="206">
        <f t="shared" si="21"/>
        <v>1.6319999999999999</v>
      </c>
      <c r="CO173" s="204">
        <f t="shared" si="25"/>
        <v>1.006656</v>
      </c>
      <c r="CP173" s="207">
        <f t="shared" si="35"/>
        <v>0</v>
      </c>
      <c r="CQ173" s="208">
        <f t="shared" si="36"/>
        <v>0</v>
      </c>
      <c r="CR173" s="209">
        <f t="shared" si="37"/>
        <v>0</v>
      </c>
      <c r="CS173" s="49"/>
      <c r="CT173" s="49"/>
      <c r="CU173" s="49"/>
      <c r="CV173" s="49"/>
      <c r="CW173" s="49"/>
      <c r="CX173" s="49"/>
      <c r="CY173" s="49"/>
      <c r="CZ173" s="49"/>
      <c r="DA173" s="49"/>
      <c r="DB173" s="49"/>
      <c r="DC173" s="49"/>
      <c r="DD173" s="49"/>
      <c r="DE173" s="49"/>
      <c r="DF173" s="49"/>
      <c r="DG173" s="49"/>
      <c r="DH173" s="49"/>
      <c r="DI173" s="49"/>
      <c r="DJ173" s="49"/>
      <c r="DK173" s="49"/>
      <c r="DL173" s="49"/>
      <c r="DM173" s="49"/>
      <c r="DN173" s="49"/>
      <c r="DO173" s="49"/>
      <c r="DP173" s="49"/>
      <c r="DQ173" s="49"/>
      <c r="DR173" s="49"/>
      <c r="DS173" s="49"/>
      <c r="DT173" s="49"/>
      <c r="DU173" s="49"/>
      <c r="DV173" s="49"/>
      <c r="DW173" s="49"/>
      <c r="DX173" s="49"/>
      <c r="DY173" s="49"/>
      <c r="DZ173" s="49"/>
      <c r="EA173" s="49"/>
      <c r="EB173" s="49"/>
      <c r="EC173" s="49"/>
      <c r="ED173" s="49"/>
      <c r="EE173" s="49"/>
      <c r="EF173" s="49"/>
      <c r="EG173" s="49"/>
      <c r="EH173" s="49"/>
      <c r="EI173" s="49"/>
      <c r="EJ173" s="49"/>
      <c r="EK173" s="49"/>
      <c r="EL173" s="49"/>
      <c r="EM173" s="49"/>
      <c r="EN173" s="49"/>
      <c r="EO173" s="49"/>
      <c r="EP173" s="49"/>
      <c r="EQ173" s="49"/>
      <c r="ER173" s="49"/>
      <c r="ES173" s="49"/>
      <c r="ET173" s="49"/>
      <c r="EU173" s="49"/>
      <c r="EV173" s="49"/>
      <c r="EW173" s="49"/>
      <c r="EX173" s="49"/>
      <c r="EY173" s="49"/>
      <c r="EZ173" s="49"/>
      <c r="FA173" s="49"/>
    </row>
    <row r="174" spans="1:157" s="210" customFormat="1" ht="51" x14ac:dyDescent="0.25">
      <c r="A174" s="113">
        <f>IF(AND('[1]Cockpit Retorno'!$E$67=Sim,Mestre!M174=Mestre!$M$98),0,1)</f>
        <v>1</v>
      </c>
      <c r="B174" s="113">
        <f>IF(AND('[1]Cockpit Retorno'!$E$67=Sim,Mestre!L174=Mestre!$L$48),0,1)</f>
        <v>1</v>
      </c>
      <c r="C174" s="113">
        <f>IF(AND('[1]Cockpit Retorno'!$E$67=Sim,Mestre!M174=Mestre!$M$97),0,1)</f>
        <v>1</v>
      </c>
      <c r="D174" s="148" t="s">
        <v>7</v>
      </c>
      <c r="E174" s="115"/>
      <c r="F174" s="116" t="s">
        <v>107</v>
      </c>
      <c r="G174" s="149"/>
      <c r="H174" s="150" t="s">
        <v>7</v>
      </c>
      <c r="I174" s="151" t="str">
        <f t="shared" si="26"/>
        <v>Mercadorias</v>
      </c>
      <c r="J174" s="150" t="s">
        <v>15</v>
      </c>
      <c r="K174" s="152" t="s">
        <v>7</v>
      </c>
      <c r="L174" s="153" t="s">
        <v>21</v>
      </c>
      <c r="M174" s="154" t="s">
        <v>290</v>
      </c>
      <c r="N174" s="155" t="s">
        <v>309</v>
      </c>
      <c r="O174" s="155" t="s">
        <v>292</v>
      </c>
      <c r="P174" s="155" t="s">
        <v>43</v>
      </c>
      <c r="Q174" s="155" t="s">
        <v>43</v>
      </c>
      <c r="R174" s="155" t="s">
        <v>43</v>
      </c>
      <c r="S174" s="156" t="s">
        <v>43</v>
      </c>
      <c r="T174" s="156" t="s">
        <v>43</v>
      </c>
      <c r="U174" s="150" t="s">
        <v>43</v>
      </c>
      <c r="V174" s="150" t="s">
        <v>43</v>
      </c>
      <c r="W174" s="150" t="s">
        <v>43</v>
      </c>
      <c r="X174" s="157" t="s">
        <v>328</v>
      </c>
      <c r="Y174" s="150"/>
      <c r="Z174" s="150"/>
      <c r="AA174" s="158">
        <v>0</v>
      </c>
      <c r="AB174" s="155" t="s">
        <v>43</v>
      </c>
      <c r="AC174" s="150" t="s">
        <v>43</v>
      </c>
      <c r="AD174" s="155" t="s">
        <v>43</v>
      </c>
      <c r="AE174" s="155"/>
      <c r="AF174" s="150" t="s">
        <v>43</v>
      </c>
      <c r="AG174" s="159">
        <v>30</v>
      </c>
      <c r="AH174" s="159">
        <v>562.65</v>
      </c>
      <c r="AI174" s="202">
        <v>0</v>
      </c>
      <c r="AJ174" s="161">
        <v>7.0000000000000007E-2</v>
      </c>
      <c r="AK174" s="162">
        <v>0.05</v>
      </c>
      <c r="AL174" s="163"/>
      <c r="AM174" s="164">
        <f>(((IF(L174=$L$101,1,IF(L174=$L$47,1,0))*(AH174*(1-AK174)))*AG174)*(1-AL174))</f>
        <v>0</v>
      </c>
      <c r="AN174" s="165">
        <f>IF(K174=$K$50,AM174,IF(K174=$K$53,AM174,IF(K174=$K$54,AM174,IF(K174=$K$55,AM174,IF(K174=$K$56,AM174,IF(K174=$K$57,AM174,IF(K174=$K$58,AM174,IF(K174=$K$65,AM174,IF(K174=$K$66,AM174,IF(K174=$K$67,AM174,IF(K174=$K$68,AM174,IF(K174=$K$69,AM174,IF(K174=$K$51,AM174,(AM174*(1+AI174)))))))))))))))</f>
        <v>0</v>
      </c>
      <c r="AO174" s="166">
        <v>1.4</v>
      </c>
      <c r="AP174" s="160">
        <f t="shared" si="27"/>
        <v>0</v>
      </c>
      <c r="AQ174" s="167">
        <f t="shared" si="24"/>
        <v>0</v>
      </c>
      <c r="AR174" s="160">
        <f t="shared" si="28"/>
        <v>0</v>
      </c>
      <c r="AS174" s="168">
        <f t="shared" si="29"/>
        <v>0</v>
      </c>
      <c r="AT174" s="169" t="str">
        <f>K174</f>
        <v>MI</v>
      </c>
      <c r="AU174" s="169" t="str">
        <f>I174</f>
        <v>Mercadorias</v>
      </c>
      <c r="AV174" s="170"/>
      <c r="AW174" s="171">
        <f>IF(K174=$K$50,0,IF(K174=$K$53,0,IF(K174=$K$54,0,IF(K174=$K$55,0,IF(K174=$K$56,0,IF(K174=$K$57,0,IF(K174=$K$58,0,IF(K174=$K$65,0,IF(K174=$K$66,0,IF(K174=$K$67,0,IF(K174=$K$68,0,IF(K174=$K$69,0,IF(K174=$K$51,0,1))))))))))))*AM174*AI174)</f>
        <v>0</v>
      </c>
      <c r="AX174" s="172">
        <f>IF(K174=$K$50,0,IF(K174=$K$53,0,IF(K174=$K$54,0,IF(K174=$K$55,0,IF(K174=$K$56,0,IF(K174=$K$57,0,IF(K174=$K$58,0,IF(K174=$K$65,0,IF(K174=$K$66,0,IF(K174=$K$67,0,IF(K174=$K$68,0,IF(K174=$K$69,0,IF(K174=$K$51,0,1))))))))))))*AM174*AJ174*$AX$94)</f>
        <v>0</v>
      </c>
      <c r="AY174" s="172">
        <f>IF(K174=$K$53,0,IF(K174=$K$54,0,IF(K174=$K$55,0,IF(K174=$K$56,0,IF(K174=$K$58,0,IF(K174=$K$50,0,IF(K174=$K$65,0,IF(K174=$K$57,0,IF(K174=$K$51,0,AM174*$AY$102)))))))))</f>
        <v>0</v>
      </c>
      <c r="AZ174" s="172">
        <f>IF(K174=$K$53,0,IF(K174=$K$54,0,IF(K174=$K$55,0,IF(K174=$K$56,0,IF(K174=$K$58,0,IF(K174=$K$50,0,IF(K174=$K$65,0,IF(K174=$K$57,0,IF(K174=$K$51,0,AM174*$AZ$102)))))))))</f>
        <v>0</v>
      </c>
      <c r="BA174" s="172">
        <f t="shared" si="30"/>
        <v>0</v>
      </c>
      <c r="BB174" s="173">
        <f>IF($BA$97=1,AQ174*$BB$102,IF(K174=$K$50,0,IF(K174=$K$53,0,IF(K174=$K$54,0,IF(K174=$K$55,0,IF(K174=$K$56,0,IF(K174=$K$57,0,IF(K174=$K$58,0,IF(K174=$K$65,0,IF(K174=$K$66,0,IF(K174=$K$67,0,IF(K174=$K$68,0,IF(K174=$K$69,0,IF(K174=$K$51,0,1)))))))))))*AQ174*$BB$102)))</f>
        <v>0</v>
      </c>
      <c r="BC174" s="172">
        <f t="shared" si="31"/>
        <v>0</v>
      </c>
      <c r="BD174" s="172">
        <f t="shared" si="32"/>
        <v>0</v>
      </c>
      <c r="BE174" s="172">
        <f>IF($BE$95=I174,$BE$97,IF(I174=$BE$96,$BE$97,1))*($BE$102*AQ174)*$AZ$97</f>
        <v>0</v>
      </c>
      <c r="BF174" s="172">
        <f>IF('[1]Cockpit Retorno'!$C$65=Sim,Mestre!BA174,SUM(BB174:BE174)+(IF(K174=$K$56,AQ174*MOE_IRRF_LR,0)))</f>
        <v>0</v>
      </c>
      <c r="BG174" s="174">
        <f>IF(AA174&gt;0,0,IF(Z174=$Z$82,AG174*1,(IF(Z174=$Z$81,AG174*1,0))))</f>
        <v>0</v>
      </c>
      <c r="BH174" s="174">
        <f>IF(AA174&gt;0,0,IF(Z174=$Z$83,AG174*1,IF(Z174=$Z$81,AG174*1,0)))</f>
        <v>0</v>
      </c>
      <c r="BI174" s="174">
        <f>IF(AA174&gt;0,0,IF(Z174=$Z$84,AG174*1,IF(Z174=$Z$93,AG174*2,IF(Z174=$Z$100,AG174,IF(Z174=$Z$81,AG174*2,IF(Z174=$Z$80,AG174*1,IF(Z174=$Z$79,AG174*3,IF(Z174=$Z$78,AG174*2,0))))))))</f>
        <v>0</v>
      </c>
      <c r="BJ174" s="174">
        <f>IF(AA174&gt;0,0,IF(Z174=$Z$85,AG174,IF(Z174=$Z$93,AG174,IF(Z174=$Z$100,AG174,IF(Z174=$Z$81,AG174*1,IF(Z174=$Z$80,AG174*2,IF(Z174=$Z$79,AG174*2,IF(Z174=$Z$78,AG174*2,0))))))))</f>
        <v>0</v>
      </c>
      <c r="BK174" s="174">
        <f>IF(AA174&gt;0,0,IF(Z174=$Z$92,AG174,0))</f>
        <v>0</v>
      </c>
      <c r="BL174" s="174">
        <f>IF(AA174&gt;0,0,IF(Z174=$Z$91,AG174,0))</f>
        <v>0</v>
      </c>
      <c r="BM174" s="174">
        <f>IF(AA174&gt;0,0,IF(Z174=$Z$86,AG174,0))</f>
        <v>0</v>
      </c>
      <c r="BN174" s="174">
        <f>IF(AA174&gt;0,0,IF(Z174=$Z$87,AG174,0))</f>
        <v>0</v>
      </c>
      <c r="BO174" s="174">
        <f>IF(AA174&gt;0,0,IF(Z174=$Z$88,AG174,0))</f>
        <v>0</v>
      </c>
      <c r="BP174" s="174">
        <f>IF(AA174&gt;0,0,IF(Z174=$Z$89,AG174,0))</f>
        <v>0</v>
      </c>
      <c r="BQ174" s="174">
        <f>IF(AA174&gt;0,0,IF(Z174=$Z$90,AG174,0))</f>
        <v>0</v>
      </c>
      <c r="BR174" s="174">
        <f>IF(Z174=$Z$82,AA174*AG174,0)</f>
        <v>0</v>
      </c>
      <c r="BS174" s="174">
        <f>IF(Z174=$Z$83,AA174*AG174,0)</f>
        <v>0</v>
      </c>
      <c r="BT174" s="174">
        <f>IF(AA174&lt;1,0,IF(Z174=$Z$84,AA174*AG174,IF(Z174=$Z$93,"ERRO",IF(Z174=$Z$100,"ERRO",0))))</f>
        <v>0</v>
      </c>
      <c r="BU174" s="174">
        <f>IF(AA174&lt;1,0,IF(Z174=$Z$85,AA174*AG174,IF(Z174=$Z$93,"ERRO",IF(Z174=$Z$100,"ERRO",0))))</f>
        <v>0</v>
      </c>
      <c r="BV174" s="174">
        <f>IF(Z174=$Z$92,AA174*AG174,0)</f>
        <v>0</v>
      </c>
      <c r="BW174" s="174">
        <f>IF(Z174=$Z$91,AA174*AG174,0)</f>
        <v>0</v>
      </c>
      <c r="BX174" s="174">
        <f>IF(Z174=$Z$86,AA174*AG174,0)</f>
        <v>0</v>
      </c>
      <c r="BY174" s="174">
        <f>IF(Z174=$Z$87,AA174*AG174,0)</f>
        <v>0</v>
      </c>
      <c r="BZ174" s="174">
        <f>IF(Z174=$Z$88,AA174*AG174,0)</f>
        <v>0</v>
      </c>
      <c r="CA174" s="174">
        <f>IF(Z174=$Z$89,AA174*AG174,0)</f>
        <v>0</v>
      </c>
      <c r="CB174" s="174">
        <f>IF(Z174=$Z$90,AA174*AG174,0)</f>
        <v>0</v>
      </c>
      <c r="CC174" s="175">
        <f>IFERROR(IF(L174=$L$49,AG174*AH174*(1+AI174)*(1-AK174)*(1-AL174),0),0)</f>
        <v>16035.525</v>
      </c>
      <c r="CD174" s="203">
        <f>IF(I174=$CD$97,1,IF(I174=$CD$100,2,IF(K174=$K$66,1,IF(K174=$K$69,1,3))))</f>
        <v>1</v>
      </c>
      <c r="CE174" s="203">
        <f t="shared" si="14"/>
        <v>1.07</v>
      </c>
      <c r="CF174" s="204">
        <f t="shared" si="33"/>
        <v>1.2353999999999998</v>
      </c>
      <c r="CG174" s="203">
        <f t="shared" si="15"/>
        <v>1.42</v>
      </c>
      <c r="CH174" s="204">
        <f t="shared" si="34"/>
        <v>1.5478000000000001</v>
      </c>
      <c r="CI174" s="203">
        <f t="shared" si="16"/>
        <v>1.7</v>
      </c>
      <c r="CJ174" s="205">
        <f t="shared" si="17"/>
        <v>1.0486</v>
      </c>
      <c r="CK174" s="205">
        <f t="shared" si="18"/>
        <v>1.148922</v>
      </c>
      <c r="CL174" s="205">
        <f t="shared" si="19"/>
        <v>1.3915999999999999</v>
      </c>
      <c r="CM174" s="205">
        <f t="shared" si="20"/>
        <v>1.501366</v>
      </c>
      <c r="CN174" s="206">
        <f t="shared" si="21"/>
        <v>1.6319999999999999</v>
      </c>
      <c r="CO174" s="204">
        <f t="shared" si="25"/>
        <v>1.006656</v>
      </c>
      <c r="CP174" s="207">
        <f t="shared" si="35"/>
        <v>0</v>
      </c>
      <c r="CQ174" s="208">
        <f t="shared" si="36"/>
        <v>0</v>
      </c>
      <c r="CR174" s="209">
        <f t="shared" si="37"/>
        <v>0</v>
      </c>
      <c r="CS174" s="49"/>
      <c r="CT174" s="49"/>
      <c r="CU174" s="49"/>
      <c r="CV174" s="49"/>
      <c r="CW174" s="49"/>
      <c r="CX174" s="49"/>
      <c r="CY174" s="49"/>
      <c r="CZ174" s="49"/>
      <c r="DA174" s="49"/>
      <c r="DB174" s="49"/>
      <c r="DC174" s="49"/>
      <c r="DD174" s="49"/>
      <c r="DE174" s="49"/>
      <c r="DF174" s="49"/>
      <c r="DG174" s="49"/>
      <c r="DH174" s="49"/>
      <c r="DI174" s="49"/>
      <c r="DJ174" s="49"/>
      <c r="DK174" s="49"/>
      <c r="DL174" s="49"/>
      <c r="DM174" s="49"/>
      <c r="DN174" s="49"/>
      <c r="DO174" s="49"/>
      <c r="DP174" s="49"/>
      <c r="DQ174" s="49"/>
      <c r="DR174" s="49"/>
      <c r="DS174" s="49"/>
      <c r="DT174" s="49"/>
      <c r="DU174" s="49"/>
      <c r="DV174" s="49"/>
      <c r="DW174" s="49"/>
      <c r="DX174" s="49"/>
      <c r="DY174" s="49"/>
      <c r="DZ174" s="49"/>
      <c r="EA174" s="49"/>
      <c r="EB174" s="49"/>
      <c r="EC174" s="49"/>
      <c r="ED174" s="49"/>
      <c r="EE174" s="49"/>
      <c r="EF174" s="49"/>
      <c r="EG174" s="49"/>
      <c r="EH174" s="49"/>
      <c r="EI174" s="49"/>
      <c r="EJ174" s="49"/>
      <c r="EK174" s="49"/>
      <c r="EL174" s="49"/>
      <c r="EM174" s="49"/>
      <c r="EN174" s="49"/>
      <c r="EO174" s="49"/>
      <c r="EP174" s="49"/>
      <c r="EQ174" s="49"/>
      <c r="ER174" s="49"/>
      <c r="ES174" s="49"/>
      <c r="ET174" s="49"/>
      <c r="EU174" s="49"/>
      <c r="EV174" s="49"/>
      <c r="EW174" s="49"/>
      <c r="EX174" s="49"/>
      <c r="EY174" s="49"/>
      <c r="EZ174" s="49"/>
      <c r="FA174" s="49"/>
    </row>
    <row r="175" spans="1:157" s="210" customFormat="1" ht="51" x14ac:dyDescent="0.25">
      <c r="A175" s="113">
        <f>IF(AND('[1]Cockpit Retorno'!$E$67=Sim,Mestre!M175=Mestre!$M$98),0,1)</f>
        <v>1</v>
      </c>
      <c r="B175" s="113">
        <f>IF(AND('[1]Cockpit Retorno'!$E$67=Sim,Mestre!L175=Mestre!$L$48),0,1)</f>
        <v>1</v>
      </c>
      <c r="C175" s="113">
        <f>IF(AND('[1]Cockpit Retorno'!$E$67=Sim,Mestre!M175=Mestre!$M$97),0,1)</f>
        <v>1</v>
      </c>
      <c r="D175" s="148" t="s">
        <v>7</v>
      </c>
      <c r="E175" s="115"/>
      <c r="F175" s="116" t="s">
        <v>107</v>
      </c>
      <c r="G175" s="149"/>
      <c r="H175" s="150" t="s">
        <v>7</v>
      </c>
      <c r="I175" s="151" t="str">
        <f t="shared" si="26"/>
        <v>Mercadorias</v>
      </c>
      <c r="J175" s="150" t="s">
        <v>15</v>
      </c>
      <c r="K175" s="152" t="s">
        <v>7</v>
      </c>
      <c r="L175" s="153" t="s">
        <v>21</v>
      </c>
      <c r="M175" s="154" t="s">
        <v>290</v>
      </c>
      <c r="N175" s="155" t="s">
        <v>309</v>
      </c>
      <c r="O175" s="155" t="s">
        <v>292</v>
      </c>
      <c r="P175" s="155" t="s">
        <v>43</v>
      </c>
      <c r="Q175" s="155" t="s">
        <v>43</v>
      </c>
      <c r="R175" s="155" t="s">
        <v>43</v>
      </c>
      <c r="S175" s="156" t="s">
        <v>43</v>
      </c>
      <c r="T175" s="156" t="s">
        <v>43</v>
      </c>
      <c r="U175" s="150" t="s">
        <v>43</v>
      </c>
      <c r="V175" s="150" t="s">
        <v>43</v>
      </c>
      <c r="W175" s="150" t="s">
        <v>43</v>
      </c>
      <c r="X175" s="157" t="s">
        <v>329</v>
      </c>
      <c r="Y175" s="150"/>
      <c r="Z175" s="150"/>
      <c r="AA175" s="158">
        <v>0</v>
      </c>
      <c r="AB175" s="155" t="s">
        <v>43</v>
      </c>
      <c r="AC175" s="150" t="s">
        <v>43</v>
      </c>
      <c r="AD175" s="155" t="s">
        <v>43</v>
      </c>
      <c r="AE175" s="155"/>
      <c r="AF175" s="150" t="s">
        <v>43</v>
      </c>
      <c r="AG175" s="159">
        <v>4</v>
      </c>
      <c r="AH175" s="159">
        <v>200.17320000000001</v>
      </c>
      <c r="AI175" s="202">
        <v>0</v>
      </c>
      <c r="AJ175" s="161">
        <v>7.0000000000000007E-2</v>
      </c>
      <c r="AK175" s="162">
        <v>0.05</v>
      </c>
      <c r="AL175" s="163"/>
      <c r="AM175" s="164">
        <f>(((IF(L175=$L$101,1,IF(L175=$L$47,1,0))*(AH175*(1-AK175)))*AG175)*(1-AL175))</f>
        <v>0</v>
      </c>
      <c r="AN175" s="165">
        <f>IF(K175=$K$50,AM175,IF(K175=$K$53,AM175,IF(K175=$K$54,AM175,IF(K175=$K$55,AM175,IF(K175=$K$56,AM175,IF(K175=$K$57,AM175,IF(K175=$K$58,AM175,IF(K175=$K$65,AM175,IF(K175=$K$66,AM175,IF(K175=$K$67,AM175,IF(K175=$K$68,AM175,IF(K175=$K$69,AM175,IF(K175=$K$51,AM175,(AM175*(1+AI175)))))))))))))))</f>
        <v>0</v>
      </c>
      <c r="AO175" s="166">
        <v>1.4</v>
      </c>
      <c r="AP175" s="160">
        <f t="shared" si="27"/>
        <v>0</v>
      </c>
      <c r="AQ175" s="167">
        <f t="shared" si="24"/>
        <v>0</v>
      </c>
      <c r="AR175" s="160">
        <f t="shared" si="28"/>
        <v>0</v>
      </c>
      <c r="AS175" s="168">
        <f t="shared" si="29"/>
        <v>0</v>
      </c>
      <c r="AT175" s="169" t="str">
        <f>K175</f>
        <v>MI</v>
      </c>
      <c r="AU175" s="169" t="str">
        <f>I175</f>
        <v>Mercadorias</v>
      </c>
      <c r="AV175" s="170"/>
      <c r="AW175" s="171">
        <f>IF(K175=$K$50,0,IF(K175=$K$53,0,IF(K175=$K$54,0,IF(K175=$K$55,0,IF(K175=$K$56,0,IF(K175=$K$57,0,IF(K175=$K$58,0,IF(K175=$K$65,0,IF(K175=$K$66,0,IF(K175=$K$67,0,IF(K175=$K$68,0,IF(K175=$K$69,0,IF(K175=$K$51,0,1))))))))))))*AM175*AI175)</f>
        <v>0</v>
      </c>
      <c r="AX175" s="172">
        <f>IF(K175=$K$50,0,IF(K175=$K$53,0,IF(K175=$K$54,0,IF(K175=$K$55,0,IF(K175=$K$56,0,IF(K175=$K$57,0,IF(K175=$K$58,0,IF(K175=$K$65,0,IF(K175=$K$66,0,IF(K175=$K$67,0,IF(K175=$K$68,0,IF(K175=$K$69,0,IF(K175=$K$51,0,1))))))))))))*AM175*AJ175*$AX$94)</f>
        <v>0</v>
      </c>
      <c r="AY175" s="172">
        <f>IF(K175=$K$53,0,IF(K175=$K$54,0,IF(K175=$K$55,0,IF(K175=$K$56,0,IF(K175=$K$58,0,IF(K175=$K$50,0,IF(K175=$K$65,0,IF(K175=$K$57,0,IF(K175=$K$51,0,AM175*$AY$102)))))))))</f>
        <v>0</v>
      </c>
      <c r="AZ175" s="172">
        <f>IF(K175=$K$53,0,IF(K175=$K$54,0,IF(K175=$K$55,0,IF(K175=$K$56,0,IF(K175=$K$58,0,IF(K175=$K$50,0,IF(K175=$K$65,0,IF(K175=$K$57,0,IF(K175=$K$51,0,AM175*$AZ$102)))))))))</f>
        <v>0</v>
      </c>
      <c r="BA175" s="172">
        <f t="shared" si="30"/>
        <v>0</v>
      </c>
      <c r="BB175" s="173">
        <f>IF($BA$97=1,AQ175*$BB$102,IF(K175=$K$50,0,IF(K175=$K$53,0,IF(K175=$K$54,0,IF(K175=$K$55,0,IF(K175=$K$56,0,IF(K175=$K$57,0,IF(K175=$K$58,0,IF(K175=$K$65,0,IF(K175=$K$66,0,IF(K175=$K$67,0,IF(K175=$K$68,0,IF(K175=$K$69,0,IF(K175=$K$51,0,1)))))))))))*AQ175*$BB$102)))</f>
        <v>0</v>
      </c>
      <c r="BC175" s="172">
        <f t="shared" si="31"/>
        <v>0</v>
      </c>
      <c r="BD175" s="172">
        <f t="shared" si="32"/>
        <v>0</v>
      </c>
      <c r="BE175" s="172">
        <f>IF($BE$95=I175,$BE$97,IF(I175=$BE$96,$BE$97,1))*($BE$102*AQ175)*$AZ$97</f>
        <v>0</v>
      </c>
      <c r="BF175" s="172">
        <f>IF('[1]Cockpit Retorno'!$C$65=Sim,Mestre!BA175,SUM(BB175:BE175)+(IF(K175=$K$56,AQ175*MOE_IRRF_LR,0)))</f>
        <v>0</v>
      </c>
      <c r="BG175" s="174">
        <f>IF(AA175&gt;0,0,IF(Z175=$Z$82,AG175*1,(IF(Z175=$Z$81,AG175*1,0))))</f>
        <v>0</v>
      </c>
      <c r="BH175" s="174">
        <f>IF(AA175&gt;0,0,IF(Z175=$Z$83,AG175*1,IF(Z175=$Z$81,AG175*1,0)))</f>
        <v>0</v>
      </c>
      <c r="BI175" s="174">
        <f>IF(AA175&gt;0,0,IF(Z175=$Z$84,AG175*1,IF(Z175=$Z$93,AG175*2,IF(Z175=$Z$100,AG175,IF(Z175=$Z$81,AG175*2,IF(Z175=$Z$80,AG175*1,IF(Z175=$Z$79,AG175*3,IF(Z175=$Z$78,AG175*2,0))))))))</f>
        <v>0</v>
      </c>
      <c r="BJ175" s="174">
        <f>IF(AA175&gt;0,0,IF(Z175=$Z$85,AG175,IF(Z175=$Z$93,AG175,IF(Z175=$Z$100,AG175,IF(Z175=$Z$81,AG175*1,IF(Z175=$Z$80,AG175*2,IF(Z175=$Z$79,AG175*2,IF(Z175=$Z$78,AG175*2,0))))))))</f>
        <v>0</v>
      </c>
      <c r="BK175" s="174">
        <f>IF(AA175&gt;0,0,IF(Z175=$Z$92,AG175,0))</f>
        <v>0</v>
      </c>
      <c r="BL175" s="174">
        <f>IF(AA175&gt;0,0,IF(Z175=$Z$91,AG175,0))</f>
        <v>0</v>
      </c>
      <c r="BM175" s="174">
        <f>IF(AA175&gt;0,0,IF(Z175=$Z$86,AG175,0))</f>
        <v>0</v>
      </c>
      <c r="BN175" s="174">
        <f>IF(AA175&gt;0,0,IF(Z175=$Z$87,AG175,0))</f>
        <v>0</v>
      </c>
      <c r="BO175" s="174">
        <f>IF(AA175&gt;0,0,IF(Z175=$Z$88,AG175,0))</f>
        <v>0</v>
      </c>
      <c r="BP175" s="174">
        <f>IF(AA175&gt;0,0,IF(Z175=$Z$89,AG175,0))</f>
        <v>0</v>
      </c>
      <c r="BQ175" s="174">
        <f>IF(AA175&gt;0,0,IF(Z175=$Z$90,AG175,0))</f>
        <v>0</v>
      </c>
      <c r="BR175" s="174">
        <f>IF(Z175=$Z$82,AA175*AG175,0)</f>
        <v>0</v>
      </c>
      <c r="BS175" s="174">
        <f>IF(Z175=$Z$83,AA175*AG175,0)</f>
        <v>0</v>
      </c>
      <c r="BT175" s="174">
        <f>IF(AA175&lt;1,0,IF(Z175=$Z$84,AA175*AG175,IF(Z175=$Z$93,"ERRO",IF(Z175=$Z$100,"ERRO",0))))</f>
        <v>0</v>
      </c>
      <c r="BU175" s="174">
        <f>IF(AA175&lt;1,0,IF(Z175=$Z$85,AA175*AG175,IF(Z175=$Z$93,"ERRO",IF(Z175=$Z$100,"ERRO",0))))</f>
        <v>0</v>
      </c>
      <c r="BV175" s="174">
        <f>IF(Z175=$Z$92,AA175*AG175,0)</f>
        <v>0</v>
      </c>
      <c r="BW175" s="174">
        <f>IF(Z175=$Z$91,AA175*AG175,0)</f>
        <v>0</v>
      </c>
      <c r="BX175" s="174">
        <f>IF(Z175=$Z$86,AA175*AG175,0)</f>
        <v>0</v>
      </c>
      <c r="BY175" s="174">
        <f>IF(Z175=$Z$87,AA175*AG175,0)</f>
        <v>0</v>
      </c>
      <c r="BZ175" s="174">
        <f>IF(Z175=$Z$88,AA175*AG175,0)</f>
        <v>0</v>
      </c>
      <c r="CA175" s="174">
        <f>IF(Z175=$Z$89,AA175*AG175,0)</f>
        <v>0</v>
      </c>
      <c r="CB175" s="174">
        <f>IF(Z175=$Z$90,AA175*AG175,0)</f>
        <v>0</v>
      </c>
      <c r="CC175" s="175">
        <f>IFERROR(IF(L175=$L$49,AG175*AH175*(1+AI175)*(1-AK175)*(1-AL175),0),0)</f>
        <v>760.65815999999995</v>
      </c>
      <c r="CD175" s="203">
        <f>IF(I175=$CD$97,1,IF(I175=$CD$100,2,IF(K175=$K$66,1,IF(K175=$K$69,1,3))))</f>
        <v>1</v>
      </c>
      <c r="CE175" s="203">
        <f t="shared" si="14"/>
        <v>1.07</v>
      </c>
      <c r="CF175" s="204">
        <f t="shared" si="33"/>
        <v>1.2353999999999998</v>
      </c>
      <c r="CG175" s="203">
        <f t="shared" si="15"/>
        <v>1.42</v>
      </c>
      <c r="CH175" s="204">
        <f t="shared" si="34"/>
        <v>1.5478000000000001</v>
      </c>
      <c r="CI175" s="203">
        <f t="shared" si="16"/>
        <v>1.7</v>
      </c>
      <c r="CJ175" s="205">
        <f t="shared" si="17"/>
        <v>1.0486</v>
      </c>
      <c r="CK175" s="205">
        <f t="shared" si="18"/>
        <v>1.148922</v>
      </c>
      <c r="CL175" s="205">
        <f t="shared" si="19"/>
        <v>1.3915999999999999</v>
      </c>
      <c r="CM175" s="205">
        <f t="shared" si="20"/>
        <v>1.501366</v>
      </c>
      <c r="CN175" s="206">
        <f t="shared" si="21"/>
        <v>1.6319999999999999</v>
      </c>
      <c r="CO175" s="204">
        <f t="shared" si="25"/>
        <v>1.006656</v>
      </c>
      <c r="CP175" s="207">
        <f t="shared" si="35"/>
        <v>0</v>
      </c>
      <c r="CQ175" s="208">
        <f t="shared" si="36"/>
        <v>0</v>
      </c>
      <c r="CR175" s="209">
        <f t="shared" si="37"/>
        <v>0</v>
      </c>
      <c r="CS175" s="49"/>
      <c r="CT175" s="49"/>
      <c r="CU175" s="49"/>
      <c r="CV175" s="49"/>
      <c r="CW175" s="49"/>
      <c r="CX175" s="49"/>
      <c r="CY175" s="49"/>
      <c r="CZ175" s="49"/>
      <c r="DA175" s="49"/>
      <c r="DB175" s="49"/>
      <c r="DC175" s="49"/>
      <c r="DD175" s="49"/>
      <c r="DE175" s="49"/>
      <c r="DF175" s="49"/>
      <c r="DG175" s="49"/>
      <c r="DH175" s="49"/>
      <c r="DI175" s="49"/>
      <c r="DJ175" s="49"/>
      <c r="DK175" s="49"/>
      <c r="DL175" s="49"/>
      <c r="DM175" s="49"/>
      <c r="DN175" s="49"/>
      <c r="DO175" s="49"/>
      <c r="DP175" s="49"/>
      <c r="DQ175" s="49"/>
      <c r="DR175" s="49"/>
      <c r="DS175" s="49"/>
      <c r="DT175" s="49"/>
      <c r="DU175" s="49"/>
      <c r="DV175" s="49"/>
      <c r="DW175" s="49"/>
      <c r="DX175" s="49"/>
      <c r="DY175" s="49"/>
      <c r="DZ175" s="49"/>
      <c r="EA175" s="49"/>
      <c r="EB175" s="49"/>
      <c r="EC175" s="49"/>
      <c r="ED175" s="49"/>
      <c r="EE175" s="49"/>
      <c r="EF175" s="49"/>
      <c r="EG175" s="49"/>
      <c r="EH175" s="49"/>
      <c r="EI175" s="49"/>
      <c r="EJ175" s="49"/>
      <c r="EK175" s="49"/>
      <c r="EL175" s="49"/>
      <c r="EM175" s="49"/>
      <c r="EN175" s="49"/>
      <c r="EO175" s="49"/>
      <c r="EP175" s="49"/>
      <c r="EQ175" s="49"/>
      <c r="ER175" s="49"/>
      <c r="ES175" s="49"/>
      <c r="ET175" s="49"/>
      <c r="EU175" s="49"/>
      <c r="EV175" s="49"/>
      <c r="EW175" s="49"/>
      <c r="EX175" s="49"/>
      <c r="EY175" s="49"/>
      <c r="EZ175" s="49"/>
      <c r="FA175" s="49"/>
    </row>
    <row r="176" spans="1:157" s="210" customFormat="1" ht="51" x14ac:dyDescent="0.25">
      <c r="A176" s="113">
        <f>IF(AND('[1]Cockpit Retorno'!$E$67=Sim,Mestre!M176=Mestre!$M$98),0,1)</f>
        <v>1</v>
      </c>
      <c r="B176" s="113">
        <f>IF(AND('[1]Cockpit Retorno'!$E$67=Sim,Mestre!L176=Mestre!$L$48),0,1)</f>
        <v>1</v>
      </c>
      <c r="C176" s="113">
        <f>IF(AND('[1]Cockpit Retorno'!$E$67=Sim,Mestre!M176=Mestre!$M$97),0,1)</f>
        <v>1</v>
      </c>
      <c r="D176" s="148" t="s">
        <v>7</v>
      </c>
      <c r="E176" s="115"/>
      <c r="F176" s="116" t="s">
        <v>107</v>
      </c>
      <c r="G176" s="149"/>
      <c r="H176" s="150" t="s">
        <v>7</v>
      </c>
      <c r="I176" s="151" t="str">
        <f t="shared" si="26"/>
        <v>Mercadorias</v>
      </c>
      <c r="J176" s="150" t="s">
        <v>15</v>
      </c>
      <c r="K176" s="152" t="s">
        <v>7</v>
      </c>
      <c r="L176" s="153" t="s">
        <v>21</v>
      </c>
      <c r="M176" s="154" t="s">
        <v>290</v>
      </c>
      <c r="N176" s="155" t="s">
        <v>309</v>
      </c>
      <c r="O176" s="155" t="s">
        <v>292</v>
      </c>
      <c r="P176" s="155" t="s">
        <v>43</v>
      </c>
      <c r="Q176" s="155" t="s">
        <v>43</v>
      </c>
      <c r="R176" s="155" t="s">
        <v>43</v>
      </c>
      <c r="S176" s="156" t="s">
        <v>43</v>
      </c>
      <c r="T176" s="156" t="s">
        <v>43</v>
      </c>
      <c r="U176" s="150" t="s">
        <v>43</v>
      </c>
      <c r="V176" s="150" t="s">
        <v>43</v>
      </c>
      <c r="W176" s="150" t="s">
        <v>43</v>
      </c>
      <c r="X176" s="157" t="s">
        <v>330</v>
      </c>
      <c r="Y176" s="150"/>
      <c r="Z176" s="150"/>
      <c r="AA176" s="158">
        <v>0</v>
      </c>
      <c r="AB176" s="155" t="s">
        <v>43</v>
      </c>
      <c r="AC176" s="150" t="s">
        <v>43</v>
      </c>
      <c r="AD176" s="155" t="s">
        <v>43</v>
      </c>
      <c r="AE176" s="155"/>
      <c r="AF176" s="150" t="s">
        <v>43</v>
      </c>
      <c r="AG176" s="159">
        <v>4</v>
      </c>
      <c r="AH176" s="159">
        <v>141.00660000000002</v>
      </c>
      <c r="AI176" s="202">
        <v>0</v>
      </c>
      <c r="AJ176" s="161">
        <v>7.0000000000000007E-2</v>
      </c>
      <c r="AK176" s="162">
        <v>0.05</v>
      </c>
      <c r="AL176" s="163"/>
      <c r="AM176" s="164">
        <f>(((IF(L176=$L$101,1,IF(L176=$L$47,1,0))*(AH176*(1-AK176)))*AG176)*(1-AL176))</f>
        <v>0</v>
      </c>
      <c r="AN176" s="165">
        <f>IF(K176=$K$50,AM176,IF(K176=$K$53,AM176,IF(K176=$K$54,AM176,IF(K176=$K$55,AM176,IF(K176=$K$56,AM176,IF(K176=$K$57,AM176,IF(K176=$K$58,AM176,IF(K176=$K$65,AM176,IF(K176=$K$66,AM176,IF(K176=$K$67,AM176,IF(K176=$K$68,AM176,IF(K176=$K$69,AM176,IF(K176=$K$51,AM176,(AM176*(1+AI176)))))))))))))))</f>
        <v>0</v>
      </c>
      <c r="AO176" s="166">
        <v>1.4</v>
      </c>
      <c r="AP176" s="160">
        <f t="shared" si="27"/>
        <v>0</v>
      </c>
      <c r="AQ176" s="167">
        <f t="shared" si="24"/>
        <v>0</v>
      </c>
      <c r="AR176" s="160">
        <f t="shared" si="28"/>
        <v>0</v>
      </c>
      <c r="AS176" s="168">
        <f t="shared" si="29"/>
        <v>0</v>
      </c>
      <c r="AT176" s="169" t="str">
        <f>K176</f>
        <v>MI</v>
      </c>
      <c r="AU176" s="169" t="str">
        <f>I176</f>
        <v>Mercadorias</v>
      </c>
      <c r="AV176" s="170"/>
      <c r="AW176" s="171">
        <f>IF(K176=$K$50,0,IF(K176=$K$53,0,IF(K176=$K$54,0,IF(K176=$K$55,0,IF(K176=$K$56,0,IF(K176=$K$57,0,IF(K176=$K$58,0,IF(K176=$K$65,0,IF(K176=$K$66,0,IF(K176=$K$67,0,IF(K176=$K$68,0,IF(K176=$K$69,0,IF(K176=$K$51,0,1))))))))))))*AM176*AI176)</f>
        <v>0</v>
      </c>
      <c r="AX176" s="172">
        <f>IF(K176=$K$50,0,IF(K176=$K$53,0,IF(K176=$K$54,0,IF(K176=$K$55,0,IF(K176=$K$56,0,IF(K176=$K$57,0,IF(K176=$K$58,0,IF(K176=$K$65,0,IF(K176=$K$66,0,IF(K176=$K$67,0,IF(K176=$K$68,0,IF(K176=$K$69,0,IF(K176=$K$51,0,1))))))))))))*AM176*AJ176*$AX$94)</f>
        <v>0</v>
      </c>
      <c r="AY176" s="172">
        <f>IF(K176=$K$53,0,IF(K176=$K$54,0,IF(K176=$K$55,0,IF(K176=$K$56,0,IF(K176=$K$58,0,IF(K176=$K$50,0,IF(K176=$K$65,0,IF(K176=$K$57,0,IF(K176=$K$51,0,AM176*$AY$102)))))))))</f>
        <v>0</v>
      </c>
      <c r="AZ176" s="172">
        <f>IF(K176=$K$53,0,IF(K176=$K$54,0,IF(K176=$K$55,0,IF(K176=$K$56,0,IF(K176=$K$58,0,IF(K176=$K$50,0,IF(K176=$K$65,0,IF(K176=$K$57,0,IF(K176=$K$51,0,AM176*$AZ$102)))))))))</f>
        <v>0</v>
      </c>
      <c r="BA176" s="172">
        <f t="shared" si="30"/>
        <v>0</v>
      </c>
      <c r="BB176" s="173">
        <f>IF($BA$97=1,AQ176*$BB$102,IF(K176=$K$50,0,IF(K176=$K$53,0,IF(K176=$K$54,0,IF(K176=$K$55,0,IF(K176=$K$56,0,IF(K176=$K$57,0,IF(K176=$K$58,0,IF(K176=$K$65,0,IF(K176=$K$66,0,IF(K176=$K$67,0,IF(K176=$K$68,0,IF(K176=$K$69,0,IF(K176=$K$51,0,1)))))))))))*AQ176*$BB$102)))</f>
        <v>0</v>
      </c>
      <c r="BC176" s="172">
        <f t="shared" si="31"/>
        <v>0</v>
      </c>
      <c r="BD176" s="172">
        <f t="shared" si="32"/>
        <v>0</v>
      </c>
      <c r="BE176" s="172">
        <f>IF($BE$95=I176,$BE$97,IF(I176=$BE$96,$BE$97,1))*($BE$102*AQ176)*$AZ$97</f>
        <v>0</v>
      </c>
      <c r="BF176" s="172">
        <f>IF('[1]Cockpit Retorno'!$C$65=Sim,Mestre!BA176,SUM(BB176:BE176)+(IF(K176=$K$56,AQ176*MOE_IRRF_LR,0)))</f>
        <v>0</v>
      </c>
      <c r="BG176" s="174">
        <f>IF(AA176&gt;0,0,IF(Z176=$Z$82,AG176*1,(IF(Z176=$Z$81,AG176*1,0))))</f>
        <v>0</v>
      </c>
      <c r="BH176" s="174">
        <f>IF(AA176&gt;0,0,IF(Z176=$Z$83,AG176*1,IF(Z176=$Z$81,AG176*1,0)))</f>
        <v>0</v>
      </c>
      <c r="BI176" s="174">
        <f>IF(AA176&gt;0,0,IF(Z176=$Z$84,AG176*1,IF(Z176=$Z$93,AG176*2,IF(Z176=$Z$100,AG176,IF(Z176=$Z$81,AG176*2,IF(Z176=$Z$80,AG176*1,IF(Z176=$Z$79,AG176*3,IF(Z176=$Z$78,AG176*2,0))))))))</f>
        <v>0</v>
      </c>
      <c r="BJ176" s="174">
        <f>IF(AA176&gt;0,0,IF(Z176=$Z$85,AG176,IF(Z176=$Z$93,AG176,IF(Z176=$Z$100,AG176,IF(Z176=$Z$81,AG176*1,IF(Z176=$Z$80,AG176*2,IF(Z176=$Z$79,AG176*2,IF(Z176=$Z$78,AG176*2,0))))))))</f>
        <v>0</v>
      </c>
      <c r="BK176" s="174">
        <f>IF(AA176&gt;0,0,IF(Z176=$Z$92,AG176,0))</f>
        <v>0</v>
      </c>
      <c r="BL176" s="174">
        <f>IF(AA176&gt;0,0,IF(Z176=$Z$91,AG176,0))</f>
        <v>0</v>
      </c>
      <c r="BM176" s="174">
        <f>IF(AA176&gt;0,0,IF(Z176=$Z$86,AG176,0))</f>
        <v>0</v>
      </c>
      <c r="BN176" s="174">
        <f>IF(AA176&gt;0,0,IF(Z176=$Z$87,AG176,0))</f>
        <v>0</v>
      </c>
      <c r="BO176" s="174">
        <f>IF(AA176&gt;0,0,IF(Z176=$Z$88,AG176,0))</f>
        <v>0</v>
      </c>
      <c r="BP176" s="174">
        <f>IF(AA176&gt;0,0,IF(Z176=$Z$89,AG176,0))</f>
        <v>0</v>
      </c>
      <c r="BQ176" s="174">
        <f>IF(AA176&gt;0,0,IF(Z176=$Z$90,AG176,0))</f>
        <v>0</v>
      </c>
      <c r="BR176" s="174">
        <f>IF(Z176=$Z$82,AA176*AG176,0)</f>
        <v>0</v>
      </c>
      <c r="BS176" s="174">
        <f>IF(Z176=$Z$83,AA176*AG176,0)</f>
        <v>0</v>
      </c>
      <c r="BT176" s="174">
        <f>IF(AA176&lt;1,0,IF(Z176=$Z$84,AA176*AG176,IF(Z176=$Z$93,"ERRO",IF(Z176=$Z$100,"ERRO",0))))</f>
        <v>0</v>
      </c>
      <c r="BU176" s="174">
        <f>IF(AA176&lt;1,0,IF(Z176=$Z$85,AA176*AG176,IF(Z176=$Z$93,"ERRO",IF(Z176=$Z$100,"ERRO",0))))</f>
        <v>0</v>
      </c>
      <c r="BV176" s="174">
        <f>IF(Z176=$Z$92,AA176*AG176,0)</f>
        <v>0</v>
      </c>
      <c r="BW176" s="174">
        <f>IF(Z176=$Z$91,AA176*AG176,0)</f>
        <v>0</v>
      </c>
      <c r="BX176" s="174">
        <f>IF(Z176=$Z$86,AA176*AG176,0)</f>
        <v>0</v>
      </c>
      <c r="BY176" s="174">
        <f>IF(Z176=$Z$87,AA176*AG176,0)</f>
        <v>0</v>
      </c>
      <c r="BZ176" s="174">
        <f>IF(Z176=$Z$88,AA176*AG176,0)</f>
        <v>0</v>
      </c>
      <c r="CA176" s="174">
        <f>IF(Z176=$Z$89,AA176*AG176,0)</f>
        <v>0</v>
      </c>
      <c r="CB176" s="174">
        <f>IF(Z176=$Z$90,AA176*AG176,0)</f>
        <v>0</v>
      </c>
      <c r="CC176" s="175">
        <f>IFERROR(IF(L176=$L$49,AG176*AH176*(1+AI176)*(1-AK176)*(1-AL176),0),0)</f>
        <v>535.82508000000007</v>
      </c>
      <c r="CD176" s="203">
        <f>IF(I176=$CD$97,1,IF(I176=$CD$100,2,IF(K176=$K$66,1,IF(K176=$K$69,1,3))))</f>
        <v>1</v>
      </c>
      <c r="CE176" s="203">
        <f t="shared" si="14"/>
        <v>1.07</v>
      </c>
      <c r="CF176" s="204">
        <f t="shared" si="33"/>
        <v>1.2353999999999998</v>
      </c>
      <c r="CG176" s="203">
        <f t="shared" si="15"/>
        <v>1.42</v>
      </c>
      <c r="CH176" s="204">
        <f t="shared" si="34"/>
        <v>1.5478000000000001</v>
      </c>
      <c r="CI176" s="203">
        <f t="shared" si="16"/>
        <v>1.7</v>
      </c>
      <c r="CJ176" s="205">
        <f t="shared" si="17"/>
        <v>1.0486</v>
      </c>
      <c r="CK176" s="205">
        <f t="shared" si="18"/>
        <v>1.148922</v>
      </c>
      <c r="CL176" s="205">
        <f t="shared" si="19"/>
        <v>1.3915999999999999</v>
      </c>
      <c r="CM176" s="205">
        <f t="shared" si="20"/>
        <v>1.501366</v>
      </c>
      <c r="CN176" s="206">
        <f t="shared" si="21"/>
        <v>1.6319999999999999</v>
      </c>
      <c r="CO176" s="204">
        <f t="shared" si="25"/>
        <v>1.006656</v>
      </c>
      <c r="CP176" s="207">
        <f t="shared" si="35"/>
        <v>0</v>
      </c>
      <c r="CQ176" s="208">
        <f t="shared" si="36"/>
        <v>0</v>
      </c>
      <c r="CR176" s="209">
        <f t="shared" si="37"/>
        <v>0</v>
      </c>
      <c r="CS176" s="49"/>
      <c r="CT176" s="49"/>
      <c r="CU176" s="49"/>
      <c r="CV176" s="49"/>
      <c r="CW176" s="49"/>
      <c r="CX176" s="49"/>
      <c r="CY176" s="49"/>
      <c r="CZ176" s="49"/>
      <c r="DA176" s="49"/>
      <c r="DB176" s="49"/>
      <c r="DC176" s="49"/>
      <c r="DD176" s="49"/>
      <c r="DE176" s="49"/>
      <c r="DF176" s="49"/>
      <c r="DG176" s="49"/>
      <c r="DH176" s="49"/>
      <c r="DI176" s="49"/>
      <c r="DJ176" s="49"/>
      <c r="DK176" s="49"/>
      <c r="DL176" s="49"/>
      <c r="DM176" s="49"/>
      <c r="DN176" s="49"/>
      <c r="DO176" s="49"/>
      <c r="DP176" s="49"/>
      <c r="DQ176" s="49"/>
      <c r="DR176" s="49"/>
      <c r="DS176" s="49"/>
      <c r="DT176" s="49"/>
      <c r="DU176" s="49"/>
      <c r="DV176" s="49"/>
      <c r="DW176" s="49"/>
      <c r="DX176" s="49"/>
      <c r="DY176" s="49"/>
      <c r="DZ176" s="49"/>
      <c r="EA176" s="49"/>
      <c r="EB176" s="49"/>
      <c r="EC176" s="49"/>
      <c r="ED176" s="49"/>
      <c r="EE176" s="49"/>
      <c r="EF176" s="49"/>
      <c r="EG176" s="49"/>
      <c r="EH176" s="49"/>
      <c r="EI176" s="49"/>
      <c r="EJ176" s="49"/>
      <c r="EK176" s="49"/>
      <c r="EL176" s="49"/>
      <c r="EM176" s="49"/>
      <c r="EN176" s="49"/>
      <c r="EO176" s="49"/>
      <c r="EP176" s="49"/>
      <c r="EQ176" s="49"/>
      <c r="ER176" s="49"/>
      <c r="ES176" s="49"/>
      <c r="ET176" s="49"/>
      <c r="EU176" s="49"/>
      <c r="EV176" s="49"/>
      <c r="EW176" s="49"/>
      <c r="EX176" s="49"/>
      <c r="EY176" s="49"/>
      <c r="EZ176" s="49"/>
      <c r="FA176" s="49"/>
    </row>
    <row r="177" spans="1:157" s="210" customFormat="1" ht="51" x14ac:dyDescent="0.25">
      <c r="A177" s="113">
        <f>IF(AND('[1]Cockpit Retorno'!$E$67=Sim,Mestre!M177=Mestre!$M$98),0,1)</f>
        <v>1</v>
      </c>
      <c r="B177" s="113">
        <f>IF(AND('[1]Cockpit Retorno'!$E$67=Sim,Mestre!L177=Mestre!$L$48),0,1)</f>
        <v>1</v>
      </c>
      <c r="C177" s="113">
        <f>IF(AND('[1]Cockpit Retorno'!$E$67=Sim,Mestre!M177=Mestre!$M$97),0,1)</f>
        <v>1</v>
      </c>
      <c r="D177" s="148" t="s">
        <v>7</v>
      </c>
      <c r="E177" s="115"/>
      <c r="F177" s="116" t="s">
        <v>107</v>
      </c>
      <c r="G177" s="149"/>
      <c r="H177" s="150" t="s">
        <v>7</v>
      </c>
      <c r="I177" s="151" t="str">
        <f t="shared" si="26"/>
        <v>Mercadorias</v>
      </c>
      <c r="J177" s="150" t="s">
        <v>15</v>
      </c>
      <c r="K177" s="152" t="s">
        <v>7</v>
      </c>
      <c r="L177" s="153" t="s">
        <v>21</v>
      </c>
      <c r="M177" s="154" t="s">
        <v>290</v>
      </c>
      <c r="N177" s="155" t="s">
        <v>309</v>
      </c>
      <c r="O177" s="155" t="s">
        <v>292</v>
      </c>
      <c r="P177" s="155" t="s">
        <v>43</v>
      </c>
      <c r="Q177" s="155" t="s">
        <v>43</v>
      </c>
      <c r="R177" s="155" t="s">
        <v>43</v>
      </c>
      <c r="S177" s="156" t="s">
        <v>43</v>
      </c>
      <c r="T177" s="156" t="s">
        <v>43</v>
      </c>
      <c r="U177" s="150" t="s">
        <v>43</v>
      </c>
      <c r="V177" s="150" t="s">
        <v>43</v>
      </c>
      <c r="W177" s="150" t="s">
        <v>43</v>
      </c>
      <c r="X177" s="157" t="s">
        <v>331</v>
      </c>
      <c r="Y177" s="150"/>
      <c r="Z177" s="150"/>
      <c r="AA177" s="158">
        <v>0</v>
      </c>
      <c r="AB177" s="155" t="s">
        <v>43</v>
      </c>
      <c r="AC177" s="150" t="s">
        <v>43</v>
      </c>
      <c r="AD177" s="155" t="s">
        <v>43</v>
      </c>
      <c r="AE177" s="155"/>
      <c r="AF177" s="150" t="s">
        <v>43</v>
      </c>
      <c r="AG177" s="159">
        <v>6</v>
      </c>
      <c r="AH177" s="159">
        <v>173.91</v>
      </c>
      <c r="AI177" s="202">
        <v>0</v>
      </c>
      <c r="AJ177" s="161">
        <v>7.0000000000000007E-2</v>
      </c>
      <c r="AK177" s="162">
        <v>0.05</v>
      </c>
      <c r="AL177" s="163"/>
      <c r="AM177" s="164">
        <f>(((IF(L177=$L$101,1,IF(L177=$L$47,1,0))*(AH177*(1-AK177)))*AG177)*(1-AL177))</f>
        <v>0</v>
      </c>
      <c r="AN177" s="165">
        <f>IF(K177=$K$50,AM177,IF(K177=$K$53,AM177,IF(K177=$K$54,AM177,IF(K177=$K$55,AM177,IF(K177=$K$56,AM177,IF(K177=$K$57,AM177,IF(K177=$K$58,AM177,IF(K177=$K$65,AM177,IF(K177=$K$66,AM177,IF(K177=$K$67,AM177,IF(K177=$K$68,AM177,IF(K177=$K$69,AM177,IF(K177=$K$51,AM177,(AM177*(1+AI177)))))))))))))))</f>
        <v>0</v>
      </c>
      <c r="AO177" s="166">
        <v>1.4</v>
      </c>
      <c r="AP177" s="160">
        <f t="shared" si="27"/>
        <v>0</v>
      </c>
      <c r="AQ177" s="167">
        <f t="shared" si="24"/>
        <v>0</v>
      </c>
      <c r="AR177" s="160">
        <f t="shared" si="28"/>
        <v>0</v>
      </c>
      <c r="AS177" s="168">
        <f t="shared" si="29"/>
        <v>0</v>
      </c>
      <c r="AT177" s="169" t="str">
        <f>K177</f>
        <v>MI</v>
      </c>
      <c r="AU177" s="169" t="str">
        <f>I177</f>
        <v>Mercadorias</v>
      </c>
      <c r="AV177" s="170"/>
      <c r="AW177" s="171">
        <f>IF(K177=$K$50,0,IF(K177=$K$53,0,IF(K177=$K$54,0,IF(K177=$K$55,0,IF(K177=$K$56,0,IF(K177=$K$57,0,IF(K177=$K$58,0,IF(K177=$K$65,0,IF(K177=$K$66,0,IF(K177=$K$67,0,IF(K177=$K$68,0,IF(K177=$K$69,0,IF(K177=$K$51,0,1))))))))))))*AM177*AI177)</f>
        <v>0</v>
      </c>
      <c r="AX177" s="172">
        <f>IF(K177=$K$50,0,IF(K177=$K$53,0,IF(K177=$K$54,0,IF(K177=$K$55,0,IF(K177=$K$56,0,IF(K177=$K$57,0,IF(K177=$K$58,0,IF(K177=$K$65,0,IF(K177=$K$66,0,IF(K177=$K$67,0,IF(K177=$K$68,0,IF(K177=$K$69,0,IF(K177=$K$51,0,1))))))))))))*AM177*AJ177*$AX$94)</f>
        <v>0</v>
      </c>
      <c r="AY177" s="172">
        <f>IF(K177=$K$53,0,IF(K177=$K$54,0,IF(K177=$K$55,0,IF(K177=$K$56,0,IF(K177=$K$58,0,IF(K177=$K$50,0,IF(K177=$K$65,0,IF(K177=$K$57,0,IF(K177=$K$51,0,AM177*$AY$102)))))))))</f>
        <v>0</v>
      </c>
      <c r="AZ177" s="172">
        <f>IF(K177=$K$53,0,IF(K177=$K$54,0,IF(K177=$K$55,0,IF(K177=$K$56,0,IF(K177=$K$58,0,IF(K177=$K$50,0,IF(K177=$K$65,0,IF(K177=$K$57,0,IF(K177=$K$51,0,AM177*$AZ$102)))))))))</f>
        <v>0</v>
      </c>
      <c r="BA177" s="172">
        <f t="shared" si="30"/>
        <v>0</v>
      </c>
      <c r="BB177" s="173">
        <f>IF($BA$97=1,AQ177*$BB$102,IF(K177=$K$50,0,IF(K177=$K$53,0,IF(K177=$K$54,0,IF(K177=$K$55,0,IF(K177=$K$56,0,IF(K177=$K$57,0,IF(K177=$K$58,0,IF(K177=$K$65,0,IF(K177=$K$66,0,IF(K177=$K$67,0,IF(K177=$K$68,0,IF(K177=$K$69,0,IF(K177=$K$51,0,1)))))))))))*AQ177*$BB$102)))</f>
        <v>0</v>
      </c>
      <c r="BC177" s="172">
        <f t="shared" si="31"/>
        <v>0</v>
      </c>
      <c r="BD177" s="172">
        <f t="shared" si="32"/>
        <v>0</v>
      </c>
      <c r="BE177" s="172">
        <f>IF($BE$95=I177,$BE$97,IF(I177=$BE$96,$BE$97,1))*($BE$102*AQ177)*$AZ$97</f>
        <v>0</v>
      </c>
      <c r="BF177" s="172">
        <f>IF('[1]Cockpit Retorno'!$C$65=Sim,Mestre!BA177,SUM(BB177:BE177)+(IF(K177=$K$56,AQ177*MOE_IRRF_LR,0)))</f>
        <v>0</v>
      </c>
      <c r="BG177" s="174">
        <f>IF(AA177&gt;0,0,IF(Z177=$Z$82,AG177*1,(IF(Z177=$Z$81,AG177*1,0))))</f>
        <v>0</v>
      </c>
      <c r="BH177" s="174">
        <f>IF(AA177&gt;0,0,IF(Z177=$Z$83,AG177*1,IF(Z177=$Z$81,AG177*1,0)))</f>
        <v>0</v>
      </c>
      <c r="BI177" s="174">
        <f>IF(AA177&gt;0,0,IF(Z177=$Z$84,AG177*1,IF(Z177=$Z$93,AG177*2,IF(Z177=$Z$100,AG177,IF(Z177=$Z$81,AG177*2,IF(Z177=$Z$80,AG177*1,IF(Z177=$Z$79,AG177*3,IF(Z177=$Z$78,AG177*2,0))))))))</f>
        <v>0</v>
      </c>
      <c r="BJ177" s="174">
        <f>IF(AA177&gt;0,0,IF(Z177=$Z$85,AG177,IF(Z177=$Z$93,AG177,IF(Z177=$Z$100,AG177,IF(Z177=$Z$81,AG177*1,IF(Z177=$Z$80,AG177*2,IF(Z177=$Z$79,AG177*2,IF(Z177=$Z$78,AG177*2,0))))))))</f>
        <v>0</v>
      </c>
      <c r="BK177" s="174">
        <f>IF(AA177&gt;0,0,IF(Z177=$Z$92,AG177,0))</f>
        <v>0</v>
      </c>
      <c r="BL177" s="174">
        <f>IF(AA177&gt;0,0,IF(Z177=$Z$91,AG177,0))</f>
        <v>0</v>
      </c>
      <c r="BM177" s="174">
        <f>IF(AA177&gt;0,0,IF(Z177=$Z$86,AG177,0))</f>
        <v>0</v>
      </c>
      <c r="BN177" s="174">
        <f>IF(AA177&gt;0,0,IF(Z177=$Z$87,AG177,0))</f>
        <v>0</v>
      </c>
      <c r="BO177" s="174">
        <f>IF(AA177&gt;0,0,IF(Z177=$Z$88,AG177,0))</f>
        <v>0</v>
      </c>
      <c r="BP177" s="174">
        <f>IF(AA177&gt;0,0,IF(Z177=$Z$89,AG177,0))</f>
        <v>0</v>
      </c>
      <c r="BQ177" s="174">
        <f>IF(AA177&gt;0,0,IF(Z177=$Z$90,AG177,0))</f>
        <v>0</v>
      </c>
      <c r="BR177" s="174">
        <f>IF(Z177=$Z$82,AA177*AG177,0)</f>
        <v>0</v>
      </c>
      <c r="BS177" s="174">
        <f>IF(Z177=$Z$83,AA177*AG177,0)</f>
        <v>0</v>
      </c>
      <c r="BT177" s="174">
        <f>IF(AA177&lt;1,0,IF(Z177=$Z$84,AA177*AG177,IF(Z177=$Z$93,"ERRO",IF(Z177=$Z$100,"ERRO",0))))</f>
        <v>0</v>
      </c>
      <c r="BU177" s="174">
        <f>IF(AA177&lt;1,0,IF(Z177=$Z$85,AA177*AG177,IF(Z177=$Z$93,"ERRO",IF(Z177=$Z$100,"ERRO",0))))</f>
        <v>0</v>
      </c>
      <c r="BV177" s="174">
        <f>IF(Z177=$Z$92,AA177*AG177,0)</f>
        <v>0</v>
      </c>
      <c r="BW177" s="174">
        <f>IF(Z177=$Z$91,AA177*AG177,0)</f>
        <v>0</v>
      </c>
      <c r="BX177" s="174">
        <f>IF(Z177=$Z$86,AA177*AG177,0)</f>
        <v>0</v>
      </c>
      <c r="BY177" s="174">
        <f>IF(Z177=$Z$87,AA177*AG177,0)</f>
        <v>0</v>
      </c>
      <c r="BZ177" s="174">
        <f>IF(Z177=$Z$88,AA177*AG177,0)</f>
        <v>0</v>
      </c>
      <c r="CA177" s="174">
        <f>IF(Z177=$Z$89,AA177*AG177,0)</f>
        <v>0</v>
      </c>
      <c r="CB177" s="174">
        <f>IF(Z177=$Z$90,AA177*AG177,0)</f>
        <v>0</v>
      </c>
      <c r="CC177" s="175">
        <f>IFERROR(IF(L177=$L$49,AG177*AH177*(1+AI177)*(1-AK177)*(1-AL177),0),0)</f>
        <v>991.28700000000003</v>
      </c>
      <c r="CD177" s="203">
        <f>IF(I177=$CD$97,1,IF(I177=$CD$100,2,IF(K177=$K$66,1,IF(K177=$K$69,1,3))))</f>
        <v>1</v>
      </c>
      <c r="CE177" s="203">
        <f t="shared" si="14"/>
        <v>1.07</v>
      </c>
      <c r="CF177" s="204">
        <f t="shared" si="33"/>
        <v>1.2353999999999998</v>
      </c>
      <c r="CG177" s="203">
        <f t="shared" si="15"/>
        <v>1.42</v>
      </c>
      <c r="CH177" s="204">
        <f t="shared" si="34"/>
        <v>1.5478000000000001</v>
      </c>
      <c r="CI177" s="203">
        <f t="shared" si="16"/>
        <v>1.7</v>
      </c>
      <c r="CJ177" s="205">
        <f t="shared" si="17"/>
        <v>1.0486</v>
      </c>
      <c r="CK177" s="205">
        <f t="shared" si="18"/>
        <v>1.148922</v>
      </c>
      <c r="CL177" s="205">
        <f t="shared" si="19"/>
        <v>1.3915999999999999</v>
      </c>
      <c r="CM177" s="205">
        <f t="shared" si="20"/>
        <v>1.501366</v>
      </c>
      <c r="CN177" s="206">
        <f t="shared" si="21"/>
        <v>1.6319999999999999</v>
      </c>
      <c r="CO177" s="204">
        <f t="shared" si="25"/>
        <v>1.006656</v>
      </c>
      <c r="CP177" s="207">
        <f t="shared" si="35"/>
        <v>0</v>
      </c>
      <c r="CQ177" s="208">
        <f t="shared" si="36"/>
        <v>0</v>
      </c>
      <c r="CR177" s="209">
        <f t="shared" si="37"/>
        <v>0</v>
      </c>
      <c r="CS177" s="49"/>
      <c r="CT177" s="49"/>
      <c r="CU177" s="49"/>
      <c r="CV177" s="49"/>
      <c r="CW177" s="49"/>
      <c r="CX177" s="49"/>
      <c r="CY177" s="49"/>
      <c r="CZ177" s="49"/>
      <c r="DA177" s="49"/>
      <c r="DB177" s="49"/>
      <c r="DC177" s="49"/>
      <c r="DD177" s="49"/>
      <c r="DE177" s="49"/>
      <c r="DF177" s="49"/>
      <c r="DG177" s="49"/>
      <c r="DH177" s="49"/>
      <c r="DI177" s="49"/>
      <c r="DJ177" s="49"/>
      <c r="DK177" s="49"/>
      <c r="DL177" s="49"/>
      <c r="DM177" s="49"/>
      <c r="DN177" s="49"/>
      <c r="DO177" s="49"/>
      <c r="DP177" s="49"/>
      <c r="DQ177" s="49"/>
      <c r="DR177" s="49"/>
      <c r="DS177" s="49"/>
      <c r="DT177" s="49"/>
      <c r="DU177" s="49"/>
      <c r="DV177" s="49"/>
      <c r="DW177" s="49"/>
      <c r="DX177" s="49"/>
      <c r="DY177" s="49"/>
      <c r="DZ177" s="49"/>
      <c r="EA177" s="49"/>
      <c r="EB177" s="49"/>
      <c r="EC177" s="49"/>
      <c r="ED177" s="49"/>
      <c r="EE177" s="49"/>
      <c r="EF177" s="49"/>
      <c r="EG177" s="49"/>
      <c r="EH177" s="49"/>
      <c r="EI177" s="49"/>
      <c r="EJ177" s="49"/>
      <c r="EK177" s="49"/>
      <c r="EL177" s="49"/>
      <c r="EM177" s="49"/>
      <c r="EN177" s="49"/>
      <c r="EO177" s="49"/>
      <c r="EP177" s="49"/>
      <c r="EQ177" s="49"/>
      <c r="ER177" s="49"/>
      <c r="ES177" s="49"/>
      <c r="ET177" s="49"/>
      <c r="EU177" s="49"/>
      <c r="EV177" s="49"/>
      <c r="EW177" s="49"/>
      <c r="EX177" s="49"/>
      <c r="EY177" s="49"/>
      <c r="EZ177" s="49"/>
      <c r="FA177" s="49"/>
    </row>
    <row r="178" spans="1:157" s="210" customFormat="1" ht="51" x14ac:dyDescent="0.25">
      <c r="A178" s="113">
        <f>IF(AND('[1]Cockpit Retorno'!$E$67=Sim,Mestre!M178=Mestre!$M$98),0,1)</f>
        <v>1</v>
      </c>
      <c r="B178" s="113">
        <f>IF(AND('[1]Cockpit Retorno'!$E$67=Sim,Mestre!L178=Mestre!$L$48),0,1)</f>
        <v>1</v>
      </c>
      <c r="C178" s="113">
        <f>IF(AND('[1]Cockpit Retorno'!$E$67=Sim,Mestre!M178=Mestre!$M$97),0,1)</f>
        <v>1</v>
      </c>
      <c r="D178" s="148" t="s">
        <v>7</v>
      </c>
      <c r="E178" s="115"/>
      <c r="F178" s="116" t="s">
        <v>107</v>
      </c>
      <c r="G178" s="149"/>
      <c r="H178" s="150" t="s">
        <v>7</v>
      </c>
      <c r="I178" s="151" t="str">
        <f t="shared" si="26"/>
        <v>Mercadorias</v>
      </c>
      <c r="J178" s="150" t="s">
        <v>15</v>
      </c>
      <c r="K178" s="152" t="s">
        <v>7</v>
      </c>
      <c r="L178" s="153" t="s">
        <v>21</v>
      </c>
      <c r="M178" s="154" t="s">
        <v>290</v>
      </c>
      <c r="N178" s="155" t="s">
        <v>309</v>
      </c>
      <c r="O178" s="155" t="s">
        <v>292</v>
      </c>
      <c r="P178" s="155" t="s">
        <v>43</v>
      </c>
      <c r="Q178" s="155" t="s">
        <v>43</v>
      </c>
      <c r="R178" s="155" t="s">
        <v>43</v>
      </c>
      <c r="S178" s="156" t="s">
        <v>43</v>
      </c>
      <c r="T178" s="156" t="s">
        <v>43</v>
      </c>
      <c r="U178" s="150" t="s">
        <v>43</v>
      </c>
      <c r="V178" s="150" t="s">
        <v>43</v>
      </c>
      <c r="W178" s="150" t="s">
        <v>43</v>
      </c>
      <c r="X178" s="157" t="s">
        <v>332</v>
      </c>
      <c r="Y178" s="150"/>
      <c r="Z178" s="150"/>
      <c r="AA178" s="158">
        <v>0</v>
      </c>
      <c r="AB178" s="155" t="s">
        <v>43</v>
      </c>
      <c r="AC178" s="150" t="s">
        <v>43</v>
      </c>
      <c r="AD178" s="155" t="s">
        <v>43</v>
      </c>
      <c r="AE178" s="155"/>
      <c r="AF178" s="150" t="s">
        <v>43</v>
      </c>
      <c r="AG178" s="159">
        <v>2</v>
      </c>
      <c r="AH178" s="159">
        <v>144.78240000000002</v>
      </c>
      <c r="AI178" s="202">
        <v>0</v>
      </c>
      <c r="AJ178" s="161">
        <v>7.0000000000000007E-2</v>
      </c>
      <c r="AK178" s="162">
        <v>0.05</v>
      </c>
      <c r="AL178" s="163"/>
      <c r="AM178" s="164">
        <f>(((IF(L178=$L$101,1,IF(L178=$L$47,1,0))*(AH178*(1-AK178)))*AG178)*(1-AL178))</f>
        <v>0</v>
      </c>
      <c r="AN178" s="165">
        <f>IF(K178=$K$50,AM178,IF(K178=$K$53,AM178,IF(K178=$K$54,AM178,IF(K178=$K$55,AM178,IF(K178=$K$56,AM178,IF(K178=$K$57,AM178,IF(K178=$K$58,AM178,IF(K178=$K$65,AM178,IF(K178=$K$66,AM178,IF(K178=$K$67,AM178,IF(K178=$K$68,AM178,IF(K178=$K$69,AM178,IF(K178=$K$51,AM178,(AM178*(1+AI178)))))))))))))))</f>
        <v>0</v>
      </c>
      <c r="AO178" s="166">
        <v>1.4</v>
      </c>
      <c r="AP178" s="160">
        <f t="shared" si="27"/>
        <v>0</v>
      </c>
      <c r="AQ178" s="167">
        <f t="shared" si="24"/>
        <v>0</v>
      </c>
      <c r="AR178" s="160">
        <f t="shared" si="28"/>
        <v>0</v>
      </c>
      <c r="AS178" s="168">
        <f t="shared" si="29"/>
        <v>0</v>
      </c>
      <c r="AT178" s="169" t="str">
        <f>K178</f>
        <v>MI</v>
      </c>
      <c r="AU178" s="169" t="str">
        <f>I178</f>
        <v>Mercadorias</v>
      </c>
      <c r="AV178" s="170"/>
      <c r="AW178" s="171">
        <f>IF(K178=$K$50,0,IF(K178=$K$53,0,IF(K178=$K$54,0,IF(K178=$K$55,0,IF(K178=$K$56,0,IF(K178=$K$57,0,IF(K178=$K$58,0,IF(K178=$K$65,0,IF(K178=$K$66,0,IF(K178=$K$67,0,IF(K178=$K$68,0,IF(K178=$K$69,0,IF(K178=$K$51,0,1))))))))))))*AM178*AI178)</f>
        <v>0</v>
      </c>
      <c r="AX178" s="172">
        <f>IF(K178=$K$50,0,IF(K178=$K$53,0,IF(K178=$K$54,0,IF(K178=$K$55,0,IF(K178=$K$56,0,IF(K178=$K$57,0,IF(K178=$K$58,0,IF(K178=$K$65,0,IF(K178=$K$66,0,IF(K178=$K$67,0,IF(K178=$K$68,0,IF(K178=$K$69,0,IF(K178=$K$51,0,1))))))))))))*AM178*AJ178*$AX$94)</f>
        <v>0</v>
      </c>
      <c r="AY178" s="172">
        <f>IF(K178=$K$53,0,IF(K178=$K$54,0,IF(K178=$K$55,0,IF(K178=$K$56,0,IF(K178=$K$58,0,IF(K178=$K$50,0,IF(K178=$K$65,0,IF(K178=$K$57,0,IF(K178=$K$51,0,AM178*$AY$102)))))))))</f>
        <v>0</v>
      </c>
      <c r="AZ178" s="172">
        <f>IF(K178=$K$53,0,IF(K178=$K$54,0,IF(K178=$K$55,0,IF(K178=$K$56,0,IF(K178=$K$58,0,IF(K178=$K$50,0,IF(K178=$K$65,0,IF(K178=$K$57,0,IF(K178=$K$51,0,AM178*$AZ$102)))))))))</f>
        <v>0</v>
      </c>
      <c r="BA178" s="172">
        <f t="shared" si="30"/>
        <v>0</v>
      </c>
      <c r="BB178" s="173">
        <f>IF($BA$97=1,AQ178*$BB$102,IF(K178=$K$50,0,IF(K178=$K$53,0,IF(K178=$K$54,0,IF(K178=$K$55,0,IF(K178=$K$56,0,IF(K178=$K$57,0,IF(K178=$K$58,0,IF(K178=$K$65,0,IF(K178=$K$66,0,IF(K178=$K$67,0,IF(K178=$K$68,0,IF(K178=$K$69,0,IF(K178=$K$51,0,1)))))))))))*AQ178*$BB$102)))</f>
        <v>0</v>
      </c>
      <c r="BC178" s="172">
        <f t="shared" si="31"/>
        <v>0</v>
      </c>
      <c r="BD178" s="172">
        <f t="shared" si="32"/>
        <v>0</v>
      </c>
      <c r="BE178" s="172">
        <f>IF($BE$95=I178,$BE$97,IF(I178=$BE$96,$BE$97,1))*($BE$102*AQ178)*$AZ$97</f>
        <v>0</v>
      </c>
      <c r="BF178" s="172">
        <f>IF('[1]Cockpit Retorno'!$C$65=Sim,Mestre!BA178,SUM(BB178:BE178)+(IF(K178=$K$56,AQ178*MOE_IRRF_LR,0)))</f>
        <v>0</v>
      </c>
      <c r="BG178" s="174">
        <f>IF(AA178&gt;0,0,IF(Z178=$Z$82,AG178*1,(IF(Z178=$Z$81,AG178*1,0))))</f>
        <v>0</v>
      </c>
      <c r="BH178" s="174">
        <f>IF(AA178&gt;0,0,IF(Z178=$Z$83,AG178*1,IF(Z178=$Z$81,AG178*1,0)))</f>
        <v>0</v>
      </c>
      <c r="BI178" s="174">
        <f>IF(AA178&gt;0,0,IF(Z178=$Z$84,AG178*1,IF(Z178=$Z$93,AG178*2,IF(Z178=$Z$100,AG178,IF(Z178=$Z$81,AG178*2,IF(Z178=$Z$80,AG178*1,IF(Z178=$Z$79,AG178*3,IF(Z178=$Z$78,AG178*2,0))))))))</f>
        <v>0</v>
      </c>
      <c r="BJ178" s="174">
        <f>IF(AA178&gt;0,0,IF(Z178=$Z$85,AG178,IF(Z178=$Z$93,AG178,IF(Z178=$Z$100,AG178,IF(Z178=$Z$81,AG178*1,IF(Z178=$Z$80,AG178*2,IF(Z178=$Z$79,AG178*2,IF(Z178=$Z$78,AG178*2,0))))))))</f>
        <v>0</v>
      </c>
      <c r="BK178" s="174">
        <f>IF(AA178&gt;0,0,IF(Z178=$Z$92,AG178,0))</f>
        <v>0</v>
      </c>
      <c r="BL178" s="174">
        <f>IF(AA178&gt;0,0,IF(Z178=$Z$91,AG178,0))</f>
        <v>0</v>
      </c>
      <c r="BM178" s="174">
        <f>IF(AA178&gt;0,0,IF(Z178=$Z$86,AG178,0))</f>
        <v>0</v>
      </c>
      <c r="BN178" s="174">
        <f>IF(AA178&gt;0,0,IF(Z178=$Z$87,AG178,0))</f>
        <v>0</v>
      </c>
      <c r="BO178" s="174">
        <f>IF(AA178&gt;0,0,IF(Z178=$Z$88,AG178,0))</f>
        <v>0</v>
      </c>
      <c r="BP178" s="174">
        <f>IF(AA178&gt;0,0,IF(Z178=$Z$89,AG178,0))</f>
        <v>0</v>
      </c>
      <c r="BQ178" s="174">
        <f>IF(AA178&gt;0,0,IF(Z178=$Z$90,AG178,0))</f>
        <v>0</v>
      </c>
      <c r="BR178" s="174">
        <f>IF(Z178=$Z$82,AA178*AG178,0)</f>
        <v>0</v>
      </c>
      <c r="BS178" s="174">
        <f>IF(Z178=$Z$83,AA178*AG178,0)</f>
        <v>0</v>
      </c>
      <c r="BT178" s="174">
        <f>IF(AA178&lt;1,0,IF(Z178=$Z$84,AA178*AG178,IF(Z178=$Z$93,"ERRO",IF(Z178=$Z$100,"ERRO",0))))</f>
        <v>0</v>
      </c>
      <c r="BU178" s="174">
        <f>IF(AA178&lt;1,0,IF(Z178=$Z$85,AA178*AG178,IF(Z178=$Z$93,"ERRO",IF(Z178=$Z$100,"ERRO",0))))</f>
        <v>0</v>
      </c>
      <c r="BV178" s="174">
        <f>IF(Z178=$Z$92,AA178*AG178,0)</f>
        <v>0</v>
      </c>
      <c r="BW178" s="174">
        <f>IF(Z178=$Z$91,AA178*AG178,0)</f>
        <v>0</v>
      </c>
      <c r="BX178" s="174">
        <f>IF(Z178=$Z$86,AA178*AG178,0)</f>
        <v>0</v>
      </c>
      <c r="BY178" s="174">
        <f>IF(Z178=$Z$87,AA178*AG178,0)</f>
        <v>0</v>
      </c>
      <c r="BZ178" s="174">
        <f>IF(Z178=$Z$88,AA178*AG178,0)</f>
        <v>0</v>
      </c>
      <c r="CA178" s="174">
        <f>IF(Z178=$Z$89,AA178*AG178,0)</f>
        <v>0</v>
      </c>
      <c r="CB178" s="174">
        <f>IF(Z178=$Z$90,AA178*AG178,0)</f>
        <v>0</v>
      </c>
      <c r="CC178" s="175">
        <f>IFERROR(IF(L178=$L$49,AG178*AH178*(1+AI178)*(1-AK178)*(1-AL178),0),0)</f>
        <v>275.08656000000002</v>
      </c>
      <c r="CD178" s="203">
        <f>IF(I178=$CD$97,1,IF(I178=$CD$100,2,IF(K178=$K$66,1,IF(K178=$K$69,1,3))))</f>
        <v>1</v>
      </c>
      <c r="CE178" s="203">
        <f t="shared" si="14"/>
        <v>1.07</v>
      </c>
      <c r="CF178" s="204">
        <f t="shared" si="33"/>
        <v>1.2353999999999998</v>
      </c>
      <c r="CG178" s="203">
        <f t="shared" si="15"/>
        <v>1.42</v>
      </c>
      <c r="CH178" s="204">
        <f t="shared" si="34"/>
        <v>1.5478000000000001</v>
      </c>
      <c r="CI178" s="203">
        <f t="shared" si="16"/>
        <v>1.7</v>
      </c>
      <c r="CJ178" s="205">
        <f t="shared" si="17"/>
        <v>1.0486</v>
      </c>
      <c r="CK178" s="205">
        <f t="shared" si="18"/>
        <v>1.148922</v>
      </c>
      <c r="CL178" s="205">
        <f t="shared" si="19"/>
        <v>1.3915999999999999</v>
      </c>
      <c r="CM178" s="205">
        <f t="shared" si="20"/>
        <v>1.501366</v>
      </c>
      <c r="CN178" s="206">
        <f t="shared" si="21"/>
        <v>1.6319999999999999</v>
      </c>
      <c r="CO178" s="204">
        <f t="shared" si="25"/>
        <v>1.006656</v>
      </c>
      <c r="CP178" s="207">
        <f t="shared" si="35"/>
        <v>0</v>
      </c>
      <c r="CQ178" s="208">
        <f t="shared" si="36"/>
        <v>0</v>
      </c>
      <c r="CR178" s="209">
        <f t="shared" si="37"/>
        <v>0</v>
      </c>
      <c r="CS178" s="49"/>
      <c r="CT178" s="49"/>
      <c r="CU178" s="49"/>
      <c r="CV178" s="49"/>
      <c r="CW178" s="49"/>
      <c r="CX178" s="49"/>
      <c r="CY178" s="49"/>
      <c r="CZ178" s="49"/>
      <c r="DA178" s="49"/>
      <c r="DB178" s="49"/>
      <c r="DC178" s="49"/>
      <c r="DD178" s="49"/>
      <c r="DE178" s="49"/>
      <c r="DF178" s="49"/>
      <c r="DG178" s="49"/>
      <c r="DH178" s="49"/>
      <c r="DI178" s="49"/>
      <c r="DJ178" s="49"/>
      <c r="DK178" s="49"/>
      <c r="DL178" s="49"/>
      <c r="DM178" s="49"/>
      <c r="DN178" s="49"/>
      <c r="DO178" s="49"/>
      <c r="DP178" s="49"/>
      <c r="DQ178" s="49"/>
      <c r="DR178" s="49"/>
      <c r="DS178" s="49"/>
      <c r="DT178" s="49"/>
      <c r="DU178" s="49"/>
      <c r="DV178" s="49"/>
      <c r="DW178" s="49"/>
      <c r="DX178" s="49"/>
      <c r="DY178" s="49"/>
      <c r="DZ178" s="49"/>
      <c r="EA178" s="49"/>
      <c r="EB178" s="49"/>
      <c r="EC178" s="49"/>
      <c r="ED178" s="49"/>
      <c r="EE178" s="49"/>
      <c r="EF178" s="49"/>
      <c r="EG178" s="49"/>
      <c r="EH178" s="49"/>
      <c r="EI178" s="49"/>
      <c r="EJ178" s="49"/>
      <c r="EK178" s="49"/>
      <c r="EL178" s="49"/>
      <c r="EM178" s="49"/>
      <c r="EN178" s="49"/>
      <c r="EO178" s="49"/>
      <c r="EP178" s="49"/>
      <c r="EQ178" s="49"/>
      <c r="ER178" s="49"/>
      <c r="ES178" s="49"/>
      <c r="ET178" s="49"/>
      <c r="EU178" s="49"/>
      <c r="EV178" s="49"/>
      <c r="EW178" s="49"/>
      <c r="EX178" s="49"/>
      <c r="EY178" s="49"/>
      <c r="EZ178" s="49"/>
      <c r="FA178" s="49"/>
    </row>
    <row r="179" spans="1:157" s="210" customFormat="1" ht="51" x14ac:dyDescent="0.25">
      <c r="A179" s="113">
        <f>IF(AND('[1]Cockpit Retorno'!$E$67=Sim,Mestre!M179=Mestre!$M$98),0,1)</f>
        <v>1</v>
      </c>
      <c r="B179" s="113">
        <f>IF(AND('[1]Cockpit Retorno'!$E$67=Sim,Mestre!L179=Mestre!$L$48),0,1)</f>
        <v>1</v>
      </c>
      <c r="C179" s="113">
        <f>IF(AND('[1]Cockpit Retorno'!$E$67=Sim,Mestre!M179=Mestre!$M$97),0,1)</f>
        <v>1</v>
      </c>
      <c r="D179" s="148" t="s">
        <v>7</v>
      </c>
      <c r="E179" s="115"/>
      <c r="F179" s="116" t="s">
        <v>107</v>
      </c>
      <c r="G179" s="149"/>
      <c r="H179" s="150" t="s">
        <v>7</v>
      </c>
      <c r="I179" s="151" t="str">
        <f t="shared" si="26"/>
        <v>Mercadorias</v>
      </c>
      <c r="J179" s="150" t="s">
        <v>15</v>
      </c>
      <c r="K179" s="152" t="s">
        <v>7</v>
      </c>
      <c r="L179" s="153" t="s">
        <v>21</v>
      </c>
      <c r="M179" s="154" t="s">
        <v>290</v>
      </c>
      <c r="N179" s="155" t="s">
        <v>309</v>
      </c>
      <c r="O179" s="155" t="s">
        <v>292</v>
      </c>
      <c r="P179" s="155" t="s">
        <v>43</v>
      </c>
      <c r="Q179" s="155" t="s">
        <v>43</v>
      </c>
      <c r="R179" s="155" t="s">
        <v>43</v>
      </c>
      <c r="S179" s="156" t="s">
        <v>43</v>
      </c>
      <c r="T179" s="156" t="s">
        <v>43</v>
      </c>
      <c r="U179" s="150" t="s">
        <v>43</v>
      </c>
      <c r="V179" s="150" t="s">
        <v>43</v>
      </c>
      <c r="W179" s="150" t="s">
        <v>43</v>
      </c>
      <c r="X179" s="157" t="s">
        <v>333</v>
      </c>
      <c r="Y179" s="150"/>
      <c r="Z179" s="150"/>
      <c r="AA179" s="158">
        <v>0</v>
      </c>
      <c r="AB179" s="155" t="s">
        <v>43</v>
      </c>
      <c r="AC179" s="150" t="s">
        <v>43</v>
      </c>
      <c r="AD179" s="155" t="s">
        <v>43</v>
      </c>
      <c r="AE179" s="155"/>
      <c r="AF179" s="150" t="s">
        <v>43</v>
      </c>
      <c r="AG179" s="159">
        <v>6</v>
      </c>
      <c r="AH179" s="159">
        <v>141.00660000000002</v>
      </c>
      <c r="AI179" s="202">
        <v>0</v>
      </c>
      <c r="AJ179" s="161">
        <v>7.0000000000000007E-2</v>
      </c>
      <c r="AK179" s="162">
        <v>0.05</v>
      </c>
      <c r="AL179" s="163"/>
      <c r="AM179" s="164">
        <f>(((IF(L179=$L$101,1,IF(L179=$L$47,1,0))*(AH179*(1-AK179)))*AG179)*(1-AL179))</f>
        <v>0</v>
      </c>
      <c r="AN179" s="165">
        <f>IF(K179=$K$50,AM179,IF(K179=$K$53,AM179,IF(K179=$K$54,AM179,IF(K179=$K$55,AM179,IF(K179=$K$56,AM179,IF(K179=$K$57,AM179,IF(K179=$K$58,AM179,IF(K179=$K$65,AM179,IF(K179=$K$66,AM179,IF(K179=$K$67,AM179,IF(K179=$K$68,AM179,IF(K179=$K$69,AM179,IF(K179=$K$51,AM179,(AM179*(1+AI179)))))))))))))))</f>
        <v>0</v>
      </c>
      <c r="AO179" s="166">
        <v>1.4</v>
      </c>
      <c r="AP179" s="160">
        <f t="shared" si="27"/>
        <v>0</v>
      </c>
      <c r="AQ179" s="167">
        <f t="shared" si="24"/>
        <v>0</v>
      </c>
      <c r="AR179" s="160">
        <f t="shared" si="28"/>
        <v>0</v>
      </c>
      <c r="AS179" s="168">
        <f t="shared" si="29"/>
        <v>0</v>
      </c>
      <c r="AT179" s="169" t="str">
        <f>K179</f>
        <v>MI</v>
      </c>
      <c r="AU179" s="169" t="str">
        <f>I179</f>
        <v>Mercadorias</v>
      </c>
      <c r="AV179" s="170"/>
      <c r="AW179" s="171">
        <f>IF(K179=$K$50,0,IF(K179=$K$53,0,IF(K179=$K$54,0,IF(K179=$K$55,0,IF(K179=$K$56,0,IF(K179=$K$57,0,IF(K179=$K$58,0,IF(K179=$K$65,0,IF(K179=$K$66,0,IF(K179=$K$67,0,IF(K179=$K$68,0,IF(K179=$K$69,0,IF(K179=$K$51,0,1))))))))))))*AM179*AI179)</f>
        <v>0</v>
      </c>
      <c r="AX179" s="172">
        <f>IF(K179=$K$50,0,IF(K179=$K$53,0,IF(K179=$K$54,0,IF(K179=$K$55,0,IF(K179=$K$56,0,IF(K179=$K$57,0,IF(K179=$K$58,0,IF(K179=$K$65,0,IF(K179=$K$66,0,IF(K179=$K$67,0,IF(K179=$K$68,0,IF(K179=$K$69,0,IF(K179=$K$51,0,1))))))))))))*AM179*AJ179*$AX$94)</f>
        <v>0</v>
      </c>
      <c r="AY179" s="172">
        <f>IF(K179=$K$53,0,IF(K179=$K$54,0,IF(K179=$K$55,0,IF(K179=$K$56,0,IF(K179=$K$58,0,IF(K179=$K$50,0,IF(K179=$K$65,0,IF(K179=$K$57,0,IF(K179=$K$51,0,AM179*$AY$102)))))))))</f>
        <v>0</v>
      </c>
      <c r="AZ179" s="172">
        <f>IF(K179=$K$53,0,IF(K179=$K$54,0,IF(K179=$K$55,0,IF(K179=$K$56,0,IF(K179=$K$58,0,IF(K179=$K$50,0,IF(K179=$K$65,0,IF(K179=$K$57,0,IF(K179=$K$51,0,AM179*$AZ$102)))))))))</f>
        <v>0</v>
      </c>
      <c r="BA179" s="172">
        <f t="shared" si="30"/>
        <v>0</v>
      </c>
      <c r="BB179" s="173">
        <f>IF($BA$97=1,AQ179*$BB$102,IF(K179=$K$50,0,IF(K179=$K$53,0,IF(K179=$K$54,0,IF(K179=$K$55,0,IF(K179=$K$56,0,IF(K179=$K$57,0,IF(K179=$K$58,0,IF(K179=$K$65,0,IF(K179=$K$66,0,IF(K179=$K$67,0,IF(K179=$K$68,0,IF(K179=$K$69,0,IF(K179=$K$51,0,1)))))))))))*AQ179*$BB$102)))</f>
        <v>0</v>
      </c>
      <c r="BC179" s="172">
        <f t="shared" si="31"/>
        <v>0</v>
      </c>
      <c r="BD179" s="172">
        <f t="shared" si="32"/>
        <v>0</v>
      </c>
      <c r="BE179" s="172">
        <f>IF($BE$95=I179,$BE$97,IF(I179=$BE$96,$BE$97,1))*($BE$102*AQ179)*$AZ$97</f>
        <v>0</v>
      </c>
      <c r="BF179" s="172">
        <f>IF('[1]Cockpit Retorno'!$C$65=Sim,Mestre!BA179,SUM(BB179:BE179)+(IF(K179=$K$56,AQ179*MOE_IRRF_LR,0)))</f>
        <v>0</v>
      </c>
      <c r="BG179" s="174">
        <f>IF(AA179&gt;0,0,IF(Z179=$Z$82,AG179*1,(IF(Z179=$Z$81,AG179*1,0))))</f>
        <v>0</v>
      </c>
      <c r="BH179" s="174">
        <f>IF(AA179&gt;0,0,IF(Z179=$Z$83,AG179*1,IF(Z179=$Z$81,AG179*1,0)))</f>
        <v>0</v>
      </c>
      <c r="BI179" s="174">
        <f>IF(AA179&gt;0,0,IF(Z179=$Z$84,AG179*1,IF(Z179=$Z$93,AG179*2,IF(Z179=$Z$100,AG179,IF(Z179=$Z$81,AG179*2,IF(Z179=$Z$80,AG179*1,IF(Z179=$Z$79,AG179*3,IF(Z179=$Z$78,AG179*2,0))))))))</f>
        <v>0</v>
      </c>
      <c r="BJ179" s="174">
        <f>IF(AA179&gt;0,0,IF(Z179=$Z$85,AG179,IF(Z179=$Z$93,AG179,IF(Z179=$Z$100,AG179,IF(Z179=$Z$81,AG179*1,IF(Z179=$Z$80,AG179*2,IF(Z179=$Z$79,AG179*2,IF(Z179=$Z$78,AG179*2,0))))))))</f>
        <v>0</v>
      </c>
      <c r="BK179" s="174">
        <f>IF(AA179&gt;0,0,IF(Z179=$Z$92,AG179,0))</f>
        <v>0</v>
      </c>
      <c r="BL179" s="174">
        <f>IF(AA179&gt;0,0,IF(Z179=$Z$91,AG179,0))</f>
        <v>0</v>
      </c>
      <c r="BM179" s="174">
        <f>IF(AA179&gt;0,0,IF(Z179=$Z$86,AG179,0))</f>
        <v>0</v>
      </c>
      <c r="BN179" s="174">
        <f>IF(AA179&gt;0,0,IF(Z179=$Z$87,AG179,0))</f>
        <v>0</v>
      </c>
      <c r="BO179" s="174">
        <f>IF(AA179&gt;0,0,IF(Z179=$Z$88,AG179,0))</f>
        <v>0</v>
      </c>
      <c r="BP179" s="174">
        <f>IF(AA179&gt;0,0,IF(Z179=$Z$89,AG179,0))</f>
        <v>0</v>
      </c>
      <c r="BQ179" s="174">
        <f>IF(AA179&gt;0,0,IF(Z179=$Z$90,AG179,0))</f>
        <v>0</v>
      </c>
      <c r="BR179" s="174">
        <f>IF(Z179=$Z$82,AA179*AG179,0)</f>
        <v>0</v>
      </c>
      <c r="BS179" s="174">
        <f>IF(Z179=$Z$83,AA179*AG179,0)</f>
        <v>0</v>
      </c>
      <c r="BT179" s="174">
        <f>IF(AA179&lt;1,0,IF(Z179=$Z$84,AA179*AG179,IF(Z179=$Z$93,"ERRO",IF(Z179=$Z$100,"ERRO",0))))</f>
        <v>0</v>
      </c>
      <c r="BU179" s="174">
        <f>IF(AA179&lt;1,0,IF(Z179=$Z$85,AA179*AG179,IF(Z179=$Z$93,"ERRO",IF(Z179=$Z$100,"ERRO",0))))</f>
        <v>0</v>
      </c>
      <c r="BV179" s="174">
        <f>IF(Z179=$Z$92,AA179*AG179,0)</f>
        <v>0</v>
      </c>
      <c r="BW179" s="174">
        <f>IF(Z179=$Z$91,AA179*AG179,0)</f>
        <v>0</v>
      </c>
      <c r="BX179" s="174">
        <f>IF(Z179=$Z$86,AA179*AG179,0)</f>
        <v>0</v>
      </c>
      <c r="BY179" s="174">
        <f>IF(Z179=$Z$87,AA179*AG179,0)</f>
        <v>0</v>
      </c>
      <c r="BZ179" s="174">
        <f>IF(Z179=$Z$88,AA179*AG179,0)</f>
        <v>0</v>
      </c>
      <c r="CA179" s="174">
        <f>IF(Z179=$Z$89,AA179*AG179,0)</f>
        <v>0</v>
      </c>
      <c r="CB179" s="174">
        <f>IF(Z179=$Z$90,AA179*AG179,0)</f>
        <v>0</v>
      </c>
      <c r="CC179" s="175">
        <f>IFERROR(IF(L179=$L$49,AG179*AH179*(1+AI179)*(1-AK179)*(1-AL179),0),0)</f>
        <v>803.73761999999999</v>
      </c>
      <c r="CD179" s="203">
        <f>IF(I179=$CD$97,1,IF(I179=$CD$100,2,IF(K179=$K$66,1,IF(K179=$K$69,1,3))))</f>
        <v>1</v>
      </c>
      <c r="CE179" s="203">
        <f t="shared" si="14"/>
        <v>1.07</v>
      </c>
      <c r="CF179" s="204">
        <f t="shared" si="33"/>
        <v>1.2353999999999998</v>
      </c>
      <c r="CG179" s="203">
        <f t="shared" si="15"/>
        <v>1.42</v>
      </c>
      <c r="CH179" s="204">
        <f t="shared" si="34"/>
        <v>1.5478000000000001</v>
      </c>
      <c r="CI179" s="203">
        <f t="shared" si="16"/>
        <v>1.7</v>
      </c>
      <c r="CJ179" s="205">
        <f t="shared" ref="CJ179:CJ244" si="38">CE179*$CJ$102</f>
        <v>1.0486</v>
      </c>
      <c r="CK179" s="205">
        <f t="shared" ref="CK179:CK244" si="39">CF179*$CK$102</f>
        <v>1.148922</v>
      </c>
      <c r="CL179" s="205">
        <f t="shared" ref="CL179:CL244" si="40">CG179*$CL$102</f>
        <v>1.3915999999999999</v>
      </c>
      <c r="CM179" s="205">
        <f t="shared" ref="CM179:CM244" si="41">CH179*$CM$102</f>
        <v>1.501366</v>
      </c>
      <c r="CN179" s="206">
        <f t="shared" ref="CN179:CN244" si="42">CI179*$CN$102</f>
        <v>1.6319999999999999</v>
      </c>
      <c r="CO179" s="204">
        <f t="shared" si="25"/>
        <v>1.006656</v>
      </c>
      <c r="CP179" s="207">
        <f t="shared" si="35"/>
        <v>0</v>
      </c>
      <c r="CQ179" s="208">
        <f t="shared" si="36"/>
        <v>0</v>
      </c>
      <c r="CR179" s="209">
        <f t="shared" si="37"/>
        <v>0</v>
      </c>
      <c r="CS179" s="49"/>
      <c r="CT179" s="49"/>
      <c r="CU179" s="49"/>
      <c r="CV179" s="49"/>
      <c r="CW179" s="49"/>
      <c r="CX179" s="49"/>
      <c r="CY179" s="49"/>
      <c r="CZ179" s="49"/>
      <c r="DA179" s="49"/>
      <c r="DB179" s="49"/>
      <c r="DC179" s="49"/>
      <c r="DD179" s="49"/>
      <c r="DE179" s="49"/>
      <c r="DF179" s="49"/>
      <c r="DG179" s="49"/>
      <c r="DH179" s="49"/>
      <c r="DI179" s="49"/>
      <c r="DJ179" s="49"/>
      <c r="DK179" s="49"/>
      <c r="DL179" s="49"/>
      <c r="DM179" s="49"/>
      <c r="DN179" s="49"/>
      <c r="DO179" s="49"/>
      <c r="DP179" s="49"/>
      <c r="DQ179" s="49"/>
      <c r="DR179" s="49"/>
      <c r="DS179" s="49"/>
      <c r="DT179" s="49"/>
      <c r="DU179" s="49"/>
      <c r="DV179" s="49"/>
      <c r="DW179" s="49"/>
      <c r="DX179" s="49"/>
      <c r="DY179" s="49"/>
      <c r="DZ179" s="49"/>
      <c r="EA179" s="49"/>
      <c r="EB179" s="49"/>
      <c r="EC179" s="49"/>
      <c r="ED179" s="49"/>
      <c r="EE179" s="49"/>
      <c r="EF179" s="49"/>
      <c r="EG179" s="49"/>
      <c r="EH179" s="49"/>
      <c r="EI179" s="49"/>
      <c r="EJ179" s="49"/>
      <c r="EK179" s="49"/>
      <c r="EL179" s="49"/>
      <c r="EM179" s="49"/>
      <c r="EN179" s="49"/>
      <c r="EO179" s="49"/>
      <c r="EP179" s="49"/>
      <c r="EQ179" s="49"/>
      <c r="ER179" s="49"/>
      <c r="ES179" s="49"/>
      <c r="ET179" s="49"/>
      <c r="EU179" s="49"/>
      <c r="EV179" s="49"/>
      <c r="EW179" s="49"/>
      <c r="EX179" s="49"/>
      <c r="EY179" s="49"/>
      <c r="EZ179" s="49"/>
      <c r="FA179" s="49"/>
    </row>
    <row r="180" spans="1:157" s="210" customFormat="1" ht="51" x14ac:dyDescent="0.25">
      <c r="A180" s="113">
        <f>IF(AND('[1]Cockpit Retorno'!$E$67=Sim,Mestre!M180=Mestre!$M$98),0,1)</f>
        <v>1</v>
      </c>
      <c r="B180" s="113">
        <f>IF(AND('[1]Cockpit Retorno'!$E$67=Sim,Mestre!L180=Mestre!$L$48),0,1)</f>
        <v>1</v>
      </c>
      <c r="C180" s="113">
        <f>IF(AND('[1]Cockpit Retorno'!$E$67=Sim,Mestre!M180=Mestre!$M$97),0,1)</f>
        <v>1</v>
      </c>
      <c r="D180" s="148" t="s">
        <v>7</v>
      </c>
      <c r="E180" s="115"/>
      <c r="F180" s="116" t="s">
        <v>107</v>
      </c>
      <c r="G180" s="149"/>
      <c r="H180" s="150" t="s">
        <v>7</v>
      </c>
      <c r="I180" s="151" t="str">
        <f t="shared" si="26"/>
        <v>Mercadorias</v>
      </c>
      <c r="J180" s="150" t="s">
        <v>15</v>
      </c>
      <c r="K180" s="152" t="s">
        <v>7</v>
      </c>
      <c r="L180" s="153" t="s">
        <v>21</v>
      </c>
      <c r="M180" s="154" t="s">
        <v>290</v>
      </c>
      <c r="N180" s="155" t="s">
        <v>309</v>
      </c>
      <c r="O180" s="155" t="s">
        <v>292</v>
      </c>
      <c r="P180" s="155" t="s">
        <v>43</v>
      </c>
      <c r="Q180" s="155" t="s">
        <v>43</v>
      </c>
      <c r="R180" s="155" t="s">
        <v>43</v>
      </c>
      <c r="S180" s="156" t="s">
        <v>43</v>
      </c>
      <c r="T180" s="156" t="s">
        <v>43</v>
      </c>
      <c r="U180" s="150" t="s">
        <v>43</v>
      </c>
      <c r="V180" s="150" t="s">
        <v>43</v>
      </c>
      <c r="W180" s="150" t="s">
        <v>43</v>
      </c>
      <c r="X180" s="157" t="s">
        <v>334</v>
      </c>
      <c r="Y180" s="150"/>
      <c r="Z180" s="150"/>
      <c r="AA180" s="158">
        <v>0</v>
      </c>
      <c r="AB180" s="155" t="s">
        <v>43</v>
      </c>
      <c r="AC180" s="150" t="s">
        <v>43</v>
      </c>
      <c r="AD180" s="155" t="s">
        <v>43</v>
      </c>
      <c r="AE180" s="155"/>
      <c r="AF180" s="150" t="s">
        <v>43</v>
      </c>
      <c r="AG180" s="159">
        <v>3</v>
      </c>
      <c r="AH180" s="159">
        <v>109.76790000000001</v>
      </c>
      <c r="AI180" s="202">
        <v>0</v>
      </c>
      <c r="AJ180" s="161">
        <v>7.0000000000000007E-2</v>
      </c>
      <c r="AK180" s="162">
        <v>0.05</v>
      </c>
      <c r="AL180" s="163"/>
      <c r="AM180" s="164">
        <f>(((IF(L180=$L$101,1,IF(L180=$L$47,1,0))*(AH180*(1-AK180)))*AG180)*(1-AL180))</f>
        <v>0</v>
      </c>
      <c r="AN180" s="165">
        <f>IF(K180=$K$50,AM180,IF(K180=$K$53,AM180,IF(K180=$K$54,AM180,IF(K180=$K$55,AM180,IF(K180=$K$56,AM180,IF(K180=$K$57,AM180,IF(K180=$K$58,AM180,IF(K180=$K$65,AM180,IF(K180=$K$66,AM180,IF(K180=$K$67,AM180,IF(K180=$K$68,AM180,IF(K180=$K$69,AM180,IF(K180=$K$51,AM180,(AM180*(1+AI180)))))))))))))))</f>
        <v>0</v>
      </c>
      <c r="AO180" s="166">
        <v>1.4</v>
      </c>
      <c r="AP180" s="160">
        <f t="shared" si="27"/>
        <v>0</v>
      </c>
      <c r="AQ180" s="167">
        <f t="shared" si="24"/>
        <v>0</v>
      </c>
      <c r="AR180" s="160">
        <f t="shared" si="28"/>
        <v>0</v>
      </c>
      <c r="AS180" s="168">
        <f t="shared" si="29"/>
        <v>0</v>
      </c>
      <c r="AT180" s="169" t="str">
        <f>K180</f>
        <v>MI</v>
      </c>
      <c r="AU180" s="169" t="str">
        <f>I180</f>
        <v>Mercadorias</v>
      </c>
      <c r="AV180" s="170"/>
      <c r="AW180" s="171">
        <f>IF(K180=$K$50,0,IF(K180=$K$53,0,IF(K180=$K$54,0,IF(K180=$K$55,0,IF(K180=$K$56,0,IF(K180=$K$57,0,IF(K180=$K$58,0,IF(K180=$K$65,0,IF(K180=$K$66,0,IF(K180=$K$67,0,IF(K180=$K$68,0,IF(K180=$K$69,0,IF(K180=$K$51,0,1))))))))))))*AM180*AI180)</f>
        <v>0</v>
      </c>
      <c r="AX180" s="172">
        <f>IF(K180=$K$50,0,IF(K180=$K$53,0,IF(K180=$K$54,0,IF(K180=$K$55,0,IF(K180=$K$56,0,IF(K180=$K$57,0,IF(K180=$K$58,0,IF(K180=$K$65,0,IF(K180=$K$66,0,IF(K180=$K$67,0,IF(K180=$K$68,0,IF(K180=$K$69,0,IF(K180=$K$51,0,1))))))))))))*AM180*AJ180*$AX$94)</f>
        <v>0</v>
      </c>
      <c r="AY180" s="172">
        <f>IF(K180=$K$53,0,IF(K180=$K$54,0,IF(K180=$K$55,0,IF(K180=$K$56,0,IF(K180=$K$58,0,IF(K180=$K$50,0,IF(K180=$K$65,0,IF(K180=$K$57,0,IF(K180=$K$51,0,AM180*$AY$102)))))))))</f>
        <v>0</v>
      </c>
      <c r="AZ180" s="172">
        <f>IF(K180=$K$53,0,IF(K180=$K$54,0,IF(K180=$K$55,0,IF(K180=$K$56,0,IF(K180=$K$58,0,IF(K180=$K$50,0,IF(K180=$K$65,0,IF(K180=$K$57,0,IF(K180=$K$51,0,AM180*$AZ$102)))))))))</f>
        <v>0</v>
      </c>
      <c r="BA180" s="172">
        <f t="shared" si="30"/>
        <v>0</v>
      </c>
      <c r="BB180" s="173">
        <f>IF($BA$97=1,AQ180*$BB$102,IF(K180=$K$50,0,IF(K180=$K$53,0,IF(K180=$K$54,0,IF(K180=$K$55,0,IF(K180=$K$56,0,IF(K180=$K$57,0,IF(K180=$K$58,0,IF(K180=$K$65,0,IF(K180=$K$66,0,IF(K180=$K$67,0,IF(K180=$K$68,0,IF(K180=$K$69,0,IF(K180=$K$51,0,1)))))))))))*AQ180*$BB$102)))</f>
        <v>0</v>
      </c>
      <c r="BC180" s="172">
        <f t="shared" si="31"/>
        <v>0</v>
      </c>
      <c r="BD180" s="172">
        <f t="shared" si="32"/>
        <v>0</v>
      </c>
      <c r="BE180" s="172">
        <f>IF($BE$95=I180,$BE$97,IF(I180=$BE$96,$BE$97,1))*($BE$102*AQ180)*$AZ$97</f>
        <v>0</v>
      </c>
      <c r="BF180" s="172">
        <f>IF('[1]Cockpit Retorno'!$C$65=Sim,Mestre!BA180,SUM(BB180:BE180)+(IF(K180=$K$56,AQ180*MOE_IRRF_LR,0)))</f>
        <v>0</v>
      </c>
      <c r="BG180" s="174">
        <f>IF(AA180&gt;0,0,IF(Z180=$Z$82,AG180*1,(IF(Z180=$Z$81,AG180*1,0))))</f>
        <v>0</v>
      </c>
      <c r="BH180" s="174">
        <f>IF(AA180&gt;0,0,IF(Z180=$Z$83,AG180*1,IF(Z180=$Z$81,AG180*1,0)))</f>
        <v>0</v>
      </c>
      <c r="BI180" s="174">
        <f>IF(AA180&gt;0,0,IF(Z180=$Z$84,AG180*1,IF(Z180=$Z$93,AG180*2,IF(Z180=$Z$100,AG180,IF(Z180=$Z$81,AG180*2,IF(Z180=$Z$80,AG180*1,IF(Z180=$Z$79,AG180*3,IF(Z180=$Z$78,AG180*2,0))))))))</f>
        <v>0</v>
      </c>
      <c r="BJ180" s="174">
        <f>IF(AA180&gt;0,0,IF(Z180=$Z$85,AG180,IF(Z180=$Z$93,AG180,IF(Z180=$Z$100,AG180,IF(Z180=$Z$81,AG180*1,IF(Z180=$Z$80,AG180*2,IF(Z180=$Z$79,AG180*2,IF(Z180=$Z$78,AG180*2,0))))))))</f>
        <v>0</v>
      </c>
      <c r="BK180" s="174">
        <f>IF(AA180&gt;0,0,IF(Z180=$Z$92,AG180,0))</f>
        <v>0</v>
      </c>
      <c r="BL180" s="174">
        <f>IF(AA180&gt;0,0,IF(Z180=$Z$91,AG180,0))</f>
        <v>0</v>
      </c>
      <c r="BM180" s="174">
        <f>IF(AA180&gt;0,0,IF(Z180=$Z$86,AG180,0))</f>
        <v>0</v>
      </c>
      <c r="BN180" s="174">
        <f>IF(AA180&gt;0,0,IF(Z180=$Z$87,AG180,0))</f>
        <v>0</v>
      </c>
      <c r="BO180" s="174">
        <f>IF(AA180&gt;0,0,IF(Z180=$Z$88,AG180,0))</f>
        <v>0</v>
      </c>
      <c r="BP180" s="174">
        <f>IF(AA180&gt;0,0,IF(Z180=$Z$89,AG180,0))</f>
        <v>0</v>
      </c>
      <c r="BQ180" s="174">
        <f>IF(AA180&gt;0,0,IF(Z180=$Z$90,AG180,0))</f>
        <v>0</v>
      </c>
      <c r="BR180" s="174">
        <f>IF(Z180=$Z$82,AA180*AG180,0)</f>
        <v>0</v>
      </c>
      <c r="BS180" s="174">
        <f>IF(Z180=$Z$83,AA180*AG180,0)</f>
        <v>0</v>
      </c>
      <c r="BT180" s="174">
        <f>IF(AA180&lt;1,0,IF(Z180=$Z$84,AA180*AG180,IF(Z180=$Z$93,"ERRO",IF(Z180=$Z$100,"ERRO",0))))</f>
        <v>0</v>
      </c>
      <c r="BU180" s="174">
        <f>IF(AA180&lt;1,0,IF(Z180=$Z$85,AA180*AG180,IF(Z180=$Z$93,"ERRO",IF(Z180=$Z$100,"ERRO",0))))</f>
        <v>0</v>
      </c>
      <c r="BV180" s="174">
        <f>IF(Z180=$Z$92,AA180*AG180,0)</f>
        <v>0</v>
      </c>
      <c r="BW180" s="174">
        <f>IF(Z180=$Z$91,AA180*AG180,0)</f>
        <v>0</v>
      </c>
      <c r="BX180" s="174">
        <f>IF(Z180=$Z$86,AA180*AG180,0)</f>
        <v>0</v>
      </c>
      <c r="BY180" s="174">
        <f>IF(Z180=$Z$87,AA180*AG180,0)</f>
        <v>0</v>
      </c>
      <c r="BZ180" s="174">
        <f>IF(Z180=$Z$88,AA180*AG180,0)</f>
        <v>0</v>
      </c>
      <c r="CA180" s="174">
        <f>IF(Z180=$Z$89,AA180*AG180,0)</f>
        <v>0</v>
      </c>
      <c r="CB180" s="174">
        <f>IF(Z180=$Z$90,AA180*AG180,0)</f>
        <v>0</v>
      </c>
      <c r="CC180" s="175">
        <f>IFERROR(IF(L180=$L$49,AG180*AH180*(1+AI180)*(1-AK180)*(1-AL180),0),0)</f>
        <v>312.83851500000003</v>
      </c>
      <c r="CD180" s="203">
        <f>IF(I180=$CD$97,1,IF(I180=$CD$100,2,IF(K180=$K$66,1,IF(K180=$K$69,1,3))))</f>
        <v>1</v>
      </c>
      <c r="CE180" s="203">
        <f t="shared" si="14"/>
        <v>1.07</v>
      </c>
      <c r="CF180" s="204">
        <f t="shared" si="33"/>
        <v>1.2353999999999998</v>
      </c>
      <c r="CG180" s="203">
        <f t="shared" si="15"/>
        <v>1.42</v>
      </c>
      <c r="CH180" s="204">
        <f t="shared" si="34"/>
        <v>1.5478000000000001</v>
      </c>
      <c r="CI180" s="203">
        <f t="shared" si="16"/>
        <v>1.7</v>
      </c>
      <c r="CJ180" s="205">
        <f t="shared" si="38"/>
        <v>1.0486</v>
      </c>
      <c r="CK180" s="205">
        <f t="shared" si="39"/>
        <v>1.148922</v>
      </c>
      <c r="CL180" s="205">
        <f t="shared" si="40"/>
        <v>1.3915999999999999</v>
      </c>
      <c r="CM180" s="205">
        <f t="shared" si="41"/>
        <v>1.501366</v>
      </c>
      <c r="CN180" s="206">
        <f t="shared" si="42"/>
        <v>1.6319999999999999</v>
      </c>
      <c r="CO180" s="204">
        <f t="shared" si="25"/>
        <v>1.006656</v>
      </c>
      <c r="CP180" s="207">
        <f t="shared" si="35"/>
        <v>0</v>
      </c>
      <c r="CQ180" s="208">
        <f t="shared" si="36"/>
        <v>0</v>
      </c>
      <c r="CR180" s="209">
        <f t="shared" si="37"/>
        <v>0</v>
      </c>
      <c r="CS180" s="49"/>
      <c r="CT180" s="49"/>
      <c r="CU180" s="49"/>
      <c r="CV180" s="49"/>
      <c r="CW180" s="49"/>
      <c r="CX180" s="49"/>
      <c r="CY180" s="49"/>
      <c r="CZ180" s="49"/>
      <c r="DA180" s="49"/>
      <c r="DB180" s="49"/>
      <c r="DC180" s="49"/>
      <c r="DD180" s="49"/>
      <c r="DE180" s="49"/>
      <c r="DF180" s="49"/>
      <c r="DG180" s="49"/>
      <c r="DH180" s="49"/>
      <c r="DI180" s="49"/>
      <c r="DJ180" s="49"/>
      <c r="DK180" s="49"/>
      <c r="DL180" s="49"/>
      <c r="DM180" s="49"/>
      <c r="DN180" s="49"/>
      <c r="DO180" s="49"/>
      <c r="DP180" s="49"/>
      <c r="DQ180" s="49"/>
      <c r="DR180" s="49"/>
      <c r="DS180" s="49"/>
      <c r="DT180" s="49"/>
      <c r="DU180" s="49"/>
      <c r="DV180" s="49"/>
      <c r="DW180" s="49"/>
      <c r="DX180" s="49"/>
      <c r="DY180" s="49"/>
      <c r="DZ180" s="49"/>
      <c r="EA180" s="49"/>
      <c r="EB180" s="49"/>
      <c r="EC180" s="49"/>
      <c r="ED180" s="49"/>
      <c r="EE180" s="49"/>
      <c r="EF180" s="49"/>
      <c r="EG180" s="49"/>
      <c r="EH180" s="49"/>
      <c r="EI180" s="49"/>
      <c r="EJ180" s="49"/>
      <c r="EK180" s="49"/>
      <c r="EL180" s="49"/>
      <c r="EM180" s="49"/>
      <c r="EN180" s="49"/>
      <c r="EO180" s="49"/>
      <c r="EP180" s="49"/>
      <c r="EQ180" s="49"/>
      <c r="ER180" s="49"/>
      <c r="ES180" s="49"/>
      <c r="ET180" s="49"/>
      <c r="EU180" s="49"/>
      <c r="EV180" s="49"/>
      <c r="EW180" s="49"/>
      <c r="EX180" s="49"/>
      <c r="EY180" s="49"/>
      <c r="EZ180" s="49"/>
      <c r="FA180" s="49"/>
    </row>
    <row r="181" spans="1:157" s="210" customFormat="1" ht="51" x14ac:dyDescent="0.25">
      <c r="A181" s="113">
        <f>IF(AND('[1]Cockpit Retorno'!$E$67=Sim,Mestre!M181=Mestre!$M$98),0,1)</f>
        <v>1</v>
      </c>
      <c r="B181" s="113">
        <f>IF(AND('[1]Cockpit Retorno'!$E$67=Sim,Mestre!L181=Mestre!$L$48),0,1)</f>
        <v>1</v>
      </c>
      <c r="C181" s="113">
        <f>IF(AND('[1]Cockpit Retorno'!$E$67=Sim,Mestre!M181=Mestre!$M$97),0,1)</f>
        <v>1</v>
      </c>
      <c r="D181" s="148" t="s">
        <v>7</v>
      </c>
      <c r="E181" s="115"/>
      <c r="F181" s="116" t="s">
        <v>107</v>
      </c>
      <c r="G181" s="149"/>
      <c r="H181" s="150" t="s">
        <v>7</v>
      </c>
      <c r="I181" s="151" t="str">
        <f t="shared" si="26"/>
        <v>Mercadorias</v>
      </c>
      <c r="J181" s="150" t="s">
        <v>15</v>
      </c>
      <c r="K181" s="152" t="s">
        <v>7</v>
      </c>
      <c r="L181" s="153" t="s">
        <v>21</v>
      </c>
      <c r="M181" s="154" t="s">
        <v>290</v>
      </c>
      <c r="N181" s="155" t="s">
        <v>309</v>
      </c>
      <c r="O181" s="155" t="s">
        <v>292</v>
      </c>
      <c r="P181" s="155" t="s">
        <v>43</v>
      </c>
      <c r="Q181" s="155" t="s">
        <v>43</v>
      </c>
      <c r="R181" s="155" t="s">
        <v>43</v>
      </c>
      <c r="S181" s="156" t="s">
        <v>43</v>
      </c>
      <c r="T181" s="156" t="s">
        <v>43</v>
      </c>
      <c r="U181" s="150" t="s">
        <v>43</v>
      </c>
      <c r="V181" s="150" t="s">
        <v>43</v>
      </c>
      <c r="W181" s="150" t="s">
        <v>43</v>
      </c>
      <c r="X181" s="157" t="s">
        <v>335</v>
      </c>
      <c r="Y181" s="150"/>
      <c r="Z181" s="150"/>
      <c r="AA181" s="158">
        <v>0</v>
      </c>
      <c r="AB181" s="155" t="s">
        <v>43</v>
      </c>
      <c r="AC181" s="150" t="s">
        <v>43</v>
      </c>
      <c r="AD181" s="155" t="s">
        <v>43</v>
      </c>
      <c r="AE181" s="155"/>
      <c r="AF181" s="150" t="s">
        <v>43</v>
      </c>
      <c r="AG181" s="159">
        <v>6</v>
      </c>
      <c r="AH181" s="159">
        <v>200.17320000000001</v>
      </c>
      <c r="AI181" s="202">
        <v>0</v>
      </c>
      <c r="AJ181" s="161">
        <v>7.0000000000000007E-2</v>
      </c>
      <c r="AK181" s="162">
        <v>0.05</v>
      </c>
      <c r="AL181" s="163"/>
      <c r="AM181" s="164">
        <f>(((IF(L181=$L$101,1,IF(L181=$L$47,1,0))*(AH181*(1-AK181)))*AG181)*(1-AL181))</f>
        <v>0</v>
      </c>
      <c r="AN181" s="165">
        <f>IF(K181=$K$50,AM181,IF(K181=$K$53,AM181,IF(K181=$K$54,AM181,IF(K181=$K$55,AM181,IF(K181=$K$56,AM181,IF(K181=$K$57,AM181,IF(K181=$K$58,AM181,IF(K181=$K$65,AM181,IF(K181=$K$66,AM181,IF(K181=$K$67,AM181,IF(K181=$K$68,AM181,IF(K181=$K$69,AM181,IF(K181=$K$51,AM181,(AM181*(1+AI181)))))))))))))))</f>
        <v>0</v>
      </c>
      <c r="AO181" s="166">
        <v>1.4</v>
      </c>
      <c r="AP181" s="160">
        <f t="shared" si="27"/>
        <v>0</v>
      </c>
      <c r="AQ181" s="167">
        <f t="shared" si="24"/>
        <v>0</v>
      </c>
      <c r="AR181" s="160">
        <f t="shared" si="28"/>
        <v>0</v>
      </c>
      <c r="AS181" s="168">
        <f t="shared" si="29"/>
        <v>0</v>
      </c>
      <c r="AT181" s="169" t="str">
        <f>K181</f>
        <v>MI</v>
      </c>
      <c r="AU181" s="169" t="str">
        <f>I181</f>
        <v>Mercadorias</v>
      </c>
      <c r="AV181" s="170"/>
      <c r="AW181" s="171">
        <f>IF(K181=$K$50,0,IF(K181=$K$53,0,IF(K181=$K$54,0,IF(K181=$K$55,0,IF(K181=$K$56,0,IF(K181=$K$57,0,IF(K181=$K$58,0,IF(K181=$K$65,0,IF(K181=$K$66,0,IF(K181=$K$67,0,IF(K181=$K$68,0,IF(K181=$K$69,0,IF(K181=$K$51,0,1))))))))))))*AM181*AI181)</f>
        <v>0</v>
      </c>
      <c r="AX181" s="172">
        <f>IF(K181=$K$50,0,IF(K181=$K$53,0,IF(K181=$K$54,0,IF(K181=$K$55,0,IF(K181=$K$56,0,IF(K181=$K$57,0,IF(K181=$K$58,0,IF(K181=$K$65,0,IF(K181=$K$66,0,IF(K181=$K$67,0,IF(K181=$K$68,0,IF(K181=$K$69,0,IF(K181=$K$51,0,1))))))))))))*AM181*AJ181*$AX$94)</f>
        <v>0</v>
      </c>
      <c r="AY181" s="172">
        <f>IF(K181=$K$53,0,IF(K181=$K$54,0,IF(K181=$K$55,0,IF(K181=$K$56,0,IF(K181=$K$58,0,IF(K181=$K$50,0,IF(K181=$K$65,0,IF(K181=$K$57,0,IF(K181=$K$51,0,AM181*$AY$102)))))))))</f>
        <v>0</v>
      </c>
      <c r="AZ181" s="172">
        <f>IF(K181=$K$53,0,IF(K181=$K$54,0,IF(K181=$K$55,0,IF(K181=$K$56,0,IF(K181=$K$58,0,IF(K181=$K$50,0,IF(K181=$K$65,0,IF(K181=$K$57,0,IF(K181=$K$51,0,AM181*$AZ$102)))))))))</f>
        <v>0</v>
      </c>
      <c r="BA181" s="172">
        <f t="shared" si="30"/>
        <v>0</v>
      </c>
      <c r="BB181" s="173">
        <f>IF($BA$97=1,AQ181*$BB$102,IF(K181=$K$50,0,IF(K181=$K$53,0,IF(K181=$K$54,0,IF(K181=$K$55,0,IF(K181=$K$56,0,IF(K181=$K$57,0,IF(K181=$K$58,0,IF(K181=$K$65,0,IF(K181=$K$66,0,IF(K181=$K$67,0,IF(K181=$K$68,0,IF(K181=$K$69,0,IF(K181=$K$51,0,1)))))))))))*AQ181*$BB$102)))</f>
        <v>0</v>
      </c>
      <c r="BC181" s="172">
        <f t="shared" si="31"/>
        <v>0</v>
      </c>
      <c r="BD181" s="172">
        <f t="shared" si="32"/>
        <v>0</v>
      </c>
      <c r="BE181" s="172">
        <f>IF($BE$95=I181,$BE$97,IF(I181=$BE$96,$BE$97,1))*($BE$102*AQ181)*$AZ$97</f>
        <v>0</v>
      </c>
      <c r="BF181" s="172">
        <f>IF('[1]Cockpit Retorno'!$C$65=Sim,Mestre!BA181,SUM(BB181:BE181)+(IF(K181=$K$56,AQ181*MOE_IRRF_LR,0)))</f>
        <v>0</v>
      </c>
      <c r="BG181" s="174">
        <f>IF(AA181&gt;0,0,IF(Z181=$Z$82,AG181*1,(IF(Z181=$Z$81,AG181*1,0))))</f>
        <v>0</v>
      </c>
      <c r="BH181" s="174">
        <f>IF(AA181&gt;0,0,IF(Z181=$Z$83,AG181*1,IF(Z181=$Z$81,AG181*1,0)))</f>
        <v>0</v>
      </c>
      <c r="BI181" s="174">
        <f>IF(AA181&gt;0,0,IF(Z181=$Z$84,AG181*1,IF(Z181=$Z$93,AG181*2,IF(Z181=$Z$100,AG181,IF(Z181=$Z$81,AG181*2,IF(Z181=$Z$80,AG181*1,IF(Z181=$Z$79,AG181*3,IF(Z181=$Z$78,AG181*2,0))))))))</f>
        <v>0</v>
      </c>
      <c r="BJ181" s="174">
        <f>IF(AA181&gt;0,0,IF(Z181=$Z$85,AG181,IF(Z181=$Z$93,AG181,IF(Z181=$Z$100,AG181,IF(Z181=$Z$81,AG181*1,IF(Z181=$Z$80,AG181*2,IF(Z181=$Z$79,AG181*2,IF(Z181=$Z$78,AG181*2,0))))))))</f>
        <v>0</v>
      </c>
      <c r="BK181" s="174">
        <f>IF(AA181&gt;0,0,IF(Z181=$Z$92,AG181,0))</f>
        <v>0</v>
      </c>
      <c r="BL181" s="174">
        <f>IF(AA181&gt;0,0,IF(Z181=$Z$91,AG181,0))</f>
        <v>0</v>
      </c>
      <c r="BM181" s="174">
        <f>IF(AA181&gt;0,0,IF(Z181=$Z$86,AG181,0))</f>
        <v>0</v>
      </c>
      <c r="BN181" s="174">
        <f>IF(AA181&gt;0,0,IF(Z181=$Z$87,AG181,0))</f>
        <v>0</v>
      </c>
      <c r="BO181" s="174">
        <f>IF(AA181&gt;0,0,IF(Z181=$Z$88,AG181,0))</f>
        <v>0</v>
      </c>
      <c r="BP181" s="174">
        <f>IF(AA181&gt;0,0,IF(Z181=$Z$89,AG181,0))</f>
        <v>0</v>
      </c>
      <c r="BQ181" s="174">
        <f>IF(AA181&gt;0,0,IF(Z181=$Z$90,AG181,0))</f>
        <v>0</v>
      </c>
      <c r="BR181" s="174">
        <f>IF(Z181=$Z$82,AA181*AG181,0)</f>
        <v>0</v>
      </c>
      <c r="BS181" s="174">
        <f>IF(Z181=$Z$83,AA181*AG181,0)</f>
        <v>0</v>
      </c>
      <c r="BT181" s="174">
        <f>IF(AA181&lt;1,0,IF(Z181=$Z$84,AA181*AG181,IF(Z181=$Z$93,"ERRO",IF(Z181=$Z$100,"ERRO",0))))</f>
        <v>0</v>
      </c>
      <c r="BU181" s="174">
        <f>IF(AA181&lt;1,0,IF(Z181=$Z$85,AA181*AG181,IF(Z181=$Z$93,"ERRO",IF(Z181=$Z$100,"ERRO",0))))</f>
        <v>0</v>
      </c>
      <c r="BV181" s="174">
        <f>IF(Z181=$Z$92,AA181*AG181,0)</f>
        <v>0</v>
      </c>
      <c r="BW181" s="174">
        <f>IF(Z181=$Z$91,AA181*AG181,0)</f>
        <v>0</v>
      </c>
      <c r="BX181" s="174">
        <f>IF(Z181=$Z$86,AA181*AG181,0)</f>
        <v>0</v>
      </c>
      <c r="BY181" s="174">
        <f>IF(Z181=$Z$87,AA181*AG181,0)</f>
        <v>0</v>
      </c>
      <c r="BZ181" s="174">
        <f>IF(Z181=$Z$88,AA181*AG181,0)</f>
        <v>0</v>
      </c>
      <c r="CA181" s="174">
        <f>IF(Z181=$Z$89,AA181*AG181,0)</f>
        <v>0</v>
      </c>
      <c r="CB181" s="174">
        <f>IF(Z181=$Z$90,AA181*AG181,0)</f>
        <v>0</v>
      </c>
      <c r="CC181" s="175">
        <f>IFERROR(IF(L181=$L$49,AG181*AH181*(1+AI181)*(1-AK181)*(1-AL181),0),0)</f>
        <v>1140.9872400000002</v>
      </c>
      <c r="CD181" s="203">
        <f>IF(I181=$CD$97,1,IF(I181=$CD$100,2,IF(K181=$K$66,1,IF(K181=$K$69,1,3))))</f>
        <v>1</v>
      </c>
      <c r="CE181" s="203">
        <f t="shared" si="14"/>
        <v>1.07</v>
      </c>
      <c r="CF181" s="204">
        <f t="shared" si="33"/>
        <v>1.2353999999999998</v>
      </c>
      <c r="CG181" s="203">
        <f t="shared" si="15"/>
        <v>1.42</v>
      </c>
      <c r="CH181" s="204">
        <f t="shared" si="34"/>
        <v>1.5478000000000001</v>
      </c>
      <c r="CI181" s="203">
        <f t="shared" si="16"/>
        <v>1.7</v>
      </c>
      <c r="CJ181" s="205">
        <f t="shared" si="38"/>
        <v>1.0486</v>
      </c>
      <c r="CK181" s="205">
        <f t="shared" si="39"/>
        <v>1.148922</v>
      </c>
      <c r="CL181" s="205">
        <f t="shared" si="40"/>
        <v>1.3915999999999999</v>
      </c>
      <c r="CM181" s="205">
        <f t="shared" si="41"/>
        <v>1.501366</v>
      </c>
      <c r="CN181" s="206">
        <f t="shared" si="42"/>
        <v>1.6319999999999999</v>
      </c>
      <c r="CO181" s="204">
        <f t="shared" si="25"/>
        <v>1.006656</v>
      </c>
      <c r="CP181" s="207">
        <f t="shared" si="35"/>
        <v>0</v>
      </c>
      <c r="CQ181" s="208">
        <f t="shared" si="36"/>
        <v>0</v>
      </c>
      <c r="CR181" s="209">
        <f t="shared" si="37"/>
        <v>0</v>
      </c>
      <c r="CS181" s="49"/>
      <c r="CT181" s="49"/>
      <c r="CU181" s="49"/>
      <c r="CV181" s="49"/>
      <c r="CW181" s="49"/>
      <c r="CX181" s="49"/>
      <c r="CY181" s="49"/>
      <c r="CZ181" s="49"/>
      <c r="DA181" s="49"/>
      <c r="DB181" s="49"/>
      <c r="DC181" s="49"/>
      <c r="DD181" s="49"/>
      <c r="DE181" s="49"/>
      <c r="DF181" s="49"/>
      <c r="DG181" s="49"/>
      <c r="DH181" s="49"/>
      <c r="DI181" s="49"/>
      <c r="DJ181" s="49"/>
      <c r="DK181" s="49"/>
      <c r="DL181" s="49"/>
      <c r="DM181" s="49"/>
      <c r="DN181" s="49"/>
      <c r="DO181" s="49"/>
      <c r="DP181" s="49"/>
      <c r="DQ181" s="49"/>
      <c r="DR181" s="49"/>
      <c r="DS181" s="49"/>
      <c r="DT181" s="49"/>
      <c r="DU181" s="49"/>
      <c r="DV181" s="49"/>
      <c r="DW181" s="49"/>
      <c r="DX181" s="49"/>
      <c r="DY181" s="49"/>
      <c r="DZ181" s="49"/>
      <c r="EA181" s="49"/>
      <c r="EB181" s="49"/>
      <c r="EC181" s="49"/>
      <c r="ED181" s="49"/>
      <c r="EE181" s="49"/>
      <c r="EF181" s="49"/>
      <c r="EG181" s="49"/>
      <c r="EH181" s="49"/>
      <c r="EI181" s="49"/>
      <c r="EJ181" s="49"/>
      <c r="EK181" s="49"/>
      <c r="EL181" s="49"/>
      <c r="EM181" s="49"/>
      <c r="EN181" s="49"/>
      <c r="EO181" s="49"/>
      <c r="EP181" s="49"/>
      <c r="EQ181" s="49"/>
      <c r="ER181" s="49"/>
      <c r="ES181" s="49"/>
      <c r="ET181" s="49"/>
      <c r="EU181" s="49"/>
      <c r="EV181" s="49"/>
      <c r="EW181" s="49"/>
      <c r="EX181" s="49"/>
      <c r="EY181" s="49"/>
      <c r="EZ181" s="49"/>
      <c r="FA181" s="49"/>
    </row>
    <row r="182" spans="1:157" s="210" customFormat="1" ht="51" x14ac:dyDescent="0.25">
      <c r="A182" s="113">
        <f>IF(AND('[1]Cockpit Retorno'!$E$67=Sim,Mestre!M182=Mestre!$M$98),0,1)</f>
        <v>1</v>
      </c>
      <c r="B182" s="113">
        <f>IF(AND('[1]Cockpit Retorno'!$E$67=Sim,Mestre!L182=Mestre!$L$48),0,1)</f>
        <v>1</v>
      </c>
      <c r="C182" s="113">
        <f>IF(AND('[1]Cockpit Retorno'!$E$67=Sim,Mestre!M182=Mestre!$M$97),0,1)</f>
        <v>1</v>
      </c>
      <c r="D182" s="148" t="s">
        <v>7</v>
      </c>
      <c r="E182" s="115"/>
      <c r="F182" s="116" t="s">
        <v>107</v>
      </c>
      <c r="G182" s="149"/>
      <c r="H182" s="150" t="s">
        <v>7</v>
      </c>
      <c r="I182" s="151" t="str">
        <f t="shared" si="26"/>
        <v>Mercadorias</v>
      </c>
      <c r="J182" s="150" t="s">
        <v>15</v>
      </c>
      <c r="K182" s="152" t="s">
        <v>7</v>
      </c>
      <c r="L182" s="153" t="s">
        <v>21</v>
      </c>
      <c r="M182" s="154" t="s">
        <v>290</v>
      </c>
      <c r="N182" s="155" t="s">
        <v>309</v>
      </c>
      <c r="O182" s="155" t="s">
        <v>292</v>
      </c>
      <c r="P182" s="155" t="s">
        <v>43</v>
      </c>
      <c r="Q182" s="155" t="s">
        <v>43</v>
      </c>
      <c r="R182" s="155" t="s">
        <v>43</v>
      </c>
      <c r="S182" s="156" t="s">
        <v>43</v>
      </c>
      <c r="T182" s="156" t="s">
        <v>43</v>
      </c>
      <c r="U182" s="150" t="s">
        <v>43</v>
      </c>
      <c r="V182" s="150" t="s">
        <v>43</v>
      </c>
      <c r="W182" s="150" t="s">
        <v>43</v>
      </c>
      <c r="X182" s="157" t="s">
        <v>336</v>
      </c>
      <c r="Y182" s="150"/>
      <c r="Z182" s="150"/>
      <c r="AA182" s="158">
        <v>0</v>
      </c>
      <c r="AB182" s="155" t="s">
        <v>43</v>
      </c>
      <c r="AC182" s="150" t="s">
        <v>43</v>
      </c>
      <c r="AD182" s="155" t="s">
        <v>43</v>
      </c>
      <c r="AE182" s="155"/>
      <c r="AF182" s="150" t="s">
        <v>43</v>
      </c>
      <c r="AG182" s="159">
        <v>2</v>
      </c>
      <c r="AH182" s="159">
        <v>144.78240000000002</v>
      </c>
      <c r="AI182" s="202">
        <v>0</v>
      </c>
      <c r="AJ182" s="161">
        <v>7.0000000000000007E-2</v>
      </c>
      <c r="AK182" s="162">
        <v>0.05</v>
      </c>
      <c r="AL182" s="163"/>
      <c r="AM182" s="164">
        <f>(((IF(L182=$L$101,1,IF(L182=$L$47,1,0))*(AH182*(1-AK182)))*AG182)*(1-AL182))</f>
        <v>0</v>
      </c>
      <c r="AN182" s="165">
        <f>IF(K182=$K$50,AM182,IF(K182=$K$53,AM182,IF(K182=$K$54,AM182,IF(K182=$K$55,AM182,IF(K182=$K$56,AM182,IF(K182=$K$57,AM182,IF(K182=$K$58,AM182,IF(K182=$K$65,AM182,IF(K182=$K$66,AM182,IF(K182=$K$67,AM182,IF(K182=$K$68,AM182,IF(K182=$K$69,AM182,IF(K182=$K$51,AM182,(AM182*(1+AI182)))))))))))))))</f>
        <v>0</v>
      </c>
      <c r="AO182" s="166">
        <v>1.4</v>
      </c>
      <c r="AP182" s="160">
        <f t="shared" si="27"/>
        <v>0</v>
      </c>
      <c r="AQ182" s="167">
        <f t="shared" si="24"/>
        <v>0</v>
      </c>
      <c r="AR182" s="160">
        <f t="shared" si="28"/>
        <v>0</v>
      </c>
      <c r="AS182" s="168">
        <f t="shared" si="29"/>
        <v>0</v>
      </c>
      <c r="AT182" s="169" t="str">
        <f>K182</f>
        <v>MI</v>
      </c>
      <c r="AU182" s="169" t="str">
        <f>I182</f>
        <v>Mercadorias</v>
      </c>
      <c r="AV182" s="170"/>
      <c r="AW182" s="171">
        <f>IF(K182=$K$50,0,IF(K182=$K$53,0,IF(K182=$K$54,0,IF(K182=$K$55,0,IF(K182=$K$56,0,IF(K182=$K$57,0,IF(K182=$K$58,0,IF(K182=$K$65,0,IF(K182=$K$66,0,IF(K182=$K$67,0,IF(K182=$K$68,0,IF(K182=$K$69,0,IF(K182=$K$51,0,1))))))))))))*AM182*AI182)</f>
        <v>0</v>
      </c>
      <c r="AX182" s="172">
        <f>IF(K182=$K$50,0,IF(K182=$K$53,0,IF(K182=$K$54,0,IF(K182=$K$55,0,IF(K182=$K$56,0,IF(K182=$K$57,0,IF(K182=$K$58,0,IF(K182=$K$65,0,IF(K182=$K$66,0,IF(K182=$K$67,0,IF(K182=$K$68,0,IF(K182=$K$69,0,IF(K182=$K$51,0,1))))))))))))*AM182*AJ182*$AX$94)</f>
        <v>0</v>
      </c>
      <c r="AY182" s="172">
        <f>IF(K182=$K$53,0,IF(K182=$K$54,0,IF(K182=$K$55,0,IF(K182=$K$56,0,IF(K182=$K$58,0,IF(K182=$K$50,0,IF(K182=$K$65,0,IF(K182=$K$57,0,IF(K182=$K$51,0,AM182*$AY$102)))))))))</f>
        <v>0</v>
      </c>
      <c r="AZ182" s="172">
        <f>IF(K182=$K$53,0,IF(K182=$K$54,0,IF(K182=$K$55,0,IF(K182=$K$56,0,IF(K182=$K$58,0,IF(K182=$K$50,0,IF(K182=$K$65,0,IF(K182=$K$57,0,IF(K182=$K$51,0,AM182*$AZ$102)))))))))</f>
        <v>0</v>
      </c>
      <c r="BA182" s="172">
        <f t="shared" si="30"/>
        <v>0</v>
      </c>
      <c r="BB182" s="173">
        <f>IF($BA$97=1,AQ182*$BB$102,IF(K182=$K$50,0,IF(K182=$K$53,0,IF(K182=$K$54,0,IF(K182=$K$55,0,IF(K182=$K$56,0,IF(K182=$K$57,0,IF(K182=$K$58,0,IF(K182=$K$65,0,IF(K182=$K$66,0,IF(K182=$K$67,0,IF(K182=$K$68,0,IF(K182=$K$69,0,IF(K182=$K$51,0,1)))))))))))*AQ182*$BB$102)))</f>
        <v>0</v>
      </c>
      <c r="BC182" s="172">
        <f t="shared" si="31"/>
        <v>0</v>
      </c>
      <c r="BD182" s="172">
        <f t="shared" si="32"/>
        <v>0</v>
      </c>
      <c r="BE182" s="172">
        <f>IF($BE$95=I182,$BE$97,IF(I182=$BE$96,$BE$97,1))*($BE$102*AQ182)*$AZ$97</f>
        <v>0</v>
      </c>
      <c r="BF182" s="172">
        <f>IF('[1]Cockpit Retorno'!$C$65=Sim,Mestre!BA182,SUM(BB182:BE182)+(IF(K182=$K$56,AQ182*MOE_IRRF_LR,0)))</f>
        <v>0</v>
      </c>
      <c r="BG182" s="174">
        <f>IF(AA182&gt;0,0,IF(Z182=$Z$82,AG182*1,(IF(Z182=$Z$81,AG182*1,0))))</f>
        <v>0</v>
      </c>
      <c r="BH182" s="174">
        <f>IF(AA182&gt;0,0,IF(Z182=$Z$83,AG182*1,IF(Z182=$Z$81,AG182*1,0)))</f>
        <v>0</v>
      </c>
      <c r="BI182" s="174">
        <f>IF(AA182&gt;0,0,IF(Z182=$Z$84,AG182*1,IF(Z182=$Z$93,AG182*2,IF(Z182=$Z$100,AG182,IF(Z182=$Z$81,AG182*2,IF(Z182=$Z$80,AG182*1,IF(Z182=$Z$79,AG182*3,IF(Z182=$Z$78,AG182*2,0))))))))</f>
        <v>0</v>
      </c>
      <c r="BJ182" s="174">
        <f>IF(AA182&gt;0,0,IF(Z182=$Z$85,AG182,IF(Z182=$Z$93,AG182,IF(Z182=$Z$100,AG182,IF(Z182=$Z$81,AG182*1,IF(Z182=$Z$80,AG182*2,IF(Z182=$Z$79,AG182*2,IF(Z182=$Z$78,AG182*2,0))))))))</f>
        <v>0</v>
      </c>
      <c r="BK182" s="174">
        <f>IF(AA182&gt;0,0,IF(Z182=$Z$92,AG182,0))</f>
        <v>0</v>
      </c>
      <c r="BL182" s="174">
        <f>IF(AA182&gt;0,0,IF(Z182=$Z$91,AG182,0))</f>
        <v>0</v>
      </c>
      <c r="BM182" s="174">
        <f>IF(AA182&gt;0,0,IF(Z182=$Z$86,AG182,0))</f>
        <v>0</v>
      </c>
      <c r="BN182" s="174">
        <f>IF(AA182&gt;0,0,IF(Z182=$Z$87,AG182,0))</f>
        <v>0</v>
      </c>
      <c r="BO182" s="174">
        <f>IF(AA182&gt;0,0,IF(Z182=$Z$88,AG182,0))</f>
        <v>0</v>
      </c>
      <c r="BP182" s="174">
        <f>IF(AA182&gt;0,0,IF(Z182=$Z$89,AG182,0))</f>
        <v>0</v>
      </c>
      <c r="BQ182" s="174">
        <f>IF(AA182&gt;0,0,IF(Z182=$Z$90,AG182,0))</f>
        <v>0</v>
      </c>
      <c r="BR182" s="174">
        <f>IF(Z182=$Z$82,AA182*AG182,0)</f>
        <v>0</v>
      </c>
      <c r="BS182" s="174">
        <f>IF(Z182=$Z$83,AA182*AG182,0)</f>
        <v>0</v>
      </c>
      <c r="BT182" s="174">
        <f>IF(AA182&lt;1,0,IF(Z182=$Z$84,AA182*AG182,IF(Z182=$Z$93,"ERRO",IF(Z182=$Z$100,"ERRO",0))))</f>
        <v>0</v>
      </c>
      <c r="BU182" s="174">
        <f>IF(AA182&lt;1,0,IF(Z182=$Z$85,AA182*AG182,IF(Z182=$Z$93,"ERRO",IF(Z182=$Z$100,"ERRO",0))))</f>
        <v>0</v>
      </c>
      <c r="BV182" s="174">
        <f>IF(Z182=$Z$92,AA182*AG182,0)</f>
        <v>0</v>
      </c>
      <c r="BW182" s="174">
        <f>IF(Z182=$Z$91,AA182*AG182,0)</f>
        <v>0</v>
      </c>
      <c r="BX182" s="174">
        <f>IF(Z182=$Z$86,AA182*AG182,0)</f>
        <v>0</v>
      </c>
      <c r="BY182" s="174">
        <f>IF(Z182=$Z$87,AA182*AG182,0)</f>
        <v>0</v>
      </c>
      <c r="BZ182" s="174">
        <f>IF(Z182=$Z$88,AA182*AG182,0)</f>
        <v>0</v>
      </c>
      <c r="CA182" s="174">
        <f>IF(Z182=$Z$89,AA182*AG182,0)</f>
        <v>0</v>
      </c>
      <c r="CB182" s="174">
        <f>IF(Z182=$Z$90,AA182*AG182,0)</f>
        <v>0</v>
      </c>
      <c r="CC182" s="175">
        <f>IFERROR(IF(L182=$L$49,AG182*AH182*(1+AI182)*(1-AK182)*(1-AL182),0),0)</f>
        <v>275.08656000000002</v>
      </c>
      <c r="CD182" s="203">
        <f>IF(I182=$CD$97,1,IF(I182=$CD$100,2,IF(K182=$K$66,1,IF(K182=$K$69,1,3))))</f>
        <v>1</v>
      </c>
      <c r="CE182" s="203">
        <f t="shared" si="14"/>
        <v>1.07</v>
      </c>
      <c r="CF182" s="204">
        <f t="shared" si="33"/>
        <v>1.2353999999999998</v>
      </c>
      <c r="CG182" s="203">
        <f t="shared" si="15"/>
        <v>1.42</v>
      </c>
      <c r="CH182" s="204">
        <f t="shared" si="34"/>
        <v>1.5478000000000001</v>
      </c>
      <c r="CI182" s="203">
        <f t="shared" si="16"/>
        <v>1.7</v>
      </c>
      <c r="CJ182" s="205">
        <f t="shared" si="38"/>
        <v>1.0486</v>
      </c>
      <c r="CK182" s="205">
        <f t="shared" si="39"/>
        <v>1.148922</v>
      </c>
      <c r="CL182" s="205">
        <f t="shared" si="40"/>
        <v>1.3915999999999999</v>
      </c>
      <c r="CM182" s="205">
        <f t="shared" si="41"/>
        <v>1.501366</v>
      </c>
      <c r="CN182" s="206">
        <f t="shared" si="42"/>
        <v>1.6319999999999999</v>
      </c>
      <c r="CO182" s="204">
        <f t="shared" si="25"/>
        <v>1.006656</v>
      </c>
      <c r="CP182" s="207">
        <f t="shared" si="35"/>
        <v>0</v>
      </c>
      <c r="CQ182" s="208">
        <f t="shared" si="36"/>
        <v>0</v>
      </c>
      <c r="CR182" s="209">
        <f t="shared" si="37"/>
        <v>0</v>
      </c>
      <c r="CS182" s="49"/>
      <c r="CT182" s="49"/>
      <c r="CU182" s="49"/>
      <c r="CV182" s="49"/>
      <c r="CW182" s="49"/>
      <c r="CX182" s="49"/>
      <c r="CY182" s="49"/>
      <c r="CZ182" s="49"/>
      <c r="DA182" s="49"/>
      <c r="DB182" s="49"/>
      <c r="DC182" s="49"/>
      <c r="DD182" s="49"/>
      <c r="DE182" s="49"/>
      <c r="DF182" s="49"/>
      <c r="DG182" s="49"/>
      <c r="DH182" s="49"/>
      <c r="DI182" s="49"/>
      <c r="DJ182" s="49"/>
      <c r="DK182" s="49"/>
      <c r="DL182" s="49"/>
      <c r="DM182" s="49"/>
      <c r="DN182" s="49"/>
      <c r="DO182" s="49"/>
      <c r="DP182" s="49"/>
      <c r="DQ182" s="49"/>
      <c r="DR182" s="49"/>
      <c r="DS182" s="49"/>
      <c r="DT182" s="49"/>
      <c r="DU182" s="49"/>
      <c r="DV182" s="49"/>
      <c r="DW182" s="49"/>
      <c r="DX182" s="49"/>
      <c r="DY182" s="49"/>
      <c r="DZ182" s="49"/>
      <c r="EA182" s="49"/>
      <c r="EB182" s="49"/>
      <c r="EC182" s="49"/>
      <c r="ED182" s="49"/>
      <c r="EE182" s="49"/>
      <c r="EF182" s="49"/>
      <c r="EG182" s="49"/>
      <c r="EH182" s="49"/>
      <c r="EI182" s="49"/>
      <c r="EJ182" s="49"/>
      <c r="EK182" s="49"/>
      <c r="EL182" s="49"/>
      <c r="EM182" s="49"/>
      <c r="EN182" s="49"/>
      <c r="EO182" s="49"/>
      <c r="EP182" s="49"/>
      <c r="EQ182" s="49"/>
      <c r="ER182" s="49"/>
      <c r="ES182" s="49"/>
      <c r="ET182" s="49"/>
      <c r="EU182" s="49"/>
      <c r="EV182" s="49"/>
      <c r="EW182" s="49"/>
      <c r="EX182" s="49"/>
      <c r="EY182" s="49"/>
      <c r="EZ182" s="49"/>
      <c r="FA182" s="49"/>
    </row>
    <row r="183" spans="1:157" s="210" customFormat="1" ht="51" x14ac:dyDescent="0.25">
      <c r="A183" s="113">
        <f>IF(AND('[1]Cockpit Retorno'!$E$67=Sim,Mestre!M183=Mestre!$M$98),0,1)</f>
        <v>1</v>
      </c>
      <c r="B183" s="113">
        <f>IF(AND('[1]Cockpit Retorno'!$E$67=Sim,Mestre!L183=Mestre!$L$48),0,1)</f>
        <v>1</v>
      </c>
      <c r="C183" s="113">
        <f>IF(AND('[1]Cockpit Retorno'!$E$67=Sim,Mestre!M183=Mestre!$M$97),0,1)</f>
        <v>1</v>
      </c>
      <c r="D183" s="148" t="s">
        <v>7</v>
      </c>
      <c r="E183" s="115"/>
      <c r="F183" s="116" t="s">
        <v>107</v>
      </c>
      <c r="G183" s="149"/>
      <c r="H183" s="150" t="s">
        <v>7</v>
      </c>
      <c r="I183" s="151" t="str">
        <f t="shared" si="26"/>
        <v>Mercadorias</v>
      </c>
      <c r="J183" s="150" t="s">
        <v>15</v>
      </c>
      <c r="K183" s="152" t="s">
        <v>7</v>
      </c>
      <c r="L183" s="153" t="s">
        <v>21</v>
      </c>
      <c r="M183" s="154" t="s">
        <v>290</v>
      </c>
      <c r="N183" s="155" t="s">
        <v>309</v>
      </c>
      <c r="O183" s="155" t="s">
        <v>292</v>
      </c>
      <c r="P183" s="155" t="s">
        <v>43</v>
      </c>
      <c r="Q183" s="155" t="s">
        <v>43</v>
      </c>
      <c r="R183" s="155" t="s">
        <v>43</v>
      </c>
      <c r="S183" s="156" t="s">
        <v>43</v>
      </c>
      <c r="T183" s="156" t="s">
        <v>43</v>
      </c>
      <c r="U183" s="150" t="s">
        <v>43</v>
      </c>
      <c r="V183" s="150" t="s">
        <v>43</v>
      </c>
      <c r="W183" s="150" t="s">
        <v>43</v>
      </c>
      <c r="X183" s="157" t="s">
        <v>337</v>
      </c>
      <c r="Y183" s="150"/>
      <c r="Z183" s="150"/>
      <c r="AA183" s="158">
        <v>0</v>
      </c>
      <c r="AB183" s="155" t="s">
        <v>43</v>
      </c>
      <c r="AC183" s="150" t="s">
        <v>43</v>
      </c>
      <c r="AD183" s="155" t="s">
        <v>43</v>
      </c>
      <c r="AE183" s="155"/>
      <c r="AF183" s="150" t="s">
        <v>43</v>
      </c>
      <c r="AG183" s="159">
        <v>6</v>
      </c>
      <c r="AH183" s="159">
        <v>141.00660000000002</v>
      </c>
      <c r="AI183" s="202">
        <v>0</v>
      </c>
      <c r="AJ183" s="161">
        <v>7.0000000000000007E-2</v>
      </c>
      <c r="AK183" s="162">
        <v>0.05</v>
      </c>
      <c r="AL183" s="163"/>
      <c r="AM183" s="164">
        <f>(((IF(L183=$L$101,1,IF(L183=$L$47,1,0))*(AH183*(1-AK183)))*AG183)*(1-AL183))</f>
        <v>0</v>
      </c>
      <c r="AN183" s="165">
        <f>IF(K183=$K$50,AM183,IF(K183=$K$53,AM183,IF(K183=$K$54,AM183,IF(K183=$K$55,AM183,IF(K183=$K$56,AM183,IF(K183=$K$57,AM183,IF(K183=$K$58,AM183,IF(K183=$K$65,AM183,IF(K183=$K$66,AM183,IF(K183=$K$67,AM183,IF(K183=$K$68,AM183,IF(K183=$K$69,AM183,IF(K183=$K$51,AM183,(AM183*(1+AI183)))))))))))))))</f>
        <v>0</v>
      </c>
      <c r="AO183" s="166">
        <v>1.4</v>
      </c>
      <c r="AP183" s="160">
        <f t="shared" si="27"/>
        <v>0</v>
      </c>
      <c r="AQ183" s="167">
        <f t="shared" si="24"/>
        <v>0</v>
      </c>
      <c r="AR183" s="160">
        <f t="shared" si="28"/>
        <v>0</v>
      </c>
      <c r="AS183" s="168">
        <f t="shared" si="29"/>
        <v>0</v>
      </c>
      <c r="AT183" s="169" t="str">
        <f>K183</f>
        <v>MI</v>
      </c>
      <c r="AU183" s="169" t="str">
        <f>I183</f>
        <v>Mercadorias</v>
      </c>
      <c r="AV183" s="170"/>
      <c r="AW183" s="171">
        <f>IF(K183=$K$50,0,IF(K183=$K$53,0,IF(K183=$K$54,0,IF(K183=$K$55,0,IF(K183=$K$56,0,IF(K183=$K$57,0,IF(K183=$K$58,0,IF(K183=$K$65,0,IF(K183=$K$66,0,IF(K183=$K$67,0,IF(K183=$K$68,0,IF(K183=$K$69,0,IF(K183=$K$51,0,1))))))))))))*AM183*AI183)</f>
        <v>0</v>
      </c>
      <c r="AX183" s="172">
        <f>IF(K183=$K$50,0,IF(K183=$K$53,0,IF(K183=$K$54,0,IF(K183=$K$55,0,IF(K183=$K$56,0,IF(K183=$K$57,0,IF(K183=$K$58,0,IF(K183=$K$65,0,IF(K183=$K$66,0,IF(K183=$K$67,0,IF(K183=$K$68,0,IF(K183=$K$69,0,IF(K183=$K$51,0,1))))))))))))*AM183*AJ183*$AX$94)</f>
        <v>0</v>
      </c>
      <c r="AY183" s="172">
        <f>IF(K183=$K$53,0,IF(K183=$K$54,0,IF(K183=$K$55,0,IF(K183=$K$56,0,IF(K183=$K$58,0,IF(K183=$K$50,0,IF(K183=$K$65,0,IF(K183=$K$57,0,IF(K183=$K$51,0,AM183*$AY$102)))))))))</f>
        <v>0</v>
      </c>
      <c r="AZ183" s="172">
        <f>IF(K183=$K$53,0,IF(K183=$K$54,0,IF(K183=$K$55,0,IF(K183=$K$56,0,IF(K183=$K$58,0,IF(K183=$K$50,0,IF(K183=$K$65,0,IF(K183=$K$57,0,IF(K183=$K$51,0,AM183*$AZ$102)))))))))</f>
        <v>0</v>
      </c>
      <c r="BA183" s="172">
        <f t="shared" si="30"/>
        <v>0</v>
      </c>
      <c r="BB183" s="173">
        <f>IF($BA$97=1,AQ183*$BB$102,IF(K183=$K$50,0,IF(K183=$K$53,0,IF(K183=$K$54,0,IF(K183=$K$55,0,IF(K183=$K$56,0,IF(K183=$K$57,0,IF(K183=$K$58,0,IF(K183=$K$65,0,IF(K183=$K$66,0,IF(K183=$K$67,0,IF(K183=$K$68,0,IF(K183=$K$69,0,IF(K183=$K$51,0,1)))))))))))*AQ183*$BB$102)))</f>
        <v>0</v>
      </c>
      <c r="BC183" s="172">
        <f t="shared" si="31"/>
        <v>0</v>
      </c>
      <c r="BD183" s="172">
        <f t="shared" si="32"/>
        <v>0</v>
      </c>
      <c r="BE183" s="172">
        <f>IF($BE$95=I183,$BE$97,IF(I183=$BE$96,$BE$97,1))*($BE$102*AQ183)*$AZ$97</f>
        <v>0</v>
      </c>
      <c r="BF183" s="172">
        <f>IF('[1]Cockpit Retorno'!$C$65=Sim,Mestre!BA183,SUM(BB183:BE183)+(IF(K183=$K$56,AQ183*MOE_IRRF_LR,0)))</f>
        <v>0</v>
      </c>
      <c r="BG183" s="174">
        <f>IF(AA183&gt;0,0,IF(Z183=$Z$82,AG183*1,(IF(Z183=$Z$81,AG183*1,0))))</f>
        <v>0</v>
      </c>
      <c r="BH183" s="174">
        <f>IF(AA183&gt;0,0,IF(Z183=$Z$83,AG183*1,IF(Z183=$Z$81,AG183*1,0)))</f>
        <v>0</v>
      </c>
      <c r="BI183" s="174">
        <f>IF(AA183&gt;0,0,IF(Z183=$Z$84,AG183*1,IF(Z183=$Z$93,AG183*2,IF(Z183=$Z$100,AG183,IF(Z183=$Z$81,AG183*2,IF(Z183=$Z$80,AG183*1,IF(Z183=$Z$79,AG183*3,IF(Z183=$Z$78,AG183*2,0))))))))</f>
        <v>0</v>
      </c>
      <c r="BJ183" s="174">
        <f>IF(AA183&gt;0,0,IF(Z183=$Z$85,AG183,IF(Z183=$Z$93,AG183,IF(Z183=$Z$100,AG183,IF(Z183=$Z$81,AG183*1,IF(Z183=$Z$80,AG183*2,IF(Z183=$Z$79,AG183*2,IF(Z183=$Z$78,AG183*2,0))))))))</f>
        <v>0</v>
      </c>
      <c r="BK183" s="174">
        <f>IF(AA183&gt;0,0,IF(Z183=$Z$92,AG183,0))</f>
        <v>0</v>
      </c>
      <c r="BL183" s="174">
        <f>IF(AA183&gt;0,0,IF(Z183=$Z$91,AG183,0))</f>
        <v>0</v>
      </c>
      <c r="BM183" s="174">
        <f>IF(AA183&gt;0,0,IF(Z183=$Z$86,AG183,0))</f>
        <v>0</v>
      </c>
      <c r="BN183" s="174">
        <f>IF(AA183&gt;0,0,IF(Z183=$Z$87,AG183,0))</f>
        <v>0</v>
      </c>
      <c r="BO183" s="174">
        <f>IF(AA183&gt;0,0,IF(Z183=$Z$88,AG183,0))</f>
        <v>0</v>
      </c>
      <c r="BP183" s="174">
        <f>IF(AA183&gt;0,0,IF(Z183=$Z$89,AG183,0))</f>
        <v>0</v>
      </c>
      <c r="BQ183" s="174">
        <f>IF(AA183&gt;0,0,IF(Z183=$Z$90,AG183,0))</f>
        <v>0</v>
      </c>
      <c r="BR183" s="174">
        <f>IF(Z183=$Z$82,AA183*AG183,0)</f>
        <v>0</v>
      </c>
      <c r="BS183" s="174">
        <f>IF(Z183=$Z$83,AA183*AG183,0)</f>
        <v>0</v>
      </c>
      <c r="BT183" s="174">
        <f>IF(AA183&lt;1,0,IF(Z183=$Z$84,AA183*AG183,IF(Z183=$Z$93,"ERRO",IF(Z183=$Z$100,"ERRO",0))))</f>
        <v>0</v>
      </c>
      <c r="BU183" s="174">
        <f>IF(AA183&lt;1,0,IF(Z183=$Z$85,AA183*AG183,IF(Z183=$Z$93,"ERRO",IF(Z183=$Z$100,"ERRO",0))))</f>
        <v>0</v>
      </c>
      <c r="BV183" s="174">
        <f>IF(Z183=$Z$92,AA183*AG183,0)</f>
        <v>0</v>
      </c>
      <c r="BW183" s="174">
        <f>IF(Z183=$Z$91,AA183*AG183,0)</f>
        <v>0</v>
      </c>
      <c r="BX183" s="174">
        <f>IF(Z183=$Z$86,AA183*AG183,0)</f>
        <v>0</v>
      </c>
      <c r="BY183" s="174">
        <f>IF(Z183=$Z$87,AA183*AG183,0)</f>
        <v>0</v>
      </c>
      <c r="BZ183" s="174">
        <f>IF(Z183=$Z$88,AA183*AG183,0)</f>
        <v>0</v>
      </c>
      <c r="CA183" s="174">
        <f>IF(Z183=$Z$89,AA183*AG183,0)</f>
        <v>0</v>
      </c>
      <c r="CB183" s="174">
        <f>IF(Z183=$Z$90,AA183*AG183,0)</f>
        <v>0</v>
      </c>
      <c r="CC183" s="175">
        <f>IFERROR(IF(L183=$L$49,AG183*AH183*(1+AI183)*(1-AK183)*(1-AL183),0),0)</f>
        <v>803.73761999999999</v>
      </c>
      <c r="CD183" s="203">
        <f>IF(I183=$CD$97,1,IF(I183=$CD$100,2,IF(K183=$K$66,1,IF(K183=$K$69,1,3))))</f>
        <v>1</v>
      </c>
      <c r="CE183" s="203">
        <f t="shared" si="14"/>
        <v>1.07</v>
      </c>
      <c r="CF183" s="204">
        <f t="shared" si="33"/>
        <v>1.2353999999999998</v>
      </c>
      <c r="CG183" s="203">
        <f t="shared" si="15"/>
        <v>1.42</v>
      </c>
      <c r="CH183" s="204">
        <f t="shared" si="34"/>
        <v>1.5478000000000001</v>
      </c>
      <c r="CI183" s="203">
        <f t="shared" si="16"/>
        <v>1.7</v>
      </c>
      <c r="CJ183" s="205">
        <f t="shared" si="38"/>
        <v>1.0486</v>
      </c>
      <c r="CK183" s="205">
        <f t="shared" si="39"/>
        <v>1.148922</v>
      </c>
      <c r="CL183" s="205">
        <f t="shared" si="40"/>
        <v>1.3915999999999999</v>
      </c>
      <c r="CM183" s="205">
        <f t="shared" si="41"/>
        <v>1.501366</v>
      </c>
      <c r="CN183" s="206">
        <f t="shared" si="42"/>
        <v>1.6319999999999999</v>
      </c>
      <c r="CO183" s="204">
        <f t="shared" si="25"/>
        <v>1.006656</v>
      </c>
      <c r="CP183" s="207">
        <f t="shared" si="35"/>
        <v>0</v>
      </c>
      <c r="CQ183" s="208">
        <f t="shared" si="36"/>
        <v>0</v>
      </c>
      <c r="CR183" s="209">
        <f t="shared" si="37"/>
        <v>0</v>
      </c>
      <c r="CS183" s="49"/>
      <c r="CT183" s="49"/>
      <c r="CU183" s="49"/>
      <c r="CV183" s="49"/>
      <c r="CW183" s="49"/>
      <c r="CX183" s="49"/>
      <c r="CY183" s="49"/>
      <c r="CZ183" s="49"/>
      <c r="DA183" s="49"/>
      <c r="DB183" s="49"/>
      <c r="DC183" s="49"/>
      <c r="DD183" s="49"/>
      <c r="DE183" s="49"/>
      <c r="DF183" s="49"/>
      <c r="DG183" s="49"/>
      <c r="DH183" s="49"/>
      <c r="DI183" s="49"/>
      <c r="DJ183" s="49"/>
      <c r="DK183" s="49"/>
      <c r="DL183" s="49"/>
      <c r="DM183" s="49"/>
      <c r="DN183" s="49"/>
      <c r="DO183" s="49"/>
      <c r="DP183" s="49"/>
      <c r="DQ183" s="49"/>
      <c r="DR183" s="49"/>
      <c r="DS183" s="49"/>
      <c r="DT183" s="49"/>
      <c r="DU183" s="49"/>
      <c r="DV183" s="49"/>
      <c r="DW183" s="49"/>
      <c r="DX183" s="49"/>
      <c r="DY183" s="49"/>
      <c r="DZ183" s="49"/>
      <c r="EA183" s="49"/>
      <c r="EB183" s="49"/>
      <c r="EC183" s="49"/>
      <c r="ED183" s="49"/>
      <c r="EE183" s="49"/>
      <c r="EF183" s="49"/>
      <c r="EG183" s="49"/>
      <c r="EH183" s="49"/>
      <c r="EI183" s="49"/>
      <c r="EJ183" s="49"/>
      <c r="EK183" s="49"/>
      <c r="EL183" s="49"/>
      <c r="EM183" s="49"/>
      <c r="EN183" s="49"/>
      <c r="EO183" s="49"/>
      <c r="EP183" s="49"/>
      <c r="EQ183" s="49"/>
      <c r="ER183" s="49"/>
      <c r="ES183" s="49"/>
      <c r="ET183" s="49"/>
      <c r="EU183" s="49"/>
      <c r="EV183" s="49"/>
      <c r="EW183" s="49"/>
      <c r="EX183" s="49"/>
      <c r="EY183" s="49"/>
      <c r="EZ183" s="49"/>
      <c r="FA183" s="49"/>
    </row>
    <row r="184" spans="1:157" s="210" customFormat="1" x14ac:dyDescent="0.25">
      <c r="A184" s="113">
        <f>IF(AND('[1]Cockpit Retorno'!$E$67=Sim,Mestre!M184=Mestre!$M$98),0,1)</f>
        <v>1</v>
      </c>
      <c r="B184" s="113">
        <f>IF(AND('[1]Cockpit Retorno'!$E$67=Sim,Mestre!L184=Mestre!$L$48),0,1)</f>
        <v>1</v>
      </c>
      <c r="C184" s="113">
        <f>IF(AND('[1]Cockpit Retorno'!$E$67=Sim,Mestre!M184=Mestre!$M$97),0,1)</f>
        <v>1</v>
      </c>
      <c r="D184" s="148" t="s">
        <v>7</v>
      </c>
      <c r="E184" s="115"/>
      <c r="F184" s="116" t="s">
        <v>107</v>
      </c>
      <c r="G184" s="149"/>
      <c r="H184" s="150" t="s">
        <v>7</v>
      </c>
      <c r="I184" s="151" t="str">
        <f t="shared" si="26"/>
        <v>Mercadorias</v>
      </c>
      <c r="J184" s="150" t="s">
        <v>15</v>
      </c>
      <c r="K184" s="152" t="s">
        <v>7</v>
      </c>
      <c r="L184" s="153" t="s">
        <v>21</v>
      </c>
      <c r="M184" s="154" t="s">
        <v>290</v>
      </c>
      <c r="N184" s="155" t="s">
        <v>309</v>
      </c>
      <c r="O184" s="155" t="s">
        <v>292</v>
      </c>
      <c r="P184" s="155" t="s">
        <v>43</v>
      </c>
      <c r="Q184" s="155" t="s">
        <v>43</v>
      </c>
      <c r="R184" s="155" t="s">
        <v>43</v>
      </c>
      <c r="S184" s="156" t="s">
        <v>43</v>
      </c>
      <c r="T184" s="156" t="s">
        <v>43</v>
      </c>
      <c r="U184" s="150" t="s">
        <v>43</v>
      </c>
      <c r="V184" s="150" t="s">
        <v>43</v>
      </c>
      <c r="W184" s="150" t="s">
        <v>43</v>
      </c>
      <c r="X184" s="157" t="s">
        <v>301</v>
      </c>
      <c r="Y184" s="150"/>
      <c r="Z184" s="150"/>
      <c r="AA184" s="158">
        <v>0</v>
      </c>
      <c r="AB184" s="155" t="s">
        <v>43</v>
      </c>
      <c r="AC184" s="150" t="s">
        <v>43</v>
      </c>
      <c r="AD184" s="155" t="s">
        <v>43</v>
      </c>
      <c r="AE184" s="155"/>
      <c r="AF184" s="150" t="s">
        <v>43</v>
      </c>
      <c r="AG184" s="159">
        <v>3000</v>
      </c>
      <c r="AH184" s="159">
        <v>3.5339999999999998</v>
      </c>
      <c r="AI184" s="202">
        <v>0</v>
      </c>
      <c r="AJ184" s="161">
        <v>7.0000000000000007E-2</v>
      </c>
      <c r="AK184" s="162">
        <v>0.05</v>
      </c>
      <c r="AL184" s="163"/>
      <c r="AM184" s="164">
        <f>(((IF(L184=$L$101,1,IF(L184=$L$47,1,0))*(AH184*(1-AK184)))*AG184)*(1-AL184))</f>
        <v>0</v>
      </c>
      <c r="AN184" s="165">
        <f>IF(K184=$K$50,AM184,IF(K184=$K$53,AM184,IF(K184=$K$54,AM184,IF(K184=$K$55,AM184,IF(K184=$K$56,AM184,IF(K184=$K$57,AM184,IF(K184=$K$58,AM184,IF(K184=$K$65,AM184,IF(K184=$K$66,AM184,IF(K184=$K$67,AM184,IF(K184=$K$68,AM184,IF(K184=$K$69,AM184,IF(K184=$K$51,AM184,(AM184*(1+AI184)))))))))))))))</f>
        <v>0</v>
      </c>
      <c r="AO184" s="166">
        <v>1.4</v>
      </c>
      <c r="AP184" s="160">
        <f t="shared" si="27"/>
        <v>0</v>
      </c>
      <c r="AQ184" s="167">
        <f t="shared" si="24"/>
        <v>0</v>
      </c>
      <c r="AR184" s="160">
        <f t="shared" si="28"/>
        <v>0</v>
      </c>
      <c r="AS184" s="168">
        <f t="shared" si="29"/>
        <v>0</v>
      </c>
      <c r="AT184" s="169" t="str">
        <f>K184</f>
        <v>MI</v>
      </c>
      <c r="AU184" s="169" t="str">
        <f>I184</f>
        <v>Mercadorias</v>
      </c>
      <c r="AV184" s="170"/>
      <c r="AW184" s="171">
        <f>IF(K184=$K$50,0,IF(K184=$K$53,0,IF(K184=$K$54,0,IF(K184=$K$55,0,IF(K184=$K$56,0,IF(K184=$K$57,0,IF(K184=$K$58,0,IF(K184=$K$65,0,IF(K184=$K$66,0,IF(K184=$K$67,0,IF(K184=$K$68,0,IF(K184=$K$69,0,IF(K184=$K$51,0,1))))))))))))*AM184*AI184)</f>
        <v>0</v>
      </c>
      <c r="AX184" s="172">
        <f>IF(K184=$K$50,0,IF(K184=$K$53,0,IF(K184=$K$54,0,IF(K184=$K$55,0,IF(K184=$K$56,0,IF(K184=$K$57,0,IF(K184=$K$58,0,IF(K184=$K$65,0,IF(K184=$K$66,0,IF(K184=$K$67,0,IF(K184=$K$68,0,IF(K184=$K$69,0,IF(K184=$K$51,0,1))))))))))))*AM184*AJ184*$AX$94)</f>
        <v>0</v>
      </c>
      <c r="AY184" s="172">
        <f>IF(K184=$K$53,0,IF(K184=$K$54,0,IF(K184=$K$55,0,IF(K184=$K$56,0,IF(K184=$K$58,0,IF(K184=$K$50,0,IF(K184=$K$65,0,IF(K184=$K$57,0,IF(K184=$K$51,0,AM184*$AY$102)))))))))</f>
        <v>0</v>
      </c>
      <c r="AZ184" s="172">
        <f>IF(K184=$K$53,0,IF(K184=$K$54,0,IF(K184=$K$55,0,IF(K184=$K$56,0,IF(K184=$K$58,0,IF(K184=$K$50,0,IF(K184=$K$65,0,IF(K184=$K$57,0,IF(K184=$K$51,0,AM184*$AZ$102)))))))))</f>
        <v>0</v>
      </c>
      <c r="BA184" s="172">
        <f t="shared" si="30"/>
        <v>0</v>
      </c>
      <c r="BB184" s="173">
        <f>IF($BA$97=1,AQ184*$BB$102,IF(K184=$K$50,0,IF(K184=$K$53,0,IF(K184=$K$54,0,IF(K184=$K$55,0,IF(K184=$K$56,0,IF(K184=$K$57,0,IF(K184=$K$58,0,IF(K184=$K$65,0,IF(K184=$K$66,0,IF(K184=$K$67,0,IF(K184=$K$68,0,IF(K184=$K$69,0,IF(K184=$K$51,0,1)))))))))))*AQ184*$BB$102)))</f>
        <v>0</v>
      </c>
      <c r="BC184" s="172">
        <f t="shared" si="31"/>
        <v>0</v>
      </c>
      <c r="BD184" s="172">
        <f t="shared" si="32"/>
        <v>0</v>
      </c>
      <c r="BE184" s="172">
        <f>IF($BE$95=I184,$BE$97,IF(I184=$BE$96,$BE$97,1))*($BE$102*AQ184)*$AZ$97</f>
        <v>0</v>
      </c>
      <c r="BF184" s="172">
        <f>IF('[1]Cockpit Retorno'!$C$65=Sim,Mestre!BA184,SUM(BB184:BE184)+(IF(K184=$K$56,AQ184*MOE_IRRF_LR,0)))</f>
        <v>0</v>
      </c>
      <c r="BG184" s="174">
        <f>IF(AA184&gt;0,0,IF(Z184=$Z$82,AG184*1,(IF(Z184=$Z$81,AG184*1,0))))</f>
        <v>0</v>
      </c>
      <c r="BH184" s="174">
        <f>IF(AA184&gt;0,0,IF(Z184=$Z$83,AG184*1,IF(Z184=$Z$81,AG184*1,0)))</f>
        <v>0</v>
      </c>
      <c r="BI184" s="174">
        <f>IF(AA184&gt;0,0,IF(Z184=$Z$84,AG184*1,IF(Z184=$Z$93,AG184*2,IF(Z184=$Z$100,AG184,IF(Z184=$Z$81,AG184*2,IF(Z184=$Z$80,AG184*1,IF(Z184=$Z$79,AG184*3,IF(Z184=$Z$78,AG184*2,0))))))))</f>
        <v>0</v>
      </c>
      <c r="BJ184" s="174">
        <f>IF(AA184&gt;0,0,IF(Z184=$Z$85,AG184,IF(Z184=$Z$93,AG184,IF(Z184=$Z$100,AG184,IF(Z184=$Z$81,AG184*1,IF(Z184=$Z$80,AG184*2,IF(Z184=$Z$79,AG184*2,IF(Z184=$Z$78,AG184*2,0))))))))</f>
        <v>0</v>
      </c>
      <c r="BK184" s="174">
        <f>IF(AA184&gt;0,0,IF(Z184=$Z$92,AG184,0))</f>
        <v>0</v>
      </c>
      <c r="BL184" s="174">
        <f>IF(AA184&gt;0,0,IF(Z184=$Z$91,AG184,0))</f>
        <v>0</v>
      </c>
      <c r="BM184" s="174">
        <f>IF(AA184&gt;0,0,IF(Z184=$Z$86,AG184,0))</f>
        <v>0</v>
      </c>
      <c r="BN184" s="174">
        <f>IF(AA184&gt;0,0,IF(Z184=$Z$87,AG184,0))</f>
        <v>0</v>
      </c>
      <c r="BO184" s="174">
        <f>IF(AA184&gt;0,0,IF(Z184=$Z$88,AG184,0))</f>
        <v>0</v>
      </c>
      <c r="BP184" s="174">
        <f>IF(AA184&gt;0,0,IF(Z184=$Z$89,AG184,0))</f>
        <v>0</v>
      </c>
      <c r="BQ184" s="174">
        <f>IF(AA184&gt;0,0,IF(Z184=$Z$90,AG184,0))</f>
        <v>0</v>
      </c>
      <c r="BR184" s="174">
        <f>IF(Z184=$Z$82,AA184*AG184,0)</f>
        <v>0</v>
      </c>
      <c r="BS184" s="174">
        <f>IF(Z184=$Z$83,AA184*AG184,0)</f>
        <v>0</v>
      </c>
      <c r="BT184" s="174">
        <f>IF(AA184&lt;1,0,IF(Z184=$Z$84,AA184*AG184,IF(Z184=$Z$93,"ERRO",IF(Z184=$Z$100,"ERRO",0))))</f>
        <v>0</v>
      </c>
      <c r="BU184" s="174">
        <f>IF(AA184&lt;1,0,IF(Z184=$Z$85,AA184*AG184,IF(Z184=$Z$93,"ERRO",IF(Z184=$Z$100,"ERRO",0))))</f>
        <v>0</v>
      </c>
      <c r="BV184" s="174">
        <f>IF(Z184=$Z$92,AA184*AG184,0)</f>
        <v>0</v>
      </c>
      <c r="BW184" s="174">
        <f>IF(Z184=$Z$91,AA184*AG184,0)</f>
        <v>0</v>
      </c>
      <c r="BX184" s="174">
        <f>IF(Z184=$Z$86,AA184*AG184,0)</f>
        <v>0</v>
      </c>
      <c r="BY184" s="174">
        <f>IF(Z184=$Z$87,AA184*AG184,0)</f>
        <v>0</v>
      </c>
      <c r="BZ184" s="174">
        <f>IF(Z184=$Z$88,AA184*AG184,0)</f>
        <v>0</v>
      </c>
      <c r="CA184" s="174">
        <f>IF(Z184=$Z$89,AA184*AG184,0)</f>
        <v>0</v>
      </c>
      <c r="CB184" s="174">
        <f>IF(Z184=$Z$90,AA184*AG184,0)</f>
        <v>0</v>
      </c>
      <c r="CC184" s="175">
        <f>IFERROR(IF(L184=$L$49,AG184*AH184*(1+AI184)*(1-AK184)*(1-AL184),0),0)</f>
        <v>10071.9</v>
      </c>
      <c r="CD184" s="203">
        <f>IF(I184=$CD$97,1,IF(I184=$CD$100,2,IF(K184=$K$66,1,IF(K184=$K$69,1,3))))</f>
        <v>1</v>
      </c>
      <c r="CE184" s="203">
        <f t="shared" si="14"/>
        <v>1.07</v>
      </c>
      <c r="CF184" s="204">
        <f t="shared" si="33"/>
        <v>1.2353999999999998</v>
      </c>
      <c r="CG184" s="203">
        <f t="shared" si="15"/>
        <v>1.42</v>
      </c>
      <c r="CH184" s="204">
        <f t="shared" si="34"/>
        <v>1.5478000000000001</v>
      </c>
      <c r="CI184" s="203">
        <f t="shared" si="16"/>
        <v>1.7</v>
      </c>
      <c r="CJ184" s="205">
        <f t="shared" si="38"/>
        <v>1.0486</v>
      </c>
      <c r="CK184" s="205">
        <f t="shared" si="39"/>
        <v>1.148922</v>
      </c>
      <c r="CL184" s="205">
        <f t="shared" si="40"/>
        <v>1.3915999999999999</v>
      </c>
      <c r="CM184" s="205">
        <f t="shared" si="41"/>
        <v>1.501366</v>
      </c>
      <c r="CN184" s="206">
        <f t="shared" si="42"/>
        <v>1.6319999999999999</v>
      </c>
      <c r="CO184" s="204">
        <f t="shared" si="25"/>
        <v>1.006656</v>
      </c>
      <c r="CP184" s="207">
        <f t="shared" si="35"/>
        <v>0</v>
      </c>
      <c r="CQ184" s="208">
        <f t="shared" si="36"/>
        <v>0</v>
      </c>
      <c r="CR184" s="209">
        <f t="shared" si="37"/>
        <v>0</v>
      </c>
      <c r="CS184" s="49"/>
      <c r="CT184" s="49"/>
      <c r="CU184" s="49"/>
      <c r="CV184" s="49"/>
      <c r="CW184" s="49"/>
      <c r="CX184" s="49"/>
      <c r="CY184" s="49"/>
      <c r="CZ184" s="49"/>
      <c r="DA184" s="49"/>
      <c r="DB184" s="49"/>
      <c r="DC184" s="49"/>
      <c r="DD184" s="49"/>
      <c r="DE184" s="49"/>
      <c r="DF184" s="49"/>
      <c r="DG184" s="49"/>
      <c r="DH184" s="49"/>
      <c r="DI184" s="49"/>
      <c r="DJ184" s="49"/>
      <c r="DK184" s="49"/>
      <c r="DL184" s="49"/>
      <c r="DM184" s="49"/>
      <c r="DN184" s="49"/>
      <c r="DO184" s="49"/>
      <c r="DP184" s="49"/>
      <c r="DQ184" s="49"/>
      <c r="DR184" s="49"/>
      <c r="DS184" s="49"/>
      <c r="DT184" s="49"/>
      <c r="DU184" s="49"/>
      <c r="DV184" s="49"/>
      <c r="DW184" s="49"/>
      <c r="DX184" s="49"/>
      <c r="DY184" s="49"/>
      <c r="DZ184" s="49"/>
      <c r="EA184" s="49"/>
      <c r="EB184" s="49"/>
      <c r="EC184" s="49"/>
      <c r="ED184" s="49"/>
      <c r="EE184" s="49"/>
      <c r="EF184" s="49"/>
      <c r="EG184" s="49"/>
      <c r="EH184" s="49"/>
      <c r="EI184" s="49"/>
      <c r="EJ184" s="49"/>
      <c r="EK184" s="49"/>
      <c r="EL184" s="49"/>
      <c r="EM184" s="49"/>
      <c r="EN184" s="49"/>
      <c r="EO184" s="49"/>
      <c r="EP184" s="49"/>
      <c r="EQ184" s="49"/>
      <c r="ER184" s="49"/>
      <c r="ES184" s="49"/>
      <c r="ET184" s="49"/>
      <c r="EU184" s="49"/>
      <c r="EV184" s="49"/>
      <c r="EW184" s="49"/>
      <c r="EX184" s="49"/>
      <c r="EY184" s="49"/>
      <c r="EZ184" s="49"/>
      <c r="FA184" s="49"/>
    </row>
    <row r="185" spans="1:157" s="210" customFormat="1" ht="25.5" x14ac:dyDescent="0.25">
      <c r="A185" s="113">
        <f>IF(AND('[1]Cockpit Retorno'!$E$67=Sim,Mestre!M185=Mestre!$M$98),0,1)</f>
        <v>1</v>
      </c>
      <c r="B185" s="113">
        <f>IF(AND('[1]Cockpit Retorno'!$E$67=Sim,Mestre!L185=Mestre!$L$48),0,1)</f>
        <v>1</v>
      </c>
      <c r="C185" s="113">
        <f>IF(AND('[1]Cockpit Retorno'!$E$67=Sim,Mestre!M185=Mestre!$M$97),0,1)</f>
        <v>1</v>
      </c>
      <c r="D185" s="148" t="s">
        <v>7</v>
      </c>
      <c r="E185" s="115"/>
      <c r="F185" s="116" t="s">
        <v>107</v>
      </c>
      <c r="G185" s="149">
        <v>18</v>
      </c>
      <c r="H185" s="150" t="s">
        <v>7</v>
      </c>
      <c r="I185" s="151" t="str">
        <f t="shared" si="26"/>
        <v>Mercadorias</v>
      </c>
      <c r="J185" s="150" t="s">
        <v>15</v>
      </c>
      <c r="K185" s="152" t="s">
        <v>7</v>
      </c>
      <c r="L185" s="153" t="s">
        <v>21</v>
      </c>
      <c r="M185" s="154" t="s">
        <v>290</v>
      </c>
      <c r="N185" s="155" t="s">
        <v>309</v>
      </c>
      <c r="O185" s="155" t="s">
        <v>292</v>
      </c>
      <c r="P185" s="155" t="s">
        <v>43</v>
      </c>
      <c r="Q185" s="155" t="s">
        <v>43</v>
      </c>
      <c r="R185" s="155" t="s">
        <v>43</v>
      </c>
      <c r="S185" s="156" t="s">
        <v>43</v>
      </c>
      <c r="T185" s="156" t="s">
        <v>43</v>
      </c>
      <c r="U185" s="150" t="s">
        <v>43</v>
      </c>
      <c r="V185" s="150" t="s">
        <v>43</v>
      </c>
      <c r="W185" s="150" t="s">
        <v>43</v>
      </c>
      <c r="X185" s="157" t="s">
        <v>338</v>
      </c>
      <c r="Y185" s="150"/>
      <c r="Z185" s="150"/>
      <c r="AA185" s="158">
        <v>0</v>
      </c>
      <c r="AB185" s="155" t="s">
        <v>43</v>
      </c>
      <c r="AC185" s="150" t="s">
        <v>43</v>
      </c>
      <c r="AD185" s="155" t="s">
        <v>43</v>
      </c>
      <c r="AE185" s="155"/>
      <c r="AF185" s="150" t="s">
        <v>43</v>
      </c>
      <c r="AG185" s="159">
        <v>80</v>
      </c>
      <c r="AH185" s="159">
        <v>69.192000000000007</v>
      </c>
      <c r="AI185" s="202">
        <v>0</v>
      </c>
      <c r="AJ185" s="161">
        <v>7.0000000000000007E-2</v>
      </c>
      <c r="AK185" s="162">
        <v>0.05</v>
      </c>
      <c r="AL185" s="163"/>
      <c r="AM185" s="164">
        <f>(((IF(L185=$L$101,1,IF(L185=$L$47,1,0))*(AH185*(1-AK185)))*AG185)*(1-AL185))</f>
        <v>0</v>
      </c>
      <c r="AN185" s="165">
        <f>IF(K185=$K$50,AM185,IF(K185=$K$53,AM185,IF(K185=$K$54,AM185,IF(K185=$K$55,AM185,IF(K185=$K$56,AM185,IF(K185=$K$57,AM185,IF(K185=$K$58,AM185,IF(K185=$K$65,AM185,IF(K185=$K$66,AM185,IF(K185=$K$67,AM185,IF(K185=$K$68,AM185,IF(K185=$K$69,AM185,IF(K185=$K$51,AM185,(AM185*(1+AI185)))))))))))))))</f>
        <v>0</v>
      </c>
      <c r="AO185" s="166">
        <v>1.4</v>
      </c>
      <c r="AP185" s="160">
        <f t="shared" si="27"/>
        <v>0</v>
      </c>
      <c r="AQ185" s="167">
        <f t="shared" si="24"/>
        <v>0</v>
      </c>
      <c r="AR185" s="160">
        <f t="shared" si="28"/>
        <v>0</v>
      </c>
      <c r="AS185" s="168">
        <f t="shared" si="29"/>
        <v>0</v>
      </c>
      <c r="AT185" s="169" t="str">
        <f>K185</f>
        <v>MI</v>
      </c>
      <c r="AU185" s="169" t="str">
        <f>I185</f>
        <v>Mercadorias</v>
      </c>
      <c r="AV185" s="170"/>
      <c r="AW185" s="171">
        <f>IF(K185=$K$50,0,IF(K185=$K$53,0,IF(K185=$K$54,0,IF(K185=$K$55,0,IF(K185=$K$56,0,IF(K185=$K$57,0,IF(K185=$K$58,0,IF(K185=$K$65,0,IF(K185=$K$66,0,IF(K185=$K$67,0,IF(K185=$K$68,0,IF(K185=$K$69,0,IF(K185=$K$51,0,1))))))))))))*AM185*AI185)</f>
        <v>0</v>
      </c>
      <c r="AX185" s="172">
        <f>IF(K185=$K$50,0,IF(K185=$K$53,0,IF(K185=$K$54,0,IF(K185=$K$55,0,IF(K185=$K$56,0,IF(K185=$K$57,0,IF(K185=$K$58,0,IF(K185=$K$65,0,IF(K185=$K$66,0,IF(K185=$K$67,0,IF(K185=$K$68,0,IF(K185=$K$69,0,IF(K185=$K$51,0,1))))))))))))*AM185*AJ185*$AX$94)</f>
        <v>0</v>
      </c>
      <c r="AY185" s="172">
        <f>IF(K185=$K$53,0,IF(K185=$K$54,0,IF(K185=$K$55,0,IF(K185=$K$56,0,IF(K185=$K$58,0,IF(K185=$K$50,0,IF(K185=$K$65,0,IF(K185=$K$57,0,IF(K185=$K$51,0,AM185*$AY$102)))))))))</f>
        <v>0</v>
      </c>
      <c r="AZ185" s="172">
        <f>IF(K185=$K$53,0,IF(K185=$K$54,0,IF(K185=$K$55,0,IF(K185=$K$56,0,IF(K185=$K$58,0,IF(K185=$K$50,0,IF(K185=$K$65,0,IF(K185=$K$57,0,IF(K185=$K$51,0,AM185*$AZ$102)))))))))</f>
        <v>0</v>
      </c>
      <c r="BA185" s="172">
        <f t="shared" si="30"/>
        <v>0</v>
      </c>
      <c r="BB185" s="173">
        <f>IF($BA$97=1,AQ185*$BB$102,IF(K185=$K$50,0,IF(K185=$K$53,0,IF(K185=$K$54,0,IF(K185=$K$55,0,IF(K185=$K$56,0,IF(K185=$K$57,0,IF(K185=$K$58,0,IF(K185=$K$65,0,IF(K185=$K$66,0,IF(K185=$K$67,0,IF(K185=$K$68,0,IF(K185=$K$69,0,IF(K185=$K$51,0,1)))))))))))*AQ185*$BB$102)))</f>
        <v>0</v>
      </c>
      <c r="BC185" s="172">
        <f t="shared" si="31"/>
        <v>0</v>
      </c>
      <c r="BD185" s="172">
        <f t="shared" si="32"/>
        <v>0</v>
      </c>
      <c r="BE185" s="172">
        <f>IF($BE$95=I185,$BE$97,IF(I185=$BE$96,$BE$97,1))*($BE$102*AQ185)*$AZ$97</f>
        <v>0</v>
      </c>
      <c r="BF185" s="172">
        <f>IF('[1]Cockpit Retorno'!$C$65=Sim,Mestre!BA185,SUM(BB185:BE185)+(IF(K185=$K$56,AQ185*MOE_IRRF_LR,0)))</f>
        <v>0</v>
      </c>
      <c r="BG185" s="174">
        <f>IF(AA185&gt;0,0,IF(Z185=$Z$82,AG185*1,(IF(Z185=$Z$81,AG185*1,0))))</f>
        <v>0</v>
      </c>
      <c r="BH185" s="174">
        <f>IF(AA185&gt;0,0,IF(Z185=$Z$83,AG185*1,IF(Z185=$Z$81,AG185*1,0)))</f>
        <v>0</v>
      </c>
      <c r="BI185" s="174">
        <f>IF(AA185&gt;0,0,IF(Z185=$Z$84,AG185*1,IF(Z185=$Z$93,AG185*2,IF(Z185=$Z$100,AG185,IF(Z185=$Z$81,AG185*2,IF(Z185=$Z$80,AG185*1,IF(Z185=$Z$79,AG185*3,IF(Z185=$Z$78,AG185*2,0))))))))</f>
        <v>0</v>
      </c>
      <c r="BJ185" s="174">
        <f>IF(AA185&gt;0,0,IF(Z185=$Z$85,AG185,IF(Z185=$Z$93,AG185,IF(Z185=$Z$100,AG185,IF(Z185=$Z$81,AG185*1,IF(Z185=$Z$80,AG185*2,IF(Z185=$Z$79,AG185*2,IF(Z185=$Z$78,AG185*2,0))))))))</f>
        <v>0</v>
      </c>
      <c r="BK185" s="174">
        <f>IF(AA185&gt;0,0,IF(Z185=$Z$92,AG185,0))</f>
        <v>0</v>
      </c>
      <c r="BL185" s="174">
        <f>IF(AA185&gt;0,0,IF(Z185=$Z$91,AG185,0))</f>
        <v>0</v>
      </c>
      <c r="BM185" s="174">
        <f>IF(AA185&gt;0,0,IF(Z185=$Z$86,AG185,0))</f>
        <v>0</v>
      </c>
      <c r="BN185" s="174">
        <f>IF(AA185&gt;0,0,IF(Z185=$Z$87,AG185,0))</f>
        <v>0</v>
      </c>
      <c r="BO185" s="174">
        <f>IF(AA185&gt;0,0,IF(Z185=$Z$88,AG185,0))</f>
        <v>0</v>
      </c>
      <c r="BP185" s="174">
        <f>IF(AA185&gt;0,0,IF(Z185=$Z$89,AG185,0))</f>
        <v>0</v>
      </c>
      <c r="BQ185" s="174">
        <f>IF(AA185&gt;0,0,IF(Z185=$Z$90,AG185,0))</f>
        <v>0</v>
      </c>
      <c r="BR185" s="174">
        <f>IF(Z185=$Z$82,AA185*AG185,0)</f>
        <v>0</v>
      </c>
      <c r="BS185" s="174">
        <f>IF(Z185=$Z$83,AA185*AG185,0)</f>
        <v>0</v>
      </c>
      <c r="BT185" s="174">
        <f>IF(AA185&lt;1,0,IF(Z185=$Z$84,AA185*AG185,IF(Z185=$Z$93,"ERRO",IF(Z185=$Z$100,"ERRO",0))))</f>
        <v>0</v>
      </c>
      <c r="BU185" s="174">
        <f>IF(AA185&lt;1,0,IF(Z185=$Z$85,AA185*AG185,IF(Z185=$Z$93,"ERRO",IF(Z185=$Z$100,"ERRO",0))))</f>
        <v>0</v>
      </c>
      <c r="BV185" s="174">
        <f>IF(Z185=$Z$92,AA185*AG185,0)</f>
        <v>0</v>
      </c>
      <c r="BW185" s="174">
        <f>IF(Z185=$Z$91,AA185*AG185,0)</f>
        <v>0</v>
      </c>
      <c r="BX185" s="174">
        <f>IF(Z185=$Z$86,AA185*AG185,0)</f>
        <v>0</v>
      </c>
      <c r="BY185" s="174">
        <f>IF(Z185=$Z$87,AA185*AG185,0)</f>
        <v>0</v>
      </c>
      <c r="BZ185" s="174">
        <f>IF(Z185=$Z$88,AA185*AG185,0)</f>
        <v>0</v>
      </c>
      <c r="CA185" s="174">
        <f>IF(Z185=$Z$89,AA185*AG185,0)</f>
        <v>0</v>
      </c>
      <c r="CB185" s="174">
        <f>IF(Z185=$Z$90,AA185*AG185,0)</f>
        <v>0</v>
      </c>
      <c r="CC185" s="175">
        <f>IFERROR(IF(L185=$L$49,AG185*AH185*(1+AI185)*(1-AK185)*(1-AL185),0),0)</f>
        <v>5258.5920000000006</v>
      </c>
      <c r="CD185" s="203">
        <f>IF(I185=$CD$97,1,IF(I185=$CD$100,2,IF(K185=$K$66,1,IF(K185=$K$69,1,3))))</f>
        <v>1</v>
      </c>
      <c r="CE185" s="203">
        <f t="shared" si="14"/>
        <v>1.07</v>
      </c>
      <c r="CF185" s="204">
        <f t="shared" si="33"/>
        <v>1.2353999999999998</v>
      </c>
      <c r="CG185" s="203">
        <f t="shared" si="15"/>
        <v>1.42</v>
      </c>
      <c r="CH185" s="204">
        <f t="shared" si="34"/>
        <v>1.5478000000000001</v>
      </c>
      <c r="CI185" s="203">
        <f t="shared" si="16"/>
        <v>1.7</v>
      </c>
      <c r="CJ185" s="205">
        <f t="shared" si="38"/>
        <v>1.0486</v>
      </c>
      <c r="CK185" s="205">
        <f t="shared" si="39"/>
        <v>1.148922</v>
      </c>
      <c r="CL185" s="205">
        <f t="shared" si="40"/>
        <v>1.3915999999999999</v>
      </c>
      <c r="CM185" s="205">
        <f t="shared" si="41"/>
        <v>1.501366</v>
      </c>
      <c r="CN185" s="206">
        <f t="shared" si="42"/>
        <v>1.6319999999999999</v>
      </c>
      <c r="CO185" s="204">
        <f t="shared" si="25"/>
        <v>1.006656</v>
      </c>
      <c r="CP185" s="207">
        <f t="shared" si="35"/>
        <v>0</v>
      </c>
      <c r="CQ185" s="208">
        <f t="shared" si="36"/>
        <v>0</v>
      </c>
      <c r="CR185" s="209">
        <f t="shared" si="37"/>
        <v>0</v>
      </c>
      <c r="CS185" s="49"/>
      <c r="CT185" s="49"/>
      <c r="CU185" s="49"/>
      <c r="CV185" s="49"/>
      <c r="CW185" s="49"/>
      <c r="CX185" s="49"/>
      <c r="CY185" s="49"/>
      <c r="CZ185" s="49"/>
      <c r="DA185" s="49"/>
      <c r="DB185" s="49"/>
      <c r="DC185" s="49"/>
      <c r="DD185" s="49"/>
      <c r="DE185" s="49"/>
      <c r="DF185" s="49"/>
      <c r="DG185" s="49"/>
      <c r="DH185" s="49"/>
      <c r="DI185" s="49"/>
      <c r="DJ185" s="49"/>
      <c r="DK185" s="49"/>
      <c r="DL185" s="49"/>
      <c r="DM185" s="49"/>
      <c r="DN185" s="49"/>
      <c r="DO185" s="49"/>
      <c r="DP185" s="49"/>
      <c r="DQ185" s="49"/>
      <c r="DR185" s="49"/>
      <c r="DS185" s="49"/>
      <c r="DT185" s="49"/>
      <c r="DU185" s="49"/>
      <c r="DV185" s="49"/>
      <c r="DW185" s="49"/>
      <c r="DX185" s="49"/>
      <c r="DY185" s="49"/>
      <c r="DZ185" s="49"/>
      <c r="EA185" s="49"/>
      <c r="EB185" s="49"/>
      <c r="EC185" s="49"/>
      <c r="ED185" s="49"/>
      <c r="EE185" s="49"/>
      <c r="EF185" s="49"/>
      <c r="EG185" s="49"/>
      <c r="EH185" s="49"/>
      <c r="EI185" s="49"/>
      <c r="EJ185" s="49"/>
      <c r="EK185" s="49"/>
      <c r="EL185" s="49"/>
      <c r="EM185" s="49"/>
      <c r="EN185" s="49"/>
      <c r="EO185" s="49"/>
      <c r="EP185" s="49"/>
      <c r="EQ185" s="49"/>
      <c r="ER185" s="49"/>
      <c r="ES185" s="49"/>
      <c r="ET185" s="49"/>
      <c r="EU185" s="49"/>
      <c r="EV185" s="49"/>
      <c r="EW185" s="49"/>
      <c r="EX185" s="49"/>
      <c r="EY185" s="49"/>
      <c r="EZ185" s="49"/>
      <c r="FA185" s="49"/>
    </row>
    <row r="186" spans="1:157" s="210" customFormat="1" ht="25.5" x14ac:dyDescent="0.25">
      <c r="A186" s="113">
        <f>IF(AND('[1]Cockpit Retorno'!$E$67=Sim,Mestre!M186=Mestre!$M$98),0,1)</f>
        <v>1</v>
      </c>
      <c r="B186" s="113">
        <f>IF(AND('[1]Cockpit Retorno'!$E$67=Sim,Mestre!L186=Mestre!$L$48),0,1)</f>
        <v>1</v>
      </c>
      <c r="C186" s="113">
        <f>IF(AND('[1]Cockpit Retorno'!$E$67=Sim,Mestre!M186=Mestre!$M$97),0,1)</f>
        <v>1</v>
      </c>
      <c r="D186" s="148" t="s">
        <v>7</v>
      </c>
      <c r="E186" s="115"/>
      <c r="F186" s="116" t="s">
        <v>107</v>
      </c>
      <c r="G186" s="149">
        <v>18</v>
      </c>
      <c r="H186" s="150" t="s">
        <v>7</v>
      </c>
      <c r="I186" s="151" t="str">
        <f t="shared" si="26"/>
        <v>Mercadorias</v>
      </c>
      <c r="J186" s="150" t="s">
        <v>15</v>
      </c>
      <c r="K186" s="152" t="s">
        <v>7</v>
      </c>
      <c r="L186" s="153" t="s">
        <v>21</v>
      </c>
      <c r="M186" s="154" t="s">
        <v>290</v>
      </c>
      <c r="N186" s="155" t="s">
        <v>309</v>
      </c>
      <c r="O186" s="155" t="s">
        <v>292</v>
      </c>
      <c r="P186" s="155" t="s">
        <v>43</v>
      </c>
      <c r="Q186" s="155" t="s">
        <v>43</v>
      </c>
      <c r="R186" s="155" t="s">
        <v>43</v>
      </c>
      <c r="S186" s="156" t="s">
        <v>43</v>
      </c>
      <c r="T186" s="156" t="s">
        <v>43</v>
      </c>
      <c r="U186" s="150" t="s">
        <v>43</v>
      </c>
      <c r="V186" s="150" t="s">
        <v>43</v>
      </c>
      <c r="W186" s="150" t="s">
        <v>43</v>
      </c>
      <c r="X186" s="157" t="s">
        <v>339</v>
      </c>
      <c r="Y186" s="150"/>
      <c r="Z186" s="150"/>
      <c r="AA186" s="158">
        <v>0</v>
      </c>
      <c r="AB186" s="155" t="s">
        <v>43</v>
      </c>
      <c r="AC186" s="150" t="s">
        <v>43</v>
      </c>
      <c r="AD186" s="155" t="s">
        <v>43</v>
      </c>
      <c r="AE186" s="155"/>
      <c r="AF186" s="150" t="s">
        <v>43</v>
      </c>
      <c r="AG186" s="159">
        <v>420</v>
      </c>
      <c r="AH186" s="159">
        <v>126.81480000000002</v>
      </c>
      <c r="AI186" s="202">
        <v>0</v>
      </c>
      <c r="AJ186" s="161">
        <v>7.0000000000000007E-2</v>
      </c>
      <c r="AK186" s="162">
        <v>0.05</v>
      </c>
      <c r="AL186" s="163"/>
      <c r="AM186" s="164">
        <f>(((IF(L186=$L$101,1,IF(L186=$L$47,1,0))*(AH186*(1-AK186)))*AG186)*(1-AL186))</f>
        <v>0</v>
      </c>
      <c r="AN186" s="165">
        <f>IF(K186=$K$50,AM186,IF(K186=$K$53,AM186,IF(K186=$K$54,AM186,IF(K186=$K$55,AM186,IF(K186=$K$56,AM186,IF(K186=$K$57,AM186,IF(K186=$K$58,AM186,IF(K186=$K$65,AM186,IF(K186=$K$66,AM186,IF(K186=$K$67,AM186,IF(K186=$K$68,AM186,IF(K186=$K$69,AM186,IF(K186=$K$51,AM186,(AM186*(1+AI186)))))))))))))))</f>
        <v>0</v>
      </c>
      <c r="AO186" s="166">
        <v>1.4</v>
      </c>
      <c r="AP186" s="160">
        <f t="shared" si="27"/>
        <v>0</v>
      </c>
      <c r="AQ186" s="167">
        <f t="shared" si="24"/>
        <v>0</v>
      </c>
      <c r="AR186" s="160">
        <f t="shared" si="28"/>
        <v>0</v>
      </c>
      <c r="AS186" s="168">
        <f t="shared" si="29"/>
        <v>0</v>
      </c>
      <c r="AT186" s="169" t="str">
        <f>K186</f>
        <v>MI</v>
      </c>
      <c r="AU186" s="169" t="str">
        <f>I186</f>
        <v>Mercadorias</v>
      </c>
      <c r="AV186" s="170"/>
      <c r="AW186" s="171">
        <f>IF(K186=$K$50,0,IF(K186=$K$53,0,IF(K186=$K$54,0,IF(K186=$K$55,0,IF(K186=$K$56,0,IF(K186=$K$57,0,IF(K186=$K$58,0,IF(K186=$K$65,0,IF(K186=$K$66,0,IF(K186=$K$67,0,IF(K186=$K$68,0,IF(K186=$K$69,0,IF(K186=$K$51,0,1))))))))))))*AM186*AI186)</f>
        <v>0</v>
      </c>
      <c r="AX186" s="172">
        <f>IF(K186=$K$50,0,IF(K186=$K$53,0,IF(K186=$K$54,0,IF(K186=$K$55,0,IF(K186=$K$56,0,IF(K186=$K$57,0,IF(K186=$K$58,0,IF(K186=$K$65,0,IF(K186=$K$66,0,IF(K186=$K$67,0,IF(K186=$K$68,0,IF(K186=$K$69,0,IF(K186=$K$51,0,1))))))))))))*AM186*AJ186*$AX$94)</f>
        <v>0</v>
      </c>
      <c r="AY186" s="172">
        <f>IF(K186=$K$53,0,IF(K186=$K$54,0,IF(K186=$K$55,0,IF(K186=$K$56,0,IF(K186=$K$58,0,IF(K186=$K$50,0,IF(K186=$K$65,0,IF(K186=$K$57,0,IF(K186=$K$51,0,AM186*$AY$102)))))))))</f>
        <v>0</v>
      </c>
      <c r="AZ186" s="172">
        <f>IF(K186=$K$53,0,IF(K186=$K$54,0,IF(K186=$K$55,0,IF(K186=$K$56,0,IF(K186=$K$58,0,IF(K186=$K$50,0,IF(K186=$K$65,0,IF(K186=$K$57,0,IF(K186=$K$51,0,AM186*$AZ$102)))))))))</f>
        <v>0</v>
      </c>
      <c r="BA186" s="172">
        <f t="shared" si="30"/>
        <v>0</v>
      </c>
      <c r="BB186" s="173">
        <f>IF($BA$97=1,AQ186*$BB$102,IF(K186=$K$50,0,IF(K186=$K$53,0,IF(K186=$K$54,0,IF(K186=$K$55,0,IF(K186=$K$56,0,IF(K186=$K$57,0,IF(K186=$K$58,0,IF(K186=$K$65,0,IF(K186=$K$66,0,IF(K186=$K$67,0,IF(K186=$K$68,0,IF(K186=$K$69,0,IF(K186=$K$51,0,1)))))))))))*AQ186*$BB$102)))</f>
        <v>0</v>
      </c>
      <c r="BC186" s="172">
        <f t="shared" si="31"/>
        <v>0</v>
      </c>
      <c r="BD186" s="172">
        <f t="shared" si="32"/>
        <v>0</v>
      </c>
      <c r="BE186" s="172">
        <f>IF($BE$95=I186,$BE$97,IF(I186=$BE$96,$BE$97,1))*($BE$102*AQ186)*$AZ$97</f>
        <v>0</v>
      </c>
      <c r="BF186" s="172">
        <f>IF('[1]Cockpit Retorno'!$C$65=Sim,Mestre!BA186,SUM(BB186:BE186)+(IF(K186=$K$56,AQ186*MOE_IRRF_LR,0)))</f>
        <v>0</v>
      </c>
      <c r="BG186" s="174">
        <f>IF(AA186&gt;0,0,IF(Z186=$Z$82,AG186*1,(IF(Z186=$Z$81,AG186*1,0))))</f>
        <v>0</v>
      </c>
      <c r="BH186" s="174">
        <f>IF(AA186&gt;0,0,IF(Z186=$Z$83,AG186*1,IF(Z186=$Z$81,AG186*1,0)))</f>
        <v>0</v>
      </c>
      <c r="BI186" s="174">
        <f>IF(AA186&gt;0,0,IF(Z186=$Z$84,AG186*1,IF(Z186=$Z$93,AG186*2,IF(Z186=$Z$100,AG186,IF(Z186=$Z$81,AG186*2,IF(Z186=$Z$80,AG186*1,IF(Z186=$Z$79,AG186*3,IF(Z186=$Z$78,AG186*2,0))))))))</f>
        <v>0</v>
      </c>
      <c r="BJ186" s="174">
        <f>IF(AA186&gt;0,0,IF(Z186=$Z$85,AG186,IF(Z186=$Z$93,AG186,IF(Z186=$Z$100,AG186,IF(Z186=$Z$81,AG186*1,IF(Z186=$Z$80,AG186*2,IF(Z186=$Z$79,AG186*2,IF(Z186=$Z$78,AG186*2,0))))))))</f>
        <v>0</v>
      </c>
      <c r="BK186" s="174">
        <f>IF(AA186&gt;0,0,IF(Z186=$Z$92,AG186,0))</f>
        <v>0</v>
      </c>
      <c r="BL186" s="174">
        <f>IF(AA186&gt;0,0,IF(Z186=$Z$91,AG186,0))</f>
        <v>0</v>
      </c>
      <c r="BM186" s="174">
        <f>IF(AA186&gt;0,0,IF(Z186=$Z$86,AG186,0))</f>
        <v>0</v>
      </c>
      <c r="BN186" s="174">
        <f>IF(AA186&gt;0,0,IF(Z186=$Z$87,AG186,0))</f>
        <v>0</v>
      </c>
      <c r="BO186" s="174">
        <f>IF(AA186&gt;0,0,IF(Z186=$Z$88,AG186,0))</f>
        <v>0</v>
      </c>
      <c r="BP186" s="174">
        <f>IF(AA186&gt;0,0,IF(Z186=$Z$89,AG186,0))</f>
        <v>0</v>
      </c>
      <c r="BQ186" s="174">
        <f>IF(AA186&gt;0,0,IF(Z186=$Z$90,AG186,0))</f>
        <v>0</v>
      </c>
      <c r="BR186" s="174">
        <f>IF(Z186=$Z$82,AA186*AG186,0)</f>
        <v>0</v>
      </c>
      <c r="BS186" s="174">
        <f>IF(Z186=$Z$83,AA186*AG186,0)</f>
        <v>0</v>
      </c>
      <c r="BT186" s="174">
        <f>IF(AA186&lt;1,0,IF(Z186=$Z$84,AA186*AG186,IF(Z186=$Z$93,"ERRO",IF(Z186=$Z$100,"ERRO",0))))</f>
        <v>0</v>
      </c>
      <c r="BU186" s="174">
        <f>IF(AA186&lt;1,0,IF(Z186=$Z$85,AA186*AG186,IF(Z186=$Z$93,"ERRO",IF(Z186=$Z$100,"ERRO",0))))</f>
        <v>0</v>
      </c>
      <c r="BV186" s="174">
        <f>IF(Z186=$Z$92,AA186*AG186,0)</f>
        <v>0</v>
      </c>
      <c r="BW186" s="174">
        <f>IF(Z186=$Z$91,AA186*AG186,0)</f>
        <v>0</v>
      </c>
      <c r="BX186" s="174">
        <f>IF(Z186=$Z$86,AA186*AG186,0)</f>
        <v>0</v>
      </c>
      <c r="BY186" s="174">
        <f>IF(Z186=$Z$87,AA186*AG186,0)</f>
        <v>0</v>
      </c>
      <c r="BZ186" s="174">
        <f>IF(Z186=$Z$88,AA186*AG186,0)</f>
        <v>0</v>
      </c>
      <c r="CA186" s="174">
        <f>IF(Z186=$Z$89,AA186*AG186,0)</f>
        <v>0</v>
      </c>
      <c r="CB186" s="174">
        <f>IF(Z186=$Z$90,AA186*AG186,0)</f>
        <v>0</v>
      </c>
      <c r="CC186" s="175">
        <f>IFERROR(IF(L186=$L$49,AG186*AH186*(1+AI186)*(1-AK186)*(1-AL186),0),0)</f>
        <v>50599.105200000005</v>
      </c>
      <c r="CD186" s="203">
        <f>IF(I186=$CD$97,1,IF(I186=$CD$100,2,IF(K186=$K$66,1,IF(K186=$K$69,1,3))))</f>
        <v>1</v>
      </c>
      <c r="CE186" s="203">
        <f t="shared" si="14"/>
        <v>1.07</v>
      </c>
      <c r="CF186" s="204">
        <f t="shared" si="33"/>
        <v>1.2353999999999998</v>
      </c>
      <c r="CG186" s="203">
        <f t="shared" si="15"/>
        <v>1.42</v>
      </c>
      <c r="CH186" s="204">
        <f t="shared" si="34"/>
        <v>1.5478000000000001</v>
      </c>
      <c r="CI186" s="203">
        <f t="shared" si="16"/>
        <v>1.7</v>
      </c>
      <c r="CJ186" s="205">
        <f t="shared" si="38"/>
        <v>1.0486</v>
      </c>
      <c r="CK186" s="205">
        <f t="shared" si="39"/>
        <v>1.148922</v>
      </c>
      <c r="CL186" s="205">
        <f t="shared" si="40"/>
        <v>1.3915999999999999</v>
      </c>
      <c r="CM186" s="205">
        <f t="shared" si="41"/>
        <v>1.501366</v>
      </c>
      <c r="CN186" s="206">
        <f t="shared" si="42"/>
        <v>1.6319999999999999</v>
      </c>
      <c r="CO186" s="204">
        <f t="shared" si="25"/>
        <v>1.006656</v>
      </c>
      <c r="CP186" s="207">
        <f t="shared" si="35"/>
        <v>0</v>
      </c>
      <c r="CQ186" s="208">
        <f t="shared" si="36"/>
        <v>0</v>
      </c>
      <c r="CR186" s="209">
        <f t="shared" si="37"/>
        <v>0</v>
      </c>
      <c r="CS186" s="49"/>
      <c r="CT186" s="49"/>
      <c r="CU186" s="49"/>
      <c r="CV186" s="49"/>
      <c r="CW186" s="49"/>
      <c r="CX186" s="49"/>
      <c r="CY186" s="49"/>
      <c r="CZ186" s="49"/>
      <c r="DA186" s="49"/>
      <c r="DB186" s="49"/>
      <c r="DC186" s="49"/>
      <c r="DD186" s="49"/>
      <c r="DE186" s="49"/>
      <c r="DF186" s="49"/>
      <c r="DG186" s="49"/>
      <c r="DH186" s="49"/>
      <c r="DI186" s="49"/>
      <c r="DJ186" s="49"/>
      <c r="DK186" s="49"/>
      <c r="DL186" s="49"/>
      <c r="DM186" s="49"/>
      <c r="DN186" s="49"/>
      <c r="DO186" s="49"/>
      <c r="DP186" s="49"/>
      <c r="DQ186" s="49"/>
      <c r="DR186" s="49"/>
      <c r="DS186" s="49"/>
      <c r="DT186" s="49"/>
      <c r="DU186" s="49"/>
      <c r="DV186" s="49"/>
      <c r="DW186" s="49"/>
      <c r="DX186" s="49"/>
      <c r="DY186" s="49"/>
      <c r="DZ186" s="49"/>
      <c r="EA186" s="49"/>
      <c r="EB186" s="49"/>
      <c r="EC186" s="49"/>
      <c r="ED186" s="49"/>
      <c r="EE186" s="49"/>
      <c r="EF186" s="49"/>
      <c r="EG186" s="49"/>
      <c r="EH186" s="49"/>
      <c r="EI186" s="49"/>
      <c r="EJ186" s="49"/>
      <c r="EK186" s="49"/>
      <c r="EL186" s="49"/>
      <c r="EM186" s="49"/>
      <c r="EN186" s="49"/>
      <c r="EO186" s="49"/>
      <c r="EP186" s="49"/>
      <c r="EQ186" s="49"/>
      <c r="ER186" s="49"/>
      <c r="ES186" s="49"/>
      <c r="ET186" s="49"/>
      <c r="EU186" s="49"/>
      <c r="EV186" s="49"/>
      <c r="EW186" s="49"/>
      <c r="EX186" s="49"/>
      <c r="EY186" s="49"/>
      <c r="EZ186" s="49"/>
      <c r="FA186" s="49"/>
    </row>
    <row r="187" spans="1:157" s="210" customFormat="1" ht="25.5" x14ac:dyDescent="0.25">
      <c r="A187" s="113">
        <f>IF(AND('[1]Cockpit Retorno'!$E$67=Sim,Mestre!M187=Mestre!$M$98),0,1)</f>
        <v>1</v>
      </c>
      <c r="B187" s="113">
        <f>IF(AND('[1]Cockpit Retorno'!$E$67=Sim,Mestre!L187=Mestre!$L$48),0,1)</f>
        <v>1</v>
      </c>
      <c r="C187" s="113">
        <f>IF(AND('[1]Cockpit Retorno'!$E$67=Sim,Mestre!M187=Mestre!$M$97),0,1)</f>
        <v>1</v>
      </c>
      <c r="D187" s="148" t="s">
        <v>7</v>
      </c>
      <c r="E187" s="115"/>
      <c r="F187" s="116" t="s">
        <v>107</v>
      </c>
      <c r="G187" s="149">
        <v>18</v>
      </c>
      <c r="H187" s="150" t="s">
        <v>7</v>
      </c>
      <c r="I187" s="151" t="str">
        <f t="shared" si="26"/>
        <v>Mercadorias</v>
      </c>
      <c r="J187" s="150" t="s">
        <v>15</v>
      </c>
      <c r="K187" s="152" t="s">
        <v>7</v>
      </c>
      <c r="L187" s="153" t="s">
        <v>21</v>
      </c>
      <c r="M187" s="154" t="s">
        <v>290</v>
      </c>
      <c r="N187" s="155" t="s">
        <v>309</v>
      </c>
      <c r="O187" s="155" t="s">
        <v>292</v>
      </c>
      <c r="P187" s="155" t="s">
        <v>43</v>
      </c>
      <c r="Q187" s="155" t="s">
        <v>43</v>
      </c>
      <c r="R187" s="155" t="s">
        <v>43</v>
      </c>
      <c r="S187" s="156" t="s">
        <v>43</v>
      </c>
      <c r="T187" s="156" t="s">
        <v>43</v>
      </c>
      <c r="U187" s="150" t="s">
        <v>43</v>
      </c>
      <c r="V187" s="150" t="s">
        <v>43</v>
      </c>
      <c r="W187" s="150" t="s">
        <v>43</v>
      </c>
      <c r="X187" s="157" t="s">
        <v>340</v>
      </c>
      <c r="Y187" s="150"/>
      <c r="Z187" s="150"/>
      <c r="AA187" s="158">
        <v>0</v>
      </c>
      <c r="AB187" s="155" t="s">
        <v>43</v>
      </c>
      <c r="AC187" s="150" t="s">
        <v>43</v>
      </c>
      <c r="AD187" s="155" t="s">
        <v>43</v>
      </c>
      <c r="AE187" s="155"/>
      <c r="AF187" s="150" t="s">
        <v>43</v>
      </c>
      <c r="AG187" s="159">
        <v>6</v>
      </c>
      <c r="AH187" s="159">
        <v>226.56660000000002</v>
      </c>
      <c r="AI187" s="202">
        <v>0</v>
      </c>
      <c r="AJ187" s="161">
        <v>7.0000000000000007E-2</v>
      </c>
      <c r="AK187" s="162">
        <v>0.05</v>
      </c>
      <c r="AL187" s="163"/>
      <c r="AM187" s="164">
        <f>(((IF(L187=$L$101,1,IF(L187=$L$47,1,0))*(AH187*(1-AK187)))*AG187)*(1-AL187))</f>
        <v>0</v>
      </c>
      <c r="AN187" s="165">
        <f>IF(K187=$K$50,AM187,IF(K187=$K$53,AM187,IF(K187=$K$54,AM187,IF(K187=$K$55,AM187,IF(K187=$K$56,AM187,IF(K187=$K$57,AM187,IF(K187=$K$58,AM187,IF(K187=$K$65,AM187,IF(K187=$K$66,AM187,IF(K187=$K$67,AM187,IF(K187=$K$68,AM187,IF(K187=$K$69,AM187,IF(K187=$K$51,AM187,(AM187*(1+AI187)))))))))))))))</f>
        <v>0</v>
      </c>
      <c r="AO187" s="166">
        <v>1.4</v>
      </c>
      <c r="AP187" s="160">
        <f t="shared" si="27"/>
        <v>0</v>
      </c>
      <c r="AQ187" s="167">
        <f t="shared" si="24"/>
        <v>0</v>
      </c>
      <c r="AR187" s="160">
        <f t="shared" si="28"/>
        <v>0</v>
      </c>
      <c r="AS187" s="168">
        <f t="shared" si="29"/>
        <v>0</v>
      </c>
      <c r="AT187" s="169" t="str">
        <f>K187</f>
        <v>MI</v>
      </c>
      <c r="AU187" s="169" t="str">
        <f>I187</f>
        <v>Mercadorias</v>
      </c>
      <c r="AV187" s="170"/>
      <c r="AW187" s="171">
        <f>IF(K187=$K$50,0,IF(K187=$K$53,0,IF(K187=$K$54,0,IF(K187=$K$55,0,IF(K187=$K$56,0,IF(K187=$K$57,0,IF(K187=$K$58,0,IF(K187=$K$65,0,IF(K187=$K$66,0,IF(K187=$K$67,0,IF(K187=$K$68,0,IF(K187=$K$69,0,IF(K187=$K$51,0,1))))))))))))*AM187*AI187)</f>
        <v>0</v>
      </c>
      <c r="AX187" s="172">
        <f>IF(K187=$K$50,0,IF(K187=$K$53,0,IF(K187=$K$54,0,IF(K187=$K$55,0,IF(K187=$K$56,0,IF(K187=$K$57,0,IF(K187=$K$58,0,IF(K187=$K$65,0,IF(K187=$K$66,0,IF(K187=$K$67,0,IF(K187=$K$68,0,IF(K187=$K$69,0,IF(K187=$K$51,0,1))))))))))))*AM187*AJ187*$AX$94)</f>
        <v>0</v>
      </c>
      <c r="AY187" s="172">
        <f>IF(K187=$K$53,0,IF(K187=$K$54,0,IF(K187=$K$55,0,IF(K187=$K$56,0,IF(K187=$K$58,0,IF(K187=$K$50,0,IF(K187=$K$65,0,IF(K187=$K$57,0,IF(K187=$K$51,0,AM187*$AY$102)))))))))</f>
        <v>0</v>
      </c>
      <c r="AZ187" s="172">
        <f>IF(K187=$K$53,0,IF(K187=$K$54,0,IF(K187=$K$55,0,IF(K187=$K$56,0,IF(K187=$K$58,0,IF(K187=$K$50,0,IF(K187=$K$65,0,IF(K187=$K$57,0,IF(K187=$K$51,0,AM187*$AZ$102)))))))))</f>
        <v>0</v>
      </c>
      <c r="BA187" s="172">
        <f t="shared" si="30"/>
        <v>0</v>
      </c>
      <c r="BB187" s="173">
        <f>IF($BA$97=1,AQ187*$BB$102,IF(K187=$K$50,0,IF(K187=$K$53,0,IF(K187=$K$54,0,IF(K187=$K$55,0,IF(K187=$K$56,0,IF(K187=$K$57,0,IF(K187=$K$58,0,IF(K187=$K$65,0,IF(K187=$K$66,0,IF(K187=$K$67,0,IF(K187=$K$68,0,IF(K187=$K$69,0,IF(K187=$K$51,0,1)))))))))))*AQ187*$BB$102)))</f>
        <v>0</v>
      </c>
      <c r="BC187" s="172">
        <f t="shared" si="31"/>
        <v>0</v>
      </c>
      <c r="BD187" s="172">
        <f t="shared" si="32"/>
        <v>0</v>
      </c>
      <c r="BE187" s="172">
        <f>IF($BE$95=I187,$BE$97,IF(I187=$BE$96,$BE$97,1))*($BE$102*AQ187)*$AZ$97</f>
        <v>0</v>
      </c>
      <c r="BF187" s="172">
        <f>IF('[1]Cockpit Retorno'!$C$65=Sim,Mestre!BA187,SUM(BB187:BE187)+(IF(K187=$K$56,AQ187*MOE_IRRF_LR,0)))</f>
        <v>0</v>
      </c>
      <c r="BG187" s="174">
        <f>IF(AA187&gt;0,0,IF(Z187=$Z$82,AG187*1,(IF(Z187=$Z$81,AG187*1,0))))</f>
        <v>0</v>
      </c>
      <c r="BH187" s="174">
        <f>IF(AA187&gt;0,0,IF(Z187=$Z$83,AG187*1,IF(Z187=$Z$81,AG187*1,0)))</f>
        <v>0</v>
      </c>
      <c r="BI187" s="174">
        <f>IF(AA187&gt;0,0,IF(Z187=$Z$84,AG187*1,IF(Z187=$Z$93,AG187*2,IF(Z187=$Z$100,AG187,IF(Z187=$Z$81,AG187*2,IF(Z187=$Z$80,AG187*1,IF(Z187=$Z$79,AG187*3,IF(Z187=$Z$78,AG187*2,0))))))))</f>
        <v>0</v>
      </c>
      <c r="BJ187" s="174">
        <f>IF(AA187&gt;0,0,IF(Z187=$Z$85,AG187,IF(Z187=$Z$93,AG187,IF(Z187=$Z$100,AG187,IF(Z187=$Z$81,AG187*1,IF(Z187=$Z$80,AG187*2,IF(Z187=$Z$79,AG187*2,IF(Z187=$Z$78,AG187*2,0))))))))</f>
        <v>0</v>
      </c>
      <c r="BK187" s="174">
        <f>IF(AA187&gt;0,0,IF(Z187=$Z$92,AG187,0))</f>
        <v>0</v>
      </c>
      <c r="BL187" s="174">
        <f>IF(AA187&gt;0,0,IF(Z187=$Z$91,AG187,0))</f>
        <v>0</v>
      </c>
      <c r="BM187" s="174">
        <f>IF(AA187&gt;0,0,IF(Z187=$Z$86,AG187,0))</f>
        <v>0</v>
      </c>
      <c r="BN187" s="174">
        <f>IF(AA187&gt;0,0,IF(Z187=$Z$87,AG187,0))</f>
        <v>0</v>
      </c>
      <c r="BO187" s="174">
        <f>IF(AA187&gt;0,0,IF(Z187=$Z$88,AG187,0))</f>
        <v>0</v>
      </c>
      <c r="BP187" s="174">
        <f>IF(AA187&gt;0,0,IF(Z187=$Z$89,AG187,0))</f>
        <v>0</v>
      </c>
      <c r="BQ187" s="174">
        <f>IF(AA187&gt;0,0,IF(Z187=$Z$90,AG187,0))</f>
        <v>0</v>
      </c>
      <c r="BR187" s="174">
        <f>IF(Z187=$Z$82,AA187*AG187,0)</f>
        <v>0</v>
      </c>
      <c r="BS187" s="174">
        <f>IF(Z187=$Z$83,AA187*AG187,0)</f>
        <v>0</v>
      </c>
      <c r="BT187" s="174">
        <f>IF(AA187&lt;1,0,IF(Z187=$Z$84,AA187*AG187,IF(Z187=$Z$93,"ERRO",IF(Z187=$Z$100,"ERRO",0))))</f>
        <v>0</v>
      </c>
      <c r="BU187" s="174">
        <f>IF(AA187&lt;1,0,IF(Z187=$Z$85,AA187*AG187,IF(Z187=$Z$93,"ERRO",IF(Z187=$Z$100,"ERRO",0))))</f>
        <v>0</v>
      </c>
      <c r="BV187" s="174">
        <f>IF(Z187=$Z$92,AA187*AG187,0)</f>
        <v>0</v>
      </c>
      <c r="BW187" s="174">
        <f>IF(Z187=$Z$91,AA187*AG187,0)</f>
        <v>0</v>
      </c>
      <c r="BX187" s="174">
        <f>IF(Z187=$Z$86,AA187*AG187,0)</f>
        <v>0</v>
      </c>
      <c r="BY187" s="174">
        <f>IF(Z187=$Z$87,AA187*AG187,0)</f>
        <v>0</v>
      </c>
      <c r="BZ187" s="174">
        <f>IF(Z187=$Z$88,AA187*AG187,0)</f>
        <v>0</v>
      </c>
      <c r="CA187" s="174">
        <f>IF(Z187=$Z$89,AA187*AG187,0)</f>
        <v>0</v>
      </c>
      <c r="CB187" s="174">
        <f>IF(Z187=$Z$90,AA187*AG187,0)</f>
        <v>0</v>
      </c>
      <c r="CC187" s="175">
        <f>IFERROR(IF(L187=$L$49,AG187*AH187*(1+AI187)*(1-AK187)*(1-AL187),0),0)</f>
        <v>1291.4296200000001</v>
      </c>
      <c r="CD187" s="203">
        <f>IF(I187=$CD$97,1,IF(I187=$CD$100,2,IF(K187=$K$66,1,IF(K187=$K$69,1,3))))</f>
        <v>1</v>
      </c>
      <c r="CE187" s="203">
        <f t="shared" si="14"/>
        <v>1.07</v>
      </c>
      <c r="CF187" s="204">
        <f t="shared" si="33"/>
        <v>1.2353999999999998</v>
      </c>
      <c r="CG187" s="203">
        <f t="shared" si="15"/>
        <v>1.42</v>
      </c>
      <c r="CH187" s="204">
        <f t="shared" si="34"/>
        <v>1.5478000000000001</v>
      </c>
      <c r="CI187" s="203">
        <f t="shared" si="16"/>
        <v>1.7</v>
      </c>
      <c r="CJ187" s="205">
        <f t="shared" si="38"/>
        <v>1.0486</v>
      </c>
      <c r="CK187" s="205">
        <f t="shared" si="39"/>
        <v>1.148922</v>
      </c>
      <c r="CL187" s="205">
        <f t="shared" si="40"/>
        <v>1.3915999999999999</v>
      </c>
      <c r="CM187" s="205">
        <f t="shared" si="41"/>
        <v>1.501366</v>
      </c>
      <c r="CN187" s="206">
        <f t="shared" si="42"/>
        <v>1.6319999999999999</v>
      </c>
      <c r="CO187" s="204">
        <f t="shared" si="25"/>
        <v>1.006656</v>
      </c>
      <c r="CP187" s="207">
        <f t="shared" si="35"/>
        <v>0</v>
      </c>
      <c r="CQ187" s="208">
        <f t="shared" si="36"/>
        <v>0</v>
      </c>
      <c r="CR187" s="209">
        <f t="shared" si="37"/>
        <v>0</v>
      </c>
      <c r="CS187" s="49"/>
      <c r="CT187" s="49"/>
      <c r="CU187" s="49"/>
      <c r="CV187" s="49"/>
      <c r="CW187" s="49"/>
      <c r="CX187" s="49"/>
      <c r="CY187" s="49"/>
      <c r="CZ187" s="49"/>
      <c r="DA187" s="49"/>
      <c r="DB187" s="49"/>
      <c r="DC187" s="49"/>
      <c r="DD187" s="49"/>
      <c r="DE187" s="49"/>
      <c r="DF187" s="49"/>
      <c r="DG187" s="49"/>
      <c r="DH187" s="49"/>
      <c r="DI187" s="49"/>
      <c r="DJ187" s="49"/>
      <c r="DK187" s="49"/>
      <c r="DL187" s="49"/>
      <c r="DM187" s="49"/>
      <c r="DN187" s="49"/>
      <c r="DO187" s="49"/>
      <c r="DP187" s="49"/>
      <c r="DQ187" s="49"/>
      <c r="DR187" s="49"/>
      <c r="DS187" s="49"/>
      <c r="DT187" s="49"/>
      <c r="DU187" s="49"/>
      <c r="DV187" s="49"/>
      <c r="DW187" s="49"/>
      <c r="DX187" s="49"/>
      <c r="DY187" s="49"/>
      <c r="DZ187" s="49"/>
      <c r="EA187" s="49"/>
      <c r="EB187" s="49"/>
      <c r="EC187" s="49"/>
      <c r="ED187" s="49"/>
      <c r="EE187" s="49"/>
      <c r="EF187" s="49"/>
      <c r="EG187" s="49"/>
      <c r="EH187" s="49"/>
      <c r="EI187" s="49"/>
      <c r="EJ187" s="49"/>
      <c r="EK187" s="49"/>
      <c r="EL187" s="49"/>
      <c r="EM187" s="49"/>
      <c r="EN187" s="49"/>
      <c r="EO187" s="49"/>
      <c r="EP187" s="49"/>
      <c r="EQ187" s="49"/>
      <c r="ER187" s="49"/>
      <c r="ES187" s="49"/>
      <c r="ET187" s="49"/>
      <c r="EU187" s="49"/>
      <c r="EV187" s="49"/>
      <c r="EW187" s="49"/>
      <c r="EX187" s="49"/>
      <c r="EY187" s="49"/>
      <c r="EZ187" s="49"/>
      <c r="FA187" s="49"/>
    </row>
    <row r="188" spans="1:157" s="210" customFormat="1" ht="25.5" x14ac:dyDescent="0.25">
      <c r="A188" s="113">
        <f>IF(AND('[1]Cockpit Retorno'!$E$67=Sim,Mestre!M188=Mestre!$M$98),0,1)</f>
        <v>1</v>
      </c>
      <c r="B188" s="113">
        <f>IF(AND('[1]Cockpit Retorno'!$E$67=Sim,Mestre!L188=Mestre!$L$48),0,1)</f>
        <v>1</v>
      </c>
      <c r="C188" s="113">
        <f>IF(AND('[1]Cockpit Retorno'!$E$67=Sim,Mestre!M188=Mestre!$M$97),0,1)</f>
        <v>1</v>
      </c>
      <c r="D188" s="148" t="s">
        <v>7</v>
      </c>
      <c r="E188" s="115"/>
      <c r="F188" s="116" t="s">
        <v>107</v>
      </c>
      <c r="G188" s="149">
        <v>18</v>
      </c>
      <c r="H188" s="150" t="s">
        <v>7</v>
      </c>
      <c r="I188" s="151" t="str">
        <f t="shared" si="26"/>
        <v>Mercadorias</v>
      </c>
      <c r="J188" s="150" t="s">
        <v>15</v>
      </c>
      <c r="K188" s="152" t="s">
        <v>7</v>
      </c>
      <c r="L188" s="153" t="s">
        <v>21</v>
      </c>
      <c r="M188" s="154" t="s">
        <v>290</v>
      </c>
      <c r="N188" s="155" t="s">
        <v>309</v>
      </c>
      <c r="O188" s="155" t="s">
        <v>292</v>
      </c>
      <c r="P188" s="155" t="s">
        <v>43</v>
      </c>
      <c r="Q188" s="155" t="s">
        <v>43</v>
      </c>
      <c r="R188" s="155" t="s">
        <v>43</v>
      </c>
      <c r="S188" s="156" t="s">
        <v>43</v>
      </c>
      <c r="T188" s="156" t="s">
        <v>43</v>
      </c>
      <c r="U188" s="150" t="s">
        <v>43</v>
      </c>
      <c r="V188" s="150" t="s">
        <v>43</v>
      </c>
      <c r="W188" s="150" t="s">
        <v>43</v>
      </c>
      <c r="X188" s="157" t="s">
        <v>341</v>
      </c>
      <c r="Y188" s="150"/>
      <c r="Z188" s="150"/>
      <c r="AA188" s="158">
        <v>0</v>
      </c>
      <c r="AB188" s="155" t="s">
        <v>43</v>
      </c>
      <c r="AC188" s="150" t="s">
        <v>43</v>
      </c>
      <c r="AD188" s="155" t="s">
        <v>43</v>
      </c>
      <c r="AE188" s="155"/>
      <c r="AF188" s="150" t="s">
        <v>43</v>
      </c>
      <c r="AG188" s="159">
        <v>330</v>
      </c>
      <c r="AH188" s="159">
        <v>278.82330000000002</v>
      </c>
      <c r="AI188" s="202">
        <v>0</v>
      </c>
      <c r="AJ188" s="161">
        <v>7.0000000000000007E-2</v>
      </c>
      <c r="AK188" s="162">
        <v>0.05</v>
      </c>
      <c r="AL188" s="163"/>
      <c r="AM188" s="164">
        <f>(((IF(L188=$L$101,1,IF(L188=$L$47,1,0))*(AH188*(1-AK188)))*AG188)*(1-AL188))</f>
        <v>0</v>
      </c>
      <c r="AN188" s="165">
        <f>IF(K188=$K$50,AM188,IF(K188=$K$53,AM188,IF(K188=$K$54,AM188,IF(K188=$K$55,AM188,IF(K188=$K$56,AM188,IF(K188=$K$57,AM188,IF(K188=$K$58,AM188,IF(K188=$K$65,AM188,IF(K188=$K$66,AM188,IF(K188=$K$67,AM188,IF(K188=$K$68,AM188,IF(K188=$K$69,AM188,IF(K188=$K$51,AM188,(AM188*(1+AI188)))))))))))))))</f>
        <v>0</v>
      </c>
      <c r="AO188" s="166">
        <v>1.4</v>
      </c>
      <c r="AP188" s="160">
        <f t="shared" si="27"/>
        <v>0</v>
      </c>
      <c r="AQ188" s="167">
        <f t="shared" si="24"/>
        <v>0</v>
      </c>
      <c r="AR188" s="160">
        <f t="shared" si="28"/>
        <v>0</v>
      </c>
      <c r="AS188" s="168">
        <f t="shared" si="29"/>
        <v>0</v>
      </c>
      <c r="AT188" s="169" t="str">
        <f>K188</f>
        <v>MI</v>
      </c>
      <c r="AU188" s="169" t="str">
        <f>I188</f>
        <v>Mercadorias</v>
      </c>
      <c r="AV188" s="170"/>
      <c r="AW188" s="171">
        <f>IF(K188=$K$50,0,IF(K188=$K$53,0,IF(K188=$K$54,0,IF(K188=$K$55,0,IF(K188=$K$56,0,IF(K188=$K$57,0,IF(K188=$K$58,0,IF(K188=$K$65,0,IF(K188=$K$66,0,IF(K188=$K$67,0,IF(K188=$K$68,0,IF(K188=$K$69,0,IF(K188=$K$51,0,1))))))))))))*AM188*AI188)</f>
        <v>0</v>
      </c>
      <c r="AX188" s="172">
        <f>IF(K188=$K$50,0,IF(K188=$K$53,0,IF(K188=$K$54,0,IF(K188=$K$55,0,IF(K188=$K$56,0,IF(K188=$K$57,0,IF(K188=$K$58,0,IF(K188=$K$65,0,IF(K188=$K$66,0,IF(K188=$K$67,0,IF(K188=$K$68,0,IF(K188=$K$69,0,IF(K188=$K$51,0,1))))))))))))*AM188*AJ188*$AX$94)</f>
        <v>0</v>
      </c>
      <c r="AY188" s="172">
        <f>IF(K188=$K$53,0,IF(K188=$K$54,0,IF(K188=$K$55,0,IF(K188=$K$56,0,IF(K188=$K$58,0,IF(K188=$K$50,0,IF(K188=$K$65,0,IF(K188=$K$57,0,IF(K188=$K$51,0,AM188*$AY$102)))))))))</f>
        <v>0</v>
      </c>
      <c r="AZ188" s="172">
        <f>IF(K188=$K$53,0,IF(K188=$K$54,0,IF(K188=$K$55,0,IF(K188=$K$56,0,IF(K188=$K$58,0,IF(K188=$K$50,0,IF(K188=$K$65,0,IF(K188=$K$57,0,IF(K188=$K$51,0,AM188*$AZ$102)))))))))</f>
        <v>0</v>
      </c>
      <c r="BA188" s="172">
        <f t="shared" si="30"/>
        <v>0</v>
      </c>
      <c r="BB188" s="173">
        <f>IF($BA$97=1,AQ188*$BB$102,IF(K188=$K$50,0,IF(K188=$K$53,0,IF(K188=$K$54,0,IF(K188=$K$55,0,IF(K188=$K$56,0,IF(K188=$K$57,0,IF(K188=$K$58,0,IF(K188=$K$65,0,IF(K188=$K$66,0,IF(K188=$K$67,0,IF(K188=$K$68,0,IF(K188=$K$69,0,IF(K188=$K$51,0,1)))))))))))*AQ188*$BB$102)))</f>
        <v>0</v>
      </c>
      <c r="BC188" s="172">
        <f t="shared" si="31"/>
        <v>0</v>
      </c>
      <c r="BD188" s="172">
        <f t="shared" si="32"/>
        <v>0</v>
      </c>
      <c r="BE188" s="172">
        <f>IF($BE$95=I188,$BE$97,IF(I188=$BE$96,$BE$97,1))*($BE$102*AQ188)*$AZ$97</f>
        <v>0</v>
      </c>
      <c r="BF188" s="172">
        <f>IF('[1]Cockpit Retorno'!$C$65=Sim,Mestre!BA188,SUM(BB188:BE188)+(IF(K188=$K$56,AQ188*MOE_IRRF_LR,0)))</f>
        <v>0</v>
      </c>
      <c r="BG188" s="174">
        <f>IF(AA188&gt;0,0,IF(Z188=$Z$82,AG188*1,(IF(Z188=$Z$81,AG188*1,0))))</f>
        <v>0</v>
      </c>
      <c r="BH188" s="174">
        <f>IF(AA188&gt;0,0,IF(Z188=$Z$83,AG188*1,IF(Z188=$Z$81,AG188*1,0)))</f>
        <v>0</v>
      </c>
      <c r="BI188" s="174">
        <f>IF(AA188&gt;0,0,IF(Z188=$Z$84,AG188*1,IF(Z188=$Z$93,AG188*2,IF(Z188=$Z$100,AG188,IF(Z188=$Z$81,AG188*2,IF(Z188=$Z$80,AG188*1,IF(Z188=$Z$79,AG188*3,IF(Z188=$Z$78,AG188*2,0))))))))</f>
        <v>0</v>
      </c>
      <c r="BJ188" s="174">
        <f>IF(AA188&gt;0,0,IF(Z188=$Z$85,AG188,IF(Z188=$Z$93,AG188,IF(Z188=$Z$100,AG188,IF(Z188=$Z$81,AG188*1,IF(Z188=$Z$80,AG188*2,IF(Z188=$Z$79,AG188*2,IF(Z188=$Z$78,AG188*2,0))))))))</f>
        <v>0</v>
      </c>
      <c r="BK188" s="174">
        <f>IF(AA188&gt;0,0,IF(Z188=$Z$92,AG188,0))</f>
        <v>0</v>
      </c>
      <c r="BL188" s="174">
        <f>IF(AA188&gt;0,0,IF(Z188=$Z$91,AG188,0))</f>
        <v>0</v>
      </c>
      <c r="BM188" s="174">
        <f>IF(AA188&gt;0,0,IF(Z188=$Z$86,AG188,0))</f>
        <v>0</v>
      </c>
      <c r="BN188" s="174">
        <f>IF(AA188&gt;0,0,IF(Z188=$Z$87,AG188,0))</f>
        <v>0</v>
      </c>
      <c r="BO188" s="174">
        <f>IF(AA188&gt;0,0,IF(Z188=$Z$88,AG188,0))</f>
        <v>0</v>
      </c>
      <c r="BP188" s="174">
        <f>IF(AA188&gt;0,0,IF(Z188=$Z$89,AG188,0))</f>
        <v>0</v>
      </c>
      <c r="BQ188" s="174">
        <f>IF(AA188&gt;0,0,IF(Z188=$Z$90,AG188,0))</f>
        <v>0</v>
      </c>
      <c r="BR188" s="174">
        <f>IF(Z188=$Z$82,AA188*AG188,0)</f>
        <v>0</v>
      </c>
      <c r="BS188" s="174">
        <f>IF(Z188=$Z$83,AA188*AG188,0)</f>
        <v>0</v>
      </c>
      <c r="BT188" s="174">
        <f>IF(AA188&lt;1,0,IF(Z188=$Z$84,AA188*AG188,IF(Z188=$Z$93,"ERRO",IF(Z188=$Z$100,"ERRO",0))))</f>
        <v>0</v>
      </c>
      <c r="BU188" s="174">
        <f>IF(AA188&lt;1,0,IF(Z188=$Z$85,AA188*AG188,IF(Z188=$Z$93,"ERRO",IF(Z188=$Z$100,"ERRO",0))))</f>
        <v>0</v>
      </c>
      <c r="BV188" s="174">
        <f>IF(Z188=$Z$92,AA188*AG188,0)</f>
        <v>0</v>
      </c>
      <c r="BW188" s="174">
        <f>IF(Z188=$Z$91,AA188*AG188,0)</f>
        <v>0</v>
      </c>
      <c r="BX188" s="174">
        <f>IF(Z188=$Z$86,AA188*AG188,0)</f>
        <v>0</v>
      </c>
      <c r="BY188" s="174">
        <f>IF(Z188=$Z$87,AA188*AG188,0)</f>
        <v>0</v>
      </c>
      <c r="BZ188" s="174">
        <f>IF(Z188=$Z$88,AA188*AG188,0)</f>
        <v>0</v>
      </c>
      <c r="CA188" s="174">
        <f>IF(Z188=$Z$89,AA188*AG188,0)</f>
        <v>0</v>
      </c>
      <c r="CB188" s="174">
        <f>IF(Z188=$Z$90,AA188*AG188,0)</f>
        <v>0</v>
      </c>
      <c r="CC188" s="175">
        <f>IFERROR(IF(L188=$L$49,AG188*AH188*(1+AI188)*(1-AK188)*(1-AL188),0),0)</f>
        <v>87411.104550000004</v>
      </c>
      <c r="CD188" s="203">
        <f>IF(I188=$CD$97,1,IF(I188=$CD$100,2,IF(K188=$K$66,1,IF(K188=$K$69,1,3))))</f>
        <v>1</v>
      </c>
      <c r="CE188" s="203">
        <f t="shared" si="14"/>
        <v>1.07</v>
      </c>
      <c r="CF188" s="204">
        <f t="shared" si="33"/>
        <v>1.2353999999999998</v>
      </c>
      <c r="CG188" s="203">
        <f t="shared" si="15"/>
        <v>1.42</v>
      </c>
      <c r="CH188" s="204">
        <f t="shared" si="34"/>
        <v>1.5478000000000001</v>
      </c>
      <c r="CI188" s="203">
        <f t="shared" si="16"/>
        <v>1.7</v>
      </c>
      <c r="CJ188" s="205">
        <f t="shared" si="38"/>
        <v>1.0486</v>
      </c>
      <c r="CK188" s="205">
        <f t="shared" si="39"/>
        <v>1.148922</v>
      </c>
      <c r="CL188" s="205">
        <f t="shared" si="40"/>
        <v>1.3915999999999999</v>
      </c>
      <c r="CM188" s="205">
        <f t="shared" si="41"/>
        <v>1.501366</v>
      </c>
      <c r="CN188" s="206">
        <f t="shared" si="42"/>
        <v>1.6319999999999999</v>
      </c>
      <c r="CO188" s="204">
        <f t="shared" si="25"/>
        <v>1.006656</v>
      </c>
      <c r="CP188" s="207">
        <f t="shared" si="35"/>
        <v>0</v>
      </c>
      <c r="CQ188" s="208">
        <f t="shared" si="36"/>
        <v>0</v>
      </c>
      <c r="CR188" s="209">
        <f t="shared" si="37"/>
        <v>0</v>
      </c>
      <c r="CS188" s="49"/>
      <c r="CT188" s="49"/>
      <c r="CU188" s="49"/>
      <c r="CV188" s="49"/>
      <c r="CW188" s="49"/>
      <c r="CX188" s="49"/>
      <c r="CY188" s="49"/>
      <c r="CZ188" s="49"/>
      <c r="DA188" s="49"/>
      <c r="DB188" s="49"/>
      <c r="DC188" s="49"/>
      <c r="DD188" s="49"/>
      <c r="DE188" s="49"/>
      <c r="DF188" s="49"/>
      <c r="DG188" s="49"/>
      <c r="DH188" s="49"/>
      <c r="DI188" s="49"/>
      <c r="DJ188" s="49"/>
      <c r="DK188" s="49"/>
      <c r="DL188" s="49"/>
      <c r="DM188" s="49"/>
      <c r="DN188" s="49"/>
      <c r="DO188" s="49"/>
      <c r="DP188" s="49"/>
      <c r="DQ188" s="49"/>
      <c r="DR188" s="49"/>
      <c r="DS188" s="49"/>
      <c r="DT188" s="49"/>
      <c r="DU188" s="49"/>
      <c r="DV188" s="49"/>
      <c r="DW188" s="49"/>
      <c r="DX188" s="49"/>
      <c r="DY188" s="49"/>
      <c r="DZ188" s="49"/>
      <c r="EA188" s="49"/>
      <c r="EB188" s="49"/>
      <c r="EC188" s="49"/>
      <c r="ED188" s="49"/>
      <c r="EE188" s="49"/>
      <c r="EF188" s="49"/>
      <c r="EG188" s="49"/>
      <c r="EH188" s="49"/>
      <c r="EI188" s="49"/>
      <c r="EJ188" s="49"/>
      <c r="EK188" s="49"/>
      <c r="EL188" s="49"/>
      <c r="EM188" s="49"/>
      <c r="EN188" s="49"/>
      <c r="EO188" s="49"/>
      <c r="EP188" s="49"/>
      <c r="EQ188" s="49"/>
      <c r="ER188" s="49"/>
      <c r="ES188" s="49"/>
      <c r="ET188" s="49"/>
      <c r="EU188" s="49"/>
      <c r="EV188" s="49"/>
      <c r="EW188" s="49"/>
      <c r="EX188" s="49"/>
      <c r="EY188" s="49"/>
      <c r="EZ188" s="49"/>
      <c r="FA188" s="49"/>
    </row>
    <row r="189" spans="1:157" s="210" customFormat="1" x14ac:dyDescent="0.25">
      <c r="A189" s="113">
        <f>IF(AND('[1]Cockpit Retorno'!$E$67=Sim,Mestre!M189=Mestre!$M$98),0,1)</f>
        <v>1</v>
      </c>
      <c r="B189" s="113">
        <f>IF(AND('[1]Cockpit Retorno'!$E$67=Sim,Mestre!L189=Mestre!$L$48),0,1)</f>
        <v>1</v>
      </c>
      <c r="C189" s="113">
        <f>IF(AND('[1]Cockpit Retorno'!$E$67=Sim,Mestre!M189=Mestre!$M$97),0,1)</f>
        <v>1</v>
      </c>
      <c r="D189" s="148" t="s">
        <v>7</v>
      </c>
      <c r="E189" s="115"/>
      <c r="F189" s="116" t="s">
        <v>107</v>
      </c>
      <c r="G189" s="149"/>
      <c r="H189" s="150" t="s">
        <v>7</v>
      </c>
      <c r="I189" s="151" t="str">
        <f t="shared" si="26"/>
        <v>Mercadorias</v>
      </c>
      <c r="J189" s="150" t="s">
        <v>15</v>
      </c>
      <c r="K189" s="152" t="s">
        <v>7</v>
      </c>
      <c r="L189" s="153" t="s">
        <v>21</v>
      </c>
      <c r="M189" s="154" t="s">
        <v>290</v>
      </c>
      <c r="N189" s="155" t="s">
        <v>309</v>
      </c>
      <c r="O189" s="155" t="s">
        <v>292</v>
      </c>
      <c r="P189" s="155" t="s">
        <v>43</v>
      </c>
      <c r="Q189" s="155" t="s">
        <v>43</v>
      </c>
      <c r="R189" s="155" t="s">
        <v>43</v>
      </c>
      <c r="S189" s="156" t="s">
        <v>43</v>
      </c>
      <c r="T189" s="156" t="s">
        <v>43</v>
      </c>
      <c r="U189" s="150" t="s">
        <v>43</v>
      </c>
      <c r="V189" s="150" t="s">
        <v>43</v>
      </c>
      <c r="W189" s="150" t="s">
        <v>43</v>
      </c>
      <c r="X189" s="157" t="s">
        <v>304</v>
      </c>
      <c r="Y189" s="150"/>
      <c r="Z189" s="150"/>
      <c r="AA189" s="158">
        <v>0</v>
      </c>
      <c r="AB189" s="155" t="s">
        <v>43</v>
      </c>
      <c r="AC189" s="150" t="s">
        <v>43</v>
      </c>
      <c r="AD189" s="155" t="s">
        <v>43</v>
      </c>
      <c r="AE189" s="155"/>
      <c r="AF189" s="150" t="s">
        <v>43</v>
      </c>
      <c r="AG189" s="159">
        <v>1700</v>
      </c>
      <c r="AH189" s="159">
        <v>1.2090000000000001</v>
      </c>
      <c r="AI189" s="202">
        <v>0</v>
      </c>
      <c r="AJ189" s="161">
        <v>7.0000000000000007E-2</v>
      </c>
      <c r="AK189" s="162">
        <v>0.05</v>
      </c>
      <c r="AL189" s="163"/>
      <c r="AM189" s="164">
        <f>(((IF(L189=$L$101,1,IF(L189=$L$47,1,0))*(AH189*(1-AK189)))*AG189)*(1-AL189))</f>
        <v>0</v>
      </c>
      <c r="AN189" s="165">
        <f>IF(K189=$K$50,AM189,IF(K189=$K$53,AM189,IF(K189=$K$54,AM189,IF(K189=$K$55,AM189,IF(K189=$K$56,AM189,IF(K189=$K$57,AM189,IF(K189=$K$58,AM189,IF(K189=$K$65,AM189,IF(K189=$K$66,AM189,IF(K189=$K$67,AM189,IF(K189=$K$68,AM189,IF(K189=$K$69,AM189,IF(K189=$K$51,AM189,(AM189*(1+AI189)))))))))))))))</f>
        <v>0</v>
      </c>
      <c r="AO189" s="166">
        <v>1.4</v>
      </c>
      <c r="AP189" s="160">
        <f t="shared" si="27"/>
        <v>0</v>
      </c>
      <c r="AQ189" s="167">
        <f t="shared" si="24"/>
        <v>0</v>
      </c>
      <c r="AR189" s="160">
        <f t="shared" si="28"/>
        <v>0</v>
      </c>
      <c r="AS189" s="168">
        <f t="shared" si="29"/>
        <v>0</v>
      </c>
      <c r="AT189" s="169" t="str">
        <f>K189</f>
        <v>MI</v>
      </c>
      <c r="AU189" s="169" t="str">
        <f>I189</f>
        <v>Mercadorias</v>
      </c>
      <c r="AV189" s="170"/>
      <c r="AW189" s="171">
        <f>IF(K189=$K$50,0,IF(K189=$K$53,0,IF(K189=$K$54,0,IF(K189=$K$55,0,IF(K189=$K$56,0,IF(K189=$K$57,0,IF(K189=$K$58,0,IF(K189=$K$65,0,IF(K189=$K$66,0,IF(K189=$K$67,0,IF(K189=$K$68,0,IF(K189=$K$69,0,IF(K189=$K$51,0,1))))))))))))*AM189*AI189)</f>
        <v>0</v>
      </c>
      <c r="AX189" s="172">
        <f>IF(K189=$K$50,0,IF(K189=$K$53,0,IF(K189=$K$54,0,IF(K189=$K$55,0,IF(K189=$K$56,0,IF(K189=$K$57,0,IF(K189=$K$58,0,IF(K189=$K$65,0,IF(K189=$K$66,0,IF(K189=$K$67,0,IF(K189=$K$68,0,IF(K189=$K$69,0,IF(K189=$K$51,0,1))))))))))))*AM189*AJ189*$AX$94)</f>
        <v>0</v>
      </c>
      <c r="AY189" s="172">
        <f>IF(K189=$K$53,0,IF(K189=$K$54,0,IF(K189=$K$55,0,IF(K189=$K$56,0,IF(K189=$K$58,0,IF(K189=$K$50,0,IF(K189=$K$65,0,IF(K189=$K$57,0,IF(K189=$K$51,0,AM189*$AY$102)))))))))</f>
        <v>0</v>
      </c>
      <c r="AZ189" s="172">
        <f>IF(K189=$K$53,0,IF(K189=$K$54,0,IF(K189=$K$55,0,IF(K189=$K$56,0,IF(K189=$K$58,0,IF(K189=$K$50,0,IF(K189=$K$65,0,IF(K189=$K$57,0,IF(K189=$K$51,0,AM189*$AZ$102)))))))))</f>
        <v>0</v>
      </c>
      <c r="BA189" s="172">
        <f t="shared" si="30"/>
        <v>0</v>
      </c>
      <c r="BB189" s="173">
        <f>IF($BA$97=1,AQ189*$BB$102,IF(K189=$K$50,0,IF(K189=$K$53,0,IF(K189=$K$54,0,IF(K189=$K$55,0,IF(K189=$K$56,0,IF(K189=$K$57,0,IF(K189=$K$58,0,IF(K189=$K$65,0,IF(K189=$K$66,0,IF(K189=$K$67,0,IF(K189=$K$68,0,IF(K189=$K$69,0,IF(K189=$K$51,0,1)))))))))))*AQ189*$BB$102)))</f>
        <v>0</v>
      </c>
      <c r="BC189" s="172">
        <f t="shared" si="31"/>
        <v>0</v>
      </c>
      <c r="BD189" s="172">
        <f t="shared" si="32"/>
        <v>0</v>
      </c>
      <c r="BE189" s="172">
        <f>IF($BE$95=I189,$BE$97,IF(I189=$BE$96,$BE$97,1))*($BE$102*AQ189)*$AZ$97</f>
        <v>0</v>
      </c>
      <c r="BF189" s="172">
        <f>IF('[1]Cockpit Retorno'!$C$65=Sim,Mestre!BA189,SUM(BB189:BE189)+(IF(K189=$K$56,AQ189*MOE_IRRF_LR,0)))</f>
        <v>0</v>
      </c>
      <c r="BG189" s="174">
        <f>IF(AA189&gt;0,0,IF(Z189=$Z$82,AG189*1,(IF(Z189=$Z$81,AG189*1,0))))</f>
        <v>0</v>
      </c>
      <c r="BH189" s="174">
        <f>IF(AA189&gt;0,0,IF(Z189=$Z$83,AG189*1,IF(Z189=$Z$81,AG189*1,0)))</f>
        <v>0</v>
      </c>
      <c r="BI189" s="174">
        <f>IF(AA189&gt;0,0,IF(Z189=$Z$84,AG189*1,IF(Z189=$Z$93,AG189*2,IF(Z189=$Z$100,AG189,IF(Z189=$Z$81,AG189*2,IF(Z189=$Z$80,AG189*1,IF(Z189=$Z$79,AG189*3,IF(Z189=$Z$78,AG189*2,0))))))))</f>
        <v>0</v>
      </c>
      <c r="BJ189" s="174">
        <f>IF(AA189&gt;0,0,IF(Z189=$Z$85,AG189,IF(Z189=$Z$93,AG189,IF(Z189=$Z$100,AG189,IF(Z189=$Z$81,AG189*1,IF(Z189=$Z$80,AG189*2,IF(Z189=$Z$79,AG189*2,IF(Z189=$Z$78,AG189*2,0))))))))</f>
        <v>0</v>
      </c>
      <c r="BK189" s="174">
        <f>IF(AA189&gt;0,0,IF(Z189=$Z$92,AG189,0))</f>
        <v>0</v>
      </c>
      <c r="BL189" s="174">
        <f>IF(AA189&gt;0,0,IF(Z189=$Z$91,AG189,0))</f>
        <v>0</v>
      </c>
      <c r="BM189" s="174">
        <f>IF(AA189&gt;0,0,IF(Z189=$Z$86,AG189,0))</f>
        <v>0</v>
      </c>
      <c r="BN189" s="174">
        <f>IF(AA189&gt;0,0,IF(Z189=$Z$87,AG189,0))</f>
        <v>0</v>
      </c>
      <c r="BO189" s="174">
        <f>IF(AA189&gt;0,0,IF(Z189=$Z$88,AG189,0))</f>
        <v>0</v>
      </c>
      <c r="BP189" s="174">
        <f>IF(AA189&gt;0,0,IF(Z189=$Z$89,AG189,0))</f>
        <v>0</v>
      </c>
      <c r="BQ189" s="174">
        <f>IF(AA189&gt;0,0,IF(Z189=$Z$90,AG189,0))</f>
        <v>0</v>
      </c>
      <c r="BR189" s="174">
        <f>IF(Z189=$Z$82,AA189*AG189,0)</f>
        <v>0</v>
      </c>
      <c r="BS189" s="174">
        <f>IF(Z189=$Z$83,AA189*AG189,0)</f>
        <v>0</v>
      </c>
      <c r="BT189" s="174">
        <f>IF(AA189&lt;1,0,IF(Z189=$Z$84,AA189*AG189,IF(Z189=$Z$93,"ERRO",IF(Z189=$Z$100,"ERRO",0))))</f>
        <v>0</v>
      </c>
      <c r="BU189" s="174">
        <f>IF(AA189&lt;1,0,IF(Z189=$Z$85,AA189*AG189,IF(Z189=$Z$93,"ERRO",IF(Z189=$Z$100,"ERRO",0))))</f>
        <v>0</v>
      </c>
      <c r="BV189" s="174">
        <f>IF(Z189=$Z$92,AA189*AG189,0)</f>
        <v>0</v>
      </c>
      <c r="BW189" s="174">
        <f>IF(Z189=$Z$91,AA189*AG189,0)</f>
        <v>0</v>
      </c>
      <c r="BX189" s="174">
        <f>IF(Z189=$Z$86,AA189*AG189,0)</f>
        <v>0</v>
      </c>
      <c r="BY189" s="174">
        <f>IF(Z189=$Z$87,AA189*AG189,0)</f>
        <v>0</v>
      </c>
      <c r="BZ189" s="174">
        <f>IF(Z189=$Z$88,AA189*AG189,0)</f>
        <v>0</v>
      </c>
      <c r="CA189" s="174">
        <f>IF(Z189=$Z$89,AA189*AG189,0)</f>
        <v>0</v>
      </c>
      <c r="CB189" s="174">
        <f>IF(Z189=$Z$90,AA189*AG189,0)</f>
        <v>0</v>
      </c>
      <c r="CC189" s="175">
        <f>IFERROR(IF(L189=$L$49,AG189*AH189*(1+AI189)*(1-AK189)*(1-AL189),0),0)</f>
        <v>1952.5350000000001</v>
      </c>
      <c r="CD189" s="203">
        <f>IF(I189=$CD$97,1,IF(I189=$CD$100,2,IF(K189=$K$66,1,IF(K189=$K$69,1,3))))</f>
        <v>1</v>
      </c>
      <c r="CE189" s="203">
        <f t="shared" si="14"/>
        <v>1.07</v>
      </c>
      <c r="CF189" s="204">
        <f t="shared" si="33"/>
        <v>1.2353999999999998</v>
      </c>
      <c r="CG189" s="203">
        <f t="shared" si="15"/>
        <v>1.42</v>
      </c>
      <c r="CH189" s="204">
        <f t="shared" si="34"/>
        <v>1.5478000000000001</v>
      </c>
      <c r="CI189" s="203">
        <f t="shared" si="16"/>
        <v>1.7</v>
      </c>
      <c r="CJ189" s="205">
        <f t="shared" si="38"/>
        <v>1.0486</v>
      </c>
      <c r="CK189" s="205">
        <f t="shared" si="39"/>
        <v>1.148922</v>
      </c>
      <c r="CL189" s="205">
        <f t="shared" si="40"/>
        <v>1.3915999999999999</v>
      </c>
      <c r="CM189" s="205">
        <f t="shared" si="41"/>
        <v>1.501366</v>
      </c>
      <c r="CN189" s="206">
        <f t="shared" si="42"/>
        <v>1.6319999999999999</v>
      </c>
      <c r="CO189" s="204">
        <f t="shared" si="25"/>
        <v>1.006656</v>
      </c>
      <c r="CP189" s="207">
        <f t="shared" si="35"/>
        <v>0</v>
      </c>
      <c r="CQ189" s="208">
        <f t="shared" si="36"/>
        <v>0</v>
      </c>
      <c r="CR189" s="209">
        <f t="shared" si="37"/>
        <v>0</v>
      </c>
      <c r="CS189" s="49"/>
      <c r="CT189" s="49"/>
      <c r="CU189" s="49"/>
      <c r="CV189" s="49"/>
      <c r="CW189" s="49"/>
      <c r="CX189" s="49"/>
      <c r="CY189" s="49"/>
      <c r="CZ189" s="49"/>
      <c r="DA189" s="49"/>
      <c r="DB189" s="49"/>
      <c r="DC189" s="49"/>
      <c r="DD189" s="49"/>
      <c r="DE189" s="49"/>
      <c r="DF189" s="49"/>
      <c r="DG189" s="49"/>
      <c r="DH189" s="49"/>
      <c r="DI189" s="49"/>
      <c r="DJ189" s="49"/>
      <c r="DK189" s="49"/>
      <c r="DL189" s="49"/>
      <c r="DM189" s="49"/>
      <c r="DN189" s="49"/>
      <c r="DO189" s="49"/>
      <c r="DP189" s="49"/>
      <c r="DQ189" s="49"/>
      <c r="DR189" s="49"/>
      <c r="DS189" s="49"/>
      <c r="DT189" s="49"/>
      <c r="DU189" s="49"/>
      <c r="DV189" s="49"/>
      <c r="DW189" s="49"/>
      <c r="DX189" s="49"/>
      <c r="DY189" s="49"/>
      <c r="DZ189" s="49"/>
      <c r="EA189" s="49"/>
      <c r="EB189" s="49"/>
      <c r="EC189" s="49"/>
      <c r="ED189" s="49"/>
      <c r="EE189" s="49"/>
      <c r="EF189" s="49"/>
      <c r="EG189" s="49"/>
      <c r="EH189" s="49"/>
      <c r="EI189" s="49"/>
      <c r="EJ189" s="49"/>
      <c r="EK189" s="49"/>
      <c r="EL189" s="49"/>
      <c r="EM189" s="49"/>
      <c r="EN189" s="49"/>
      <c r="EO189" s="49"/>
      <c r="EP189" s="49"/>
      <c r="EQ189" s="49"/>
      <c r="ER189" s="49"/>
      <c r="ES189" s="49"/>
      <c r="ET189" s="49"/>
      <c r="EU189" s="49"/>
      <c r="EV189" s="49"/>
      <c r="EW189" s="49"/>
      <c r="EX189" s="49"/>
      <c r="EY189" s="49"/>
      <c r="EZ189" s="49"/>
      <c r="FA189" s="49"/>
    </row>
    <row r="190" spans="1:157" s="210" customFormat="1" x14ac:dyDescent="0.25">
      <c r="A190" s="113">
        <f>IF(AND('[1]Cockpit Retorno'!$E$67=Sim,Mestre!M190=Mestre!$M$98),0,1)</f>
        <v>1</v>
      </c>
      <c r="B190" s="113">
        <f>IF(AND('[1]Cockpit Retorno'!$E$67=Sim,Mestre!L190=Mestre!$L$48),0,1)</f>
        <v>1</v>
      </c>
      <c r="C190" s="113">
        <f>IF(AND('[1]Cockpit Retorno'!$E$67=Sim,Mestre!M190=Mestre!$M$97),0,1)</f>
        <v>1</v>
      </c>
      <c r="D190" s="148" t="s">
        <v>7</v>
      </c>
      <c r="E190" s="115"/>
      <c r="F190" s="116" t="s">
        <v>107</v>
      </c>
      <c r="G190" s="149"/>
      <c r="H190" s="150" t="s">
        <v>7</v>
      </c>
      <c r="I190" s="151" t="str">
        <f t="shared" si="26"/>
        <v>Mercadorias</v>
      </c>
      <c r="J190" s="150" t="s">
        <v>15</v>
      </c>
      <c r="K190" s="152" t="s">
        <v>7</v>
      </c>
      <c r="L190" s="153" t="s">
        <v>21</v>
      </c>
      <c r="M190" s="154" t="s">
        <v>290</v>
      </c>
      <c r="N190" s="155" t="s">
        <v>309</v>
      </c>
      <c r="O190" s="155" t="s">
        <v>292</v>
      </c>
      <c r="P190" s="155" t="s">
        <v>43</v>
      </c>
      <c r="Q190" s="155" t="s">
        <v>43</v>
      </c>
      <c r="R190" s="155" t="s">
        <v>43</v>
      </c>
      <c r="S190" s="156" t="s">
        <v>43</v>
      </c>
      <c r="T190" s="156" t="s">
        <v>43</v>
      </c>
      <c r="U190" s="150" t="s">
        <v>43</v>
      </c>
      <c r="V190" s="150" t="s">
        <v>43</v>
      </c>
      <c r="W190" s="150" t="s">
        <v>43</v>
      </c>
      <c r="X190" s="157" t="s">
        <v>305</v>
      </c>
      <c r="Y190" s="150"/>
      <c r="Z190" s="150"/>
      <c r="AA190" s="158">
        <v>0</v>
      </c>
      <c r="AB190" s="155" t="s">
        <v>43</v>
      </c>
      <c r="AC190" s="150" t="s">
        <v>43</v>
      </c>
      <c r="AD190" s="155" t="s">
        <v>43</v>
      </c>
      <c r="AE190" s="155"/>
      <c r="AF190" s="150" t="s">
        <v>43</v>
      </c>
      <c r="AG190" s="159">
        <v>36000</v>
      </c>
      <c r="AH190" s="159">
        <v>0.30690000000000001</v>
      </c>
      <c r="AI190" s="202">
        <v>0</v>
      </c>
      <c r="AJ190" s="161">
        <v>7.0000000000000007E-2</v>
      </c>
      <c r="AK190" s="162">
        <v>0.05</v>
      </c>
      <c r="AL190" s="163"/>
      <c r="AM190" s="164">
        <f>(((IF(L190=$L$101,1,IF(L190=$L$47,1,0))*(AH190*(1-AK190)))*AG190)*(1-AL190))</f>
        <v>0</v>
      </c>
      <c r="AN190" s="165">
        <f>IF(K190=$K$50,AM190,IF(K190=$K$53,AM190,IF(K190=$K$54,AM190,IF(K190=$K$55,AM190,IF(K190=$K$56,AM190,IF(K190=$K$57,AM190,IF(K190=$K$58,AM190,IF(K190=$K$65,AM190,IF(K190=$K$66,AM190,IF(K190=$K$67,AM190,IF(K190=$K$68,AM190,IF(K190=$K$69,AM190,IF(K190=$K$51,AM190,(AM190*(1+AI190)))))))))))))))</f>
        <v>0</v>
      </c>
      <c r="AO190" s="166">
        <v>1.4</v>
      </c>
      <c r="AP190" s="160">
        <f t="shared" si="27"/>
        <v>0</v>
      </c>
      <c r="AQ190" s="167">
        <f t="shared" si="24"/>
        <v>0</v>
      </c>
      <c r="AR190" s="160">
        <f t="shared" si="28"/>
        <v>0</v>
      </c>
      <c r="AS190" s="168">
        <f t="shared" si="29"/>
        <v>0</v>
      </c>
      <c r="AT190" s="169" t="str">
        <f>K190</f>
        <v>MI</v>
      </c>
      <c r="AU190" s="169" t="str">
        <f>I190</f>
        <v>Mercadorias</v>
      </c>
      <c r="AV190" s="170"/>
      <c r="AW190" s="171">
        <f>IF(K190=$K$50,0,IF(K190=$K$53,0,IF(K190=$K$54,0,IF(K190=$K$55,0,IF(K190=$K$56,0,IF(K190=$K$57,0,IF(K190=$K$58,0,IF(K190=$K$65,0,IF(K190=$K$66,0,IF(K190=$K$67,0,IF(K190=$K$68,0,IF(K190=$K$69,0,IF(K190=$K$51,0,1))))))))))))*AM190*AI190)</f>
        <v>0</v>
      </c>
      <c r="AX190" s="172">
        <f>IF(K190=$K$50,0,IF(K190=$K$53,0,IF(K190=$K$54,0,IF(K190=$K$55,0,IF(K190=$K$56,0,IF(K190=$K$57,0,IF(K190=$K$58,0,IF(K190=$K$65,0,IF(K190=$K$66,0,IF(K190=$K$67,0,IF(K190=$K$68,0,IF(K190=$K$69,0,IF(K190=$K$51,0,1))))))))))))*AM190*AJ190*$AX$94)</f>
        <v>0</v>
      </c>
      <c r="AY190" s="172">
        <f>IF(K190=$K$53,0,IF(K190=$K$54,0,IF(K190=$K$55,0,IF(K190=$K$56,0,IF(K190=$K$58,0,IF(K190=$K$50,0,IF(K190=$K$65,0,IF(K190=$K$57,0,IF(K190=$K$51,0,AM190*$AY$102)))))))))</f>
        <v>0</v>
      </c>
      <c r="AZ190" s="172">
        <f>IF(K190=$K$53,0,IF(K190=$K$54,0,IF(K190=$K$55,0,IF(K190=$K$56,0,IF(K190=$K$58,0,IF(K190=$K$50,0,IF(K190=$K$65,0,IF(K190=$K$57,0,IF(K190=$K$51,0,AM190*$AZ$102)))))))))</f>
        <v>0</v>
      </c>
      <c r="BA190" s="172">
        <f t="shared" si="30"/>
        <v>0</v>
      </c>
      <c r="BB190" s="173">
        <f>IF($BA$97=1,AQ190*$BB$102,IF(K190=$K$50,0,IF(K190=$K$53,0,IF(K190=$K$54,0,IF(K190=$K$55,0,IF(K190=$K$56,0,IF(K190=$K$57,0,IF(K190=$K$58,0,IF(K190=$K$65,0,IF(K190=$K$66,0,IF(K190=$K$67,0,IF(K190=$K$68,0,IF(K190=$K$69,0,IF(K190=$K$51,0,1)))))))))))*AQ190*$BB$102)))</f>
        <v>0</v>
      </c>
      <c r="BC190" s="172">
        <f t="shared" si="31"/>
        <v>0</v>
      </c>
      <c r="BD190" s="172">
        <f t="shared" si="32"/>
        <v>0</v>
      </c>
      <c r="BE190" s="172">
        <f>IF($BE$95=I190,$BE$97,IF(I190=$BE$96,$BE$97,1))*($BE$102*AQ190)*$AZ$97</f>
        <v>0</v>
      </c>
      <c r="BF190" s="172">
        <f>IF('[1]Cockpit Retorno'!$C$65=Sim,Mestre!BA190,SUM(BB190:BE190)+(IF(K190=$K$56,AQ190*MOE_IRRF_LR,0)))</f>
        <v>0</v>
      </c>
      <c r="BG190" s="174">
        <f>IF(AA190&gt;0,0,IF(Z190=$Z$82,AG190*1,(IF(Z190=$Z$81,AG190*1,0))))</f>
        <v>0</v>
      </c>
      <c r="BH190" s="174">
        <f>IF(AA190&gt;0,0,IF(Z190=$Z$83,AG190*1,IF(Z190=$Z$81,AG190*1,0)))</f>
        <v>0</v>
      </c>
      <c r="BI190" s="174">
        <f>IF(AA190&gt;0,0,IF(Z190=$Z$84,AG190*1,IF(Z190=$Z$93,AG190*2,IF(Z190=$Z$100,AG190,IF(Z190=$Z$81,AG190*2,IF(Z190=$Z$80,AG190*1,IF(Z190=$Z$79,AG190*3,IF(Z190=$Z$78,AG190*2,0))))))))</f>
        <v>0</v>
      </c>
      <c r="BJ190" s="174">
        <f>IF(AA190&gt;0,0,IF(Z190=$Z$85,AG190,IF(Z190=$Z$93,AG190,IF(Z190=$Z$100,AG190,IF(Z190=$Z$81,AG190*1,IF(Z190=$Z$80,AG190*2,IF(Z190=$Z$79,AG190*2,IF(Z190=$Z$78,AG190*2,0))))))))</f>
        <v>0</v>
      </c>
      <c r="BK190" s="174">
        <f>IF(AA190&gt;0,0,IF(Z190=$Z$92,AG190,0))</f>
        <v>0</v>
      </c>
      <c r="BL190" s="174">
        <f>IF(AA190&gt;0,0,IF(Z190=$Z$91,AG190,0))</f>
        <v>0</v>
      </c>
      <c r="BM190" s="174">
        <f>IF(AA190&gt;0,0,IF(Z190=$Z$86,AG190,0))</f>
        <v>0</v>
      </c>
      <c r="BN190" s="174">
        <f>IF(AA190&gt;0,0,IF(Z190=$Z$87,AG190,0))</f>
        <v>0</v>
      </c>
      <c r="BO190" s="174">
        <f>IF(AA190&gt;0,0,IF(Z190=$Z$88,AG190,0))</f>
        <v>0</v>
      </c>
      <c r="BP190" s="174">
        <f>IF(AA190&gt;0,0,IF(Z190=$Z$89,AG190,0))</f>
        <v>0</v>
      </c>
      <c r="BQ190" s="174">
        <f>IF(AA190&gt;0,0,IF(Z190=$Z$90,AG190,0))</f>
        <v>0</v>
      </c>
      <c r="BR190" s="174">
        <f>IF(Z190=$Z$82,AA190*AG190,0)</f>
        <v>0</v>
      </c>
      <c r="BS190" s="174">
        <f>IF(Z190=$Z$83,AA190*AG190,0)</f>
        <v>0</v>
      </c>
      <c r="BT190" s="174">
        <f>IF(AA190&lt;1,0,IF(Z190=$Z$84,AA190*AG190,IF(Z190=$Z$93,"ERRO",IF(Z190=$Z$100,"ERRO",0))))</f>
        <v>0</v>
      </c>
      <c r="BU190" s="174">
        <f>IF(AA190&lt;1,0,IF(Z190=$Z$85,AA190*AG190,IF(Z190=$Z$93,"ERRO",IF(Z190=$Z$100,"ERRO",0))))</f>
        <v>0</v>
      </c>
      <c r="BV190" s="174">
        <f>IF(Z190=$Z$92,AA190*AG190,0)</f>
        <v>0</v>
      </c>
      <c r="BW190" s="174">
        <f>IF(Z190=$Z$91,AA190*AG190,0)</f>
        <v>0</v>
      </c>
      <c r="BX190" s="174">
        <f>IF(Z190=$Z$86,AA190*AG190,0)</f>
        <v>0</v>
      </c>
      <c r="BY190" s="174">
        <f>IF(Z190=$Z$87,AA190*AG190,0)</f>
        <v>0</v>
      </c>
      <c r="BZ190" s="174">
        <f>IF(Z190=$Z$88,AA190*AG190,0)</f>
        <v>0</v>
      </c>
      <c r="CA190" s="174">
        <f>IF(Z190=$Z$89,AA190*AG190,0)</f>
        <v>0</v>
      </c>
      <c r="CB190" s="174">
        <f>IF(Z190=$Z$90,AA190*AG190,0)</f>
        <v>0</v>
      </c>
      <c r="CC190" s="175">
        <f>IFERROR(IF(L190=$L$49,AG190*AH190*(1+AI190)*(1-AK190)*(1-AL190),0),0)</f>
        <v>10495.98</v>
      </c>
      <c r="CD190" s="203">
        <f>IF(I190=$CD$97,1,IF(I190=$CD$100,2,IF(K190=$K$66,1,IF(K190=$K$69,1,3))))</f>
        <v>1</v>
      </c>
      <c r="CE190" s="203">
        <f t="shared" si="14"/>
        <v>1.07</v>
      </c>
      <c r="CF190" s="204">
        <f t="shared" si="33"/>
        <v>1.2353999999999998</v>
      </c>
      <c r="CG190" s="203">
        <f t="shared" si="15"/>
        <v>1.42</v>
      </c>
      <c r="CH190" s="204">
        <f t="shared" si="34"/>
        <v>1.5478000000000001</v>
      </c>
      <c r="CI190" s="203">
        <f t="shared" si="16"/>
        <v>1.7</v>
      </c>
      <c r="CJ190" s="205">
        <f t="shared" si="38"/>
        <v>1.0486</v>
      </c>
      <c r="CK190" s="205">
        <f t="shared" si="39"/>
        <v>1.148922</v>
      </c>
      <c r="CL190" s="205">
        <f t="shared" si="40"/>
        <v>1.3915999999999999</v>
      </c>
      <c r="CM190" s="205">
        <f t="shared" si="41"/>
        <v>1.501366</v>
      </c>
      <c r="CN190" s="206">
        <f t="shared" si="42"/>
        <v>1.6319999999999999</v>
      </c>
      <c r="CO190" s="204">
        <f t="shared" si="25"/>
        <v>1.006656</v>
      </c>
      <c r="CP190" s="207">
        <f t="shared" si="35"/>
        <v>0</v>
      </c>
      <c r="CQ190" s="208">
        <f t="shared" si="36"/>
        <v>0</v>
      </c>
      <c r="CR190" s="209">
        <f t="shared" si="37"/>
        <v>0</v>
      </c>
      <c r="CS190" s="49"/>
      <c r="CT190" s="49"/>
      <c r="CU190" s="49"/>
      <c r="CV190" s="49"/>
      <c r="CW190" s="49"/>
      <c r="CX190" s="49"/>
      <c r="CY190" s="49"/>
      <c r="CZ190" s="49"/>
      <c r="DA190" s="49"/>
      <c r="DB190" s="49"/>
      <c r="DC190" s="49"/>
      <c r="DD190" s="49"/>
      <c r="DE190" s="49"/>
      <c r="DF190" s="49"/>
      <c r="DG190" s="49"/>
      <c r="DH190" s="49"/>
      <c r="DI190" s="49"/>
      <c r="DJ190" s="49"/>
      <c r="DK190" s="49"/>
      <c r="DL190" s="49"/>
      <c r="DM190" s="49"/>
      <c r="DN190" s="49"/>
      <c r="DO190" s="49"/>
      <c r="DP190" s="49"/>
      <c r="DQ190" s="49"/>
      <c r="DR190" s="49"/>
      <c r="DS190" s="49"/>
      <c r="DT190" s="49"/>
      <c r="DU190" s="49"/>
      <c r="DV190" s="49"/>
      <c r="DW190" s="49"/>
      <c r="DX190" s="49"/>
      <c r="DY190" s="49"/>
      <c r="DZ190" s="49"/>
      <c r="EA190" s="49"/>
      <c r="EB190" s="49"/>
      <c r="EC190" s="49"/>
      <c r="ED190" s="49"/>
      <c r="EE190" s="49"/>
      <c r="EF190" s="49"/>
      <c r="EG190" s="49"/>
      <c r="EH190" s="49"/>
      <c r="EI190" s="49"/>
      <c r="EJ190" s="49"/>
      <c r="EK190" s="49"/>
      <c r="EL190" s="49"/>
      <c r="EM190" s="49"/>
      <c r="EN190" s="49"/>
      <c r="EO190" s="49"/>
      <c r="EP190" s="49"/>
      <c r="EQ190" s="49"/>
      <c r="ER190" s="49"/>
      <c r="ES190" s="49"/>
      <c r="ET190" s="49"/>
      <c r="EU190" s="49"/>
      <c r="EV190" s="49"/>
      <c r="EW190" s="49"/>
      <c r="EX190" s="49"/>
      <c r="EY190" s="49"/>
      <c r="EZ190" s="49"/>
      <c r="FA190" s="49"/>
    </row>
    <row r="191" spans="1:157" s="210" customFormat="1" x14ac:dyDescent="0.25">
      <c r="A191" s="113">
        <f>IF(AND('[1]Cockpit Retorno'!$E$67=Sim,Mestre!M191=Mestre!$M$98),0,1)</f>
        <v>1</v>
      </c>
      <c r="B191" s="113">
        <f>IF(AND('[1]Cockpit Retorno'!$E$67=Sim,Mestre!L191=Mestre!$L$48),0,1)</f>
        <v>1</v>
      </c>
      <c r="C191" s="113">
        <f>IF(AND('[1]Cockpit Retorno'!$E$67=Sim,Mestre!M191=Mestre!$M$97),0,1)</f>
        <v>1</v>
      </c>
      <c r="D191" s="148" t="s">
        <v>7</v>
      </c>
      <c r="E191" s="115"/>
      <c r="F191" s="116" t="s">
        <v>107</v>
      </c>
      <c r="G191" s="149"/>
      <c r="H191" s="150" t="s">
        <v>7</v>
      </c>
      <c r="I191" s="151" t="str">
        <f t="shared" si="26"/>
        <v>Mercadorias</v>
      </c>
      <c r="J191" s="150" t="s">
        <v>15</v>
      </c>
      <c r="K191" s="152" t="s">
        <v>7</v>
      </c>
      <c r="L191" s="153" t="s">
        <v>21</v>
      </c>
      <c r="M191" s="154" t="s">
        <v>290</v>
      </c>
      <c r="N191" s="155" t="s">
        <v>309</v>
      </c>
      <c r="O191" s="155" t="s">
        <v>292</v>
      </c>
      <c r="P191" s="155" t="s">
        <v>43</v>
      </c>
      <c r="Q191" s="155" t="s">
        <v>43</v>
      </c>
      <c r="R191" s="155" t="s">
        <v>43</v>
      </c>
      <c r="S191" s="156" t="s">
        <v>43</v>
      </c>
      <c r="T191" s="156" t="s">
        <v>43</v>
      </c>
      <c r="U191" s="150" t="s">
        <v>43</v>
      </c>
      <c r="V191" s="150" t="s">
        <v>43</v>
      </c>
      <c r="W191" s="150" t="s">
        <v>43</v>
      </c>
      <c r="X191" s="157" t="s">
        <v>306</v>
      </c>
      <c r="Y191" s="150"/>
      <c r="Z191" s="150"/>
      <c r="AA191" s="158">
        <v>0</v>
      </c>
      <c r="AB191" s="155" t="s">
        <v>43</v>
      </c>
      <c r="AC191" s="150" t="s">
        <v>43</v>
      </c>
      <c r="AD191" s="155" t="s">
        <v>43</v>
      </c>
      <c r="AE191" s="155"/>
      <c r="AF191" s="150" t="s">
        <v>43</v>
      </c>
      <c r="AG191" s="159">
        <v>36000</v>
      </c>
      <c r="AH191" s="159">
        <v>0.13950000000000001</v>
      </c>
      <c r="AI191" s="202">
        <v>0</v>
      </c>
      <c r="AJ191" s="161">
        <v>7.0000000000000007E-2</v>
      </c>
      <c r="AK191" s="162">
        <v>0.05</v>
      </c>
      <c r="AL191" s="163"/>
      <c r="AM191" s="164">
        <f>(((IF(L191=$L$101,1,IF(L191=$L$47,1,0))*(AH191*(1-AK191)))*AG191)*(1-AL191))</f>
        <v>0</v>
      </c>
      <c r="AN191" s="165">
        <f>IF(K191=$K$50,AM191,IF(K191=$K$53,AM191,IF(K191=$K$54,AM191,IF(K191=$K$55,AM191,IF(K191=$K$56,AM191,IF(K191=$K$57,AM191,IF(K191=$K$58,AM191,IF(K191=$K$65,AM191,IF(K191=$K$66,AM191,IF(K191=$K$67,AM191,IF(K191=$K$68,AM191,IF(K191=$K$69,AM191,IF(K191=$K$51,AM191,(AM191*(1+AI191)))))))))))))))</f>
        <v>0</v>
      </c>
      <c r="AO191" s="166">
        <v>1.4</v>
      </c>
      <c r="AP191" s="160">
        <f t="shared" si="27"/>
        <v>0</v>
      </c>
      <c r="AQ191" s="167">
        <f t="shared" si="24"/>
        <v>0</v>
      </c>
      <c r="AR191" s="160">
        <f t="shared" si="28"/>
        <v>0</v>
      </c>
      <c r="AS191" s="168">
        <f t="shared" si="29"/>
        <v>0</v>
      </c>
      <c r="AT191" s="169" t="str">
        <f>K191</f>
        <v>MI</v>
      </c>
      <c r="AU191" s="169" t="str">
        <f>I191</f>
        <v>Mercadorias</v>
      </c>
      <c r="AV191" s="170"/>
      <c r="AW191" s="171">
        <f>IF(K191=$K$50,0,IF(K191=$K$53,0,IF(K191=$K$54,0,IF(K191=$K$55,0,IF(K191=$K$56,0,IF(K191=$K$57,0,IF(K191=$K$58,0,IF(K191=$K$65,0,IF(K191=$K$66,0,IF(K191=$K$67,0,IF(K191=$K$68,0,IF(K191=$K$69,0,IF(K191=$K$51,0,1))))))))))))*AM191*AI191)</f>
        <v>0</v>
      </c>
      <c r="AX191" s="172">
        <f>IF(K191=$K$50,0,IF(K191=$K$53,0,IF(K191=$K$54,0,IF(K191=$K$55,0,IF(K191=$K$56,0,IF(K191=$K$57,0,IF(K191=$K$58,0,IF(K191=$K$65,0,IF(K191=$K$66,0,IF(K191=$K$67,0,IF(K191=$K$68,0,IF(K191=$K$69,0,IF(K191=$K$51,0,1))))))))))))*AM191*AJ191*$AX$94)</f>
        <v>0</v>
      </c>
      <c r="AY191" s="172">
        <f>IF(K191=$K$53,0,IF(K191=$K$54,0,IF(K191=$K$55,0,IF(K191=$K$56,0,IF(K191=$K$58,0,IF(K191=$K$50,0,IF(K191=$K$65,0,IF(K191=$K$57,0,IF(K191=$K$51,0,AM191*$AY$102)))))))))</f>
        <v>0</v>
      </c>
      <c r="AZ191" s="172">
        <f>IF(K191=$K$53,0,IF(K191=$K$54,0,IF(K191=$K$55,0,IF(K191=$K$56,0,IF(K191=$K$58,0,IF(K191=$K$50,0,IF(K191=$K$65,0,IF(K191=$K$57,0,IF(K191=$K$51,0,AM191*$AZ$102)))))))))</f>
        <v>0</v>
      </c>
      <c r="BA191" s="172">
        <f t="shared" si="30"/>
        <v>0</v>
      </c>
      <c r="BB191" s="173">
        <f>IF($BA$97=1,AQ191*$BB$102,IF(K191=$K$50,0,IF(K191=$K$53,0,IF(K191=$K$54,0,IF(K191=$K$55,0,IF(K191=$K$56,0,IF(K191=$K$57,0,IF(K191=$K$58,0,IF(K191=$K$65,0,IF(K191=$K$66,0,IF(K191=$K$67,0,IF(K191=$K$68,0,IF(K191=$K$69,0,IF(K191=$K$51,0,1)))))))))))*AQ191*$BB$102)))</f>
        <v>0</v>
      </c>
      <c r="BC191" s="172">
        <f t="shared" si="31"/>
        <v>0</v>
      </c>
      <c r="BD191" s="172">
        <f t="shared" si="32"/>
        <v>0</v>
      </c>
      <c r="BE191" s="172">
        <f>IF($BE$95=I191,$BE$97,IF(I191=$BE$96,$BE$97,1))*($BE$102*AQ191)*$AZ$97</f>
        <v>0</v>
      </c>
      <c r="BF191" s="172">
        <f>IF('[1]Cockpit Retorno'!$C$65=Sim,Mestre!BA191,SUM(BB191:BE191)+(IF(K191=$K$56,AQ191*MOE_IRRF_LR,0)))</f>
        <v>0</v>
      </c>
      <c r="BG191" s="174">
        <f>IF(AA191&gt;0,0,IF(Z191=$Z$82,AG191*1,(IF(Z191=$Z$81,AG191*1,0))))</f>
        <v>0</v>
      </c>
      <c r="BH191" s="174">
        <f>IF(AA191&gt;0,0,IF(Z191=$Z$83,AG191*1,IF(Z191=$Z$81,AG191*1,0)))</f>
        <v>0</v>
      </c>
      <c r="BI191" s="174">
        <f>IF(AA191&gt;0,0,IF(Z191=$Z$84,AG191*1,IF(Z191=$Z$93,AG191*2,IF(Z191=$Z$100,AG191,IF(Z191=$Z$81,AG191*2,IF(Z191=$Z$80,AG191*1,IF(Z191=$Z$79,AG191*3,IF(Z191=$Z$78,AG191*2,0))))))))</f>
        <v>0</v>
      </c>
      <c r="BJ191" s="174">
        <f>IF(AA191&gt;0,0,IF(Z191=$Z$85,AG191,IF(Z191=$Z$93,AG191,IF(Z191=$Z$100,AG191,IF(Z191=$Z$81,AG191*1,IF(Z191=$Z$80,AG191*2,IF(Z191=$Z$79,AG191*2,IF(Z191=$Z$78,AG191*2,0))))))))</f>
        <v>0</v>
      </c>
      <c r="BK191" s="174">
        <f>IF(AA191&gt;0,0,IF(Z191=$Z$92,AG191,0))</f>
        <v>0</v>
      </c>
      <c r="BL191" s="174">
        <f>IF(AA191&gt;0,0,IF(Z191=$Z$91,AG191,0))</f>
        <v>0</v>
      </c>
      <c r="BM191" s="174">
        <f>IF(AA191&gt;0,0,IF(Z191=$Z$86,AG191,0))</f>
        <v>0</v>
      </c>
      <c r="BN191" s="174">
        <f>IF(AA191&gt;0,0,IF(Z191=$Z$87,AG191,0))</f>
        <v>0</v>
      </c>
      <c r="BO191" s="174">
        <f>IF(AA191&gt;0,0,IF(Z191=$Z$88,AG191,0))</f>
        <v>0</v>
      </c>
      <c r="BP191" s="174">
        <f>IF(AA191&gt;0,0,IF(Z191=$Z$89,AG191,0))</f>
        <v>0</v>
      </c>
      <c r="BQ191" s="174">
        <f>IF(AA191&gt;0,0,IF(Z191=$Z$90,AG191,0))</f>
        <v>0</v>
      </c>
      <c r="BR191" s="174">
        <f>IF(Z191=$Z$82,AA191*AG191,0)</f>
        <v>0</v>
      </c>
      <c r="BS191" s="174">
        <f>IF(Z191=$Z$83,AA191*AG191,0)</f>
        <v>0</v>
      </c>
      <c r="BT191" s="174">
        <f>IF(AA191&lt;1,0,IF(Z191=$Z$84,AA191*AG191,IF(Z191=$Z$93,"ERRO",IF(Z191=$Z$100,"ERRO",0))))</f>
        <v>0</v>
      </c>
      <c r="BU191" s="174">
        <f>IF(AA191&lt;1,0,IF(Z191=$Z$85,AA191*AG191,IF(Z191=$Z$93,"ERRO",IF(Z191=$Z$100,"ERRO",0))))</f>
        <v>0</v>
      </c>
      <c r="BV191" s="174">
        <f>IF(Z191=$Z$92,AA191*AG191,0)</f>
        <v>0</v>
      </c>
      <c r="BW191" s="174">
        <f>IF(Z191=$Z$91,AA191*AG191,0)</f>
        <v>0</v>
      </c>
      <c r="BX191" s="174">
        <f>IF(Z191=$Z$86,AA191*AG191,0)</f>
        <v>0</v>
      </c>
      <c r="BY191" s="174">
        <f>IF(Z191=$Z$87,AA191*AG191,0)</f>
        <v>0</v>
      </c>
      <c r="BZ191" s="174">
        <f>IF(Z191=$Z$88,AA191*AG191,0)</f>
        <v>0</v>
      </c>
      <c r="CA191" s="174">
        <f>IF(Z191=$Z$89,AA191*AG191,0)</f>
        <v>0</v>
      </c>
      <c r="CB191" s="174">
        <f>IF(Z191=$Z$90,AA191*AG191,0)</f>
        <v>0</v>
      </c>
      <c r="CC191" s="175">
        <f>IFERROR(IF(L191=$L$49,AG191*AH191*(1+AI191)*(1-AK191)*(1-AL191),0),0)</f>
        <v>4770.9000000000005</v>
      </c>
      <c r="CD191" s="203">
        <f>IF(I191=$CD$97,1,IF(I191=$CD$100,2,IF(K191=$K$66,1,IF(K191=$K$69,1,3))))</f>
        <v>1</v>
      </c>
      <c r="CE191" s="203">
        <f t="shared" si="14"/>
        <v>1.07</v>
      </c>
      <c r="CF191" s="204">
        <f t="shared" si="33"/>
        <v>1.2353999999999998</v>
      </c>
      <c r="CG191" s="203">
        <f t="shared" si="15"/>
        <v>1.42</v>
      </c>
      <c r="CH191" s="204">
        <f t="shared" si="34"/>
        <v>1.5478000000000001</v>
      </c>
      <c r="CI191" s="203">
        <f t="shared" si="16"/>
        <v>1.7</v>
      </c>
      <c r="CJ191" s="205">
        <f t="shared" si="38"/>
        <v>1.0486</v>
      </c>
      <c r="CK191" s="205">
        <f t="shared" si="39"/>
        <v>1.148922</v>
      </c>
      <c r="CL191" s="205">
        <f t="shared" si="40"/>
        <v>1.3915999999999999</v>
      </c>
      <c r="CM191" s="205">
        <f t="shared" si="41"/>
        <v>1.501366</v>
      </c>
      <c r="CN191" s="206">
        <f t="shared" si="42"/>
        <v>1.6319999999999999</v>
      </c>
      <c r="CO191" s="204">
        <f t="shared" si="25"/>
        <v>1.006656</v>
      </c>
      <c r="CP191" s="207">
        <f t="shared" si="35"/>
        <v>0</v>
      </c>
      <c r="CQ191" s="208">
        <f t="shared" si="36"/>
        <v>0</v>
      </c>
      <c r="CR191" s="209">
        <f t="shared" si="37"/>
        <v>0</v>
      </c>
      <c r="CS191" s="49"/>
      <c r="CT191" s="49"/>
      <c r="CU191" s="49"/>
      <c r="CV191" s="49"/>
      <c r="CW191" s="49"/>
      <c r="CX191" s="49"/>
      <c r="CY191" s="49"/>
      <c r="CZ191" s="49"/>
      <c r="DA191" s="49"/>
      <c r="DB191" s="49"/>
      <c r="DC191" s="49"/>
      <c r="DD191" s="49"/>
      <c r="DE191" s="49"/>
      <c r="DF191" s="49"/>
      <c r="DG191" s="49"/>
      <c r="DH191" s="49"/>
      <c r="DI191" s="49"/>
      <c r="DJ191" s="49"/>
      <c r="DK191" s="49"/>
      <c r="DL191" s="49"/>
      <c r="DM191" s="49"/>
      <c r="DN191" s="49"/>
      <c r="DO191" s="49"/>
      <c r="DP191" s="49"/>
      <c r="DQ191" s="49"/>
      <c r="DR191" s="49"/>
      <c r="DS191" s="49"/>
      <c r="DT191" s="49"/>
      <c r="DU191" s="49"/>
      <c r="DV191" s="49"/>
      <c r="DW191" s="49"/>
      <c r="DX191" s="49"/>
      <c r="DY191" s="49"/>
      <c r="DZ191" s="49"/>
      <c r="EA191" s="49"/>
      <c r="EB191" s="49"/>
      <c r="EC191" s="49"/>
      <c r="ED191" s="49"/>
      <c r="EE191" s="49"/>
      <c r="EF191" s="49"/>
      <c r="EG191" s="49"/>
      <c r="EH191" s="49"/>
      <c r="EI191" s="49"/>
      <c r="EJ191" s="49"/>
      <c r="EK191" s="49"/>
      <c r="EL191" s="49"/>
      <c r="EM191" s="49"/>
      <c r="EN191" s="49"/>
      <c r="EO191" s="49"/>
      <c r="EP191" s="49"/>
      <c r="EQ191" s="49"/>
      <c r="ER191" s="49"/>
      <c r="ES191" s="49"/>
      <c r="ET191" s="49"/>
      <c r="EU191" s="49"/>
      <c r="EV191" s="49"/>
      <c r="EW191" s="49"/>
      <c r="EX191" s="49"/>
      <c r="EY191" s="49"/>
      <c r="EZ191" s="49"/>
      <c r="FA191" s="49"/>
    </row>
    <row r="192" spans="1:157" s="210" customFormat="1" x14ac:dyDescent="0.25">
      <c r="A192" s="113">
        <f>IF(AND('[1]Cockpit Retorno'!$E$67=Sim,Mestre!M192=Mestre!$M$98),0,1)</f>
        <v>1</v>
      </c>
      <c r="B192" s="113">
        <f>IF(AND('[1]Cockpit Retorno'!$E$67=Sim,Mestre!L192=Mestre!$L$48),0,1)</f>
        <v>1</v>
      </c>
      <c r="C192" s="113">
        <f>IF(AND('[1]Cockpit Retorno'!$E$67=Sim,Mestre!M192=Mestre!$M$97),0,1)</f>
        <v>1</v>
      </c>
      <c r="D192" s="148" t="s">
        <v>7</v>
      </c>
      <c r="E192" s="115"/>
      <c r="F192" s="116" t="s">
        <v>107</v>
      </c>
      <c r="G192" s="149"/>
      <c r="H192" s="150" t="s">
        <v>7</v>
      </c>
      <c r="I192" s="151" t="str">
        <f t="shared" si="26"/>
        <v>Mercadorias</v>
      </c>
      <c r="J192" s="150" t="s">
        <v>15</v>
      </c>
      <c r="K192" s="152" t="s">
        <v>7</v>
      </c>
      <c r="L192" s="153" t="s">
        <v>21</v>
      </c>
      <c r="M192" s="154" t="s">
        <v>290</v>
      </c>
      <c r="N192" s="155" t="s">
        <v>309</v>
      </c>
      <c r="O192" s="155" t="s">
        <v>292</v>
      </c>
      <c r="P192" s="155" t="s">
        <v>43</v>
      </c>
      <c r="Q192" s="155" t="s">
        <v>43</v>
      </c>
      <c r="R192" s="155" t="s">
        <v>43</v>
      </c>
      <c r="S192" s="156" t="s">
        <v>43</v>
      </c>
      <c r="T192" s="156" t="s">
        <v>43</v>
      </c>
      <c r="U192" s="150" t="s">
        <v>43</v>
      </c>
      <c r="V192" s="150" t="s">
        <v>43</v>
      </c>
      <c r="W192" s="150" t="s">
        <v>43</v>
      </c>
      <c r="X192" s="157" t="s">
        <v>307</v>
      </c>
      <c r="Y192" s="150"/>
      <c r="Z192" s="150"/>
      <c r="AA192" s="158">
        <v>0</v>
      </c>
      <c r="AB192" s="155" t="s">
        <v>43</v>
      </c>
      <c r="AC192" s="150" t="s">
        <v>43</v>
      </c>
      <c r="AD192" s="155" t="s">
        <v>43</v>
      </c>
      <c r="AE192" s="155"/>
      <c r="AF192" s="150" t="s">
        <v>43</v>
      </c>
      <c r="AG192" s="159">
        <v>36000</v>
      </c>
      <c r="AH192" s="159">
        <v>0.1023</v>
      </c>
      <c r="AI192" s="202">
        <v>0</v>
      </c>
      <c r="AJ192" s="161">
        <v>7.0000000000000007E-2</v>
      </c>
      <c r="AK192" s="162">
        <v>0.05</v>
      </c>
      <c r="AL192" s="163"/>
      <c r="AM192" s="164">
        <f>(((IF(L192=$L$101,1,IF(L192=$L$47,1,0))*(AH192*(1-AK192)))*AG192)*(1-AL192))</f>
        <v>0</v>
      </c>
      <c r="AN192" s="165">
        <f>IF(K192=$K$50,AM192,IF(K192=$K$53,AM192,IF(K192=$K$54,AM192,IF(K192=$K$55,AM192,IF(K192=$K$56,AM192,IF(K192=$K$57,AM192,IF(K192=$K$58,AM192,IF(K192=$K$65,AM192,IF(K192=$K$66,AM192,IF(K192=$K$67,AM192,IF(K192=$K$68,AM192,IF(K192=$K$69,AM192,IF(K192=$K$51,AM192,(AM192*(1+AI192)))))))))))))))</f>
        <v>0</v>
      </c>
      <c r="AO192" s="166">
        <v>1.4</v>
      </c>
      <c r="AP192" s="160">
        <f t="shared" si="27"/>
        <v>0</v>
      </c>
      <c r="AQ192" s="167">
        <f t="shared" si="24"/>
        <v>0</v>
      </c>
      <c r="AR192" s="160">
        <f t="shared" si="28"/>
        <v>0</v>
      </c>
      <c r="AS192" s="168">
        <f t="shared" si="29"/>
        <v>0</v>
      </c>
      <c r="AT192" s="169" t="str">
        <f>K192</f>
        <v>MI</v>
      </c>
      <c r="AU192" s="169" t="str">
        <f>I192</f>
        <v>Mercadorias</v>
      </c>
      <c r="AV192" s="170"/>
      <c r="AW192" s="171">
        <f>IF(K192=$K$50,0,IF(K192=$K$53,0,IF(K192=$K$54,0,IF(K192=$K$55,0,IF(K192=$K$56,0,IF(K192=$K$57,0,IF(K192=$K$58,0,IF(K192=$K$65,0,IF(K192=$K$66,0,IF(K192=$K$67,0,IF(K192=$K$68,0,IF(K192=$K$69,0,IF(K192=$K$51,0,1))))))))))))*AM192*AI192)</f>
        <v>0</v>
      </c>
      <c r="AX192" s="172">
        <f>IF(K192=$K$50,0,IF(K192=$K$53,0,IF(K192=$K$54,0,IF(K192=$K$55,0,IF(K192=$K$56,0,IF(K192=$K$57,0,IF(K192=$K$58,0,IF(K192=$K$65,0,IF(K192=$K$66,0,IF(K192=$K$67,0,IF(K192=$K$68,0,IF(K192=$K$69,0,IF(K192=$K$51,0,1))))))))))))*AM192*AJ192*$AX$94)</f>
        <v>0</v>
      </c>
      <c r="AY192" s="172">
        <f>IF(K192=$K$53,0,IF(K192=$K$54,0,IF(K192=$K$55,0,IF(K192=$K$56,0,IF(K192=$K$58,0,IF(K192=$K$50,0,IF(K192=$K$65,0,IF(K192=$K$57,0,IF(K192=$K$51,0,AM192*$AY$102)))))))))</f>
        <v>0</v>
      </c>
      <c r="AZ192" s="172">
        <f>IF(K192=$K$53,0,IF(K192=$K$54,0,IF(K192=$K$55,0,IF(K192=$K$56,0,IF(K192=$K$58,0,IF(K192=$K$50,0,IF(K192=$K$65,0,IF(K192=$K$57,0,IF(K192=$K$51,0,AM192*$AZ$102)))))))))</f>
        <v>0</v>
      </c>
      <c r="BA192" s="172">
        <f t="shared" si="30"/>
        <v>0</v>
      </c>
      <c r="BB192" s="173">
        <f>IF($BA$97=1,AQ192*$BB$102,IF(K192=$K$50,0,IF(K192=$K$53,0,IF(K192=$K$54,0,IF(K192=$K$55,0,IF(K192=$K$56,0,IF(K192=$K$57,0,IF(K192=$K$58,0,IF(K192=$K$65,0,IF(K192=$K$66,0,IF(K192=$K$67,0,IF(K192=$K$68,0,IF(K192=$K$69,0,IF(K192=$K$51,0,1)))))))))))*AQ192*$BB$102)))</f>
        <v>0</v>
      </c>
      <c r="BC192" s="172">
        <f t="shared" si="31"/>
        <v>0</v>
      </c>
      <c r="BD192" s="172">
        <f t="shared" si="32"/>
        <v>0</v>
      </c>
      <c r="BE192" s="172">
        <f>IF($BE$95=I192,$BE$97,IF(I192=$BE$96,$BE$97,1))*($BE$102*AQ192)*$AZ$97</f>
        <v>0</v>
      </c>
      <c r="BF192" s="172">
        <f>IF('[1]Cockpit Retorno'!$C$65=Sim,Mestre!BA192,SUM(BB192:BE192)+(IF(K192=$K$56,AQ192*MOE_IRRF_LR,0)))</f>
        <v>0</v>
      </c>
      <c r="BG192" s="174">
        <f>IF(AA192&gt;0,0,IF(Z192=$Z$82,AG192*1,(IF(Z192=$Z$81,AG192*1,0))))</f>
        <v>0</v>
      </c>
      <c r="BH192" s="174">
        <f>IF(AA192&gt;0,0,IF(Z192=$Z$83,AG192*1,IF(Z192=$Z$81,AG192*1,0)))</f>
        <v>0</v>
      </c>
      <c r="BI192" s="174">
        <f>IF(AA192&gt;0,0,IF(Z192=$Z$84,AG192*1,IF(Z192=$Z$93,AG192*2,IF(Z192=$Z$100,AG192,IF(Z192=$Z$81,AG192*2,IF(Z192=$Z$80,AG192*1,IF(Z192=$Z$79,AG192*3,IF(Z192=$Z$78,AG192*2,0))))))))</f>
        <v>0</v>
      </c>
      <c r="BJ192" s="174">
        <f>IF(AA192&gt;0,0,IF(Z192=$Z$85,AG192,IF(Z192=$Z$93,AG192,IF(Z192=$Z$100,AG192,IF(Z192=$Z$81,AG192*1,IF(Z192=$Z$80,AG192*2,IF(Z192=$Z$79,AG192*2,IF(Z192=$Z$78,AG192*2,0))))))))</f>
        <v>0</v>
      </c>
      <c r="BK192" s="174">
        <f>IF(AA192&gt;0,0,IF(Z192=$Z$92,AG192,0))</f>
        <v>0</v>
      </c>
      <c r="BL192" s="174">
        <f>IF(AA192&gt;0,0,IF(Z192=$Z$91,AG192,0))</f>
        <v>0</v>
      </c>
      <c r="BM192" s="174">
        <f>IF(AA192&gt;0,0,IF(Z192=$Z$86,AG192,0))</f>
        <v>0</v>
      </c>
      <c r="BN192" s="174">
        <f>IF(AA192&gt;0,0,IF(Z192=$Z$87,AG192,0))</f>
        <v>0</v>
      </c>
      <c r="BO192" s="174">
        <f>IF(AA192&gt;0,0,IF(Z192=$Z$88,AG192,0))</f>
        <v>0</v>
      </c>
      <c r="BP192" s="174">
        <f>IF(AA192&gt;0,0,IF(Z192=$Z$89,AG192,0))</f>
        <v>0</v>
      </c>
      <c r="BQ192" s="174">
        <f>IF(AA192&gt;0,0,IF(Z192=$Z$90,AG192,0))</f>
        <v>0</v>
      </c>
      <c r="BR192" s="174">
        <f>IF(Z192=$Z$82,AA192*AG192,0)</f>
        <v>0</v>
      </c>
      <c r="BS192" s="174">
        <f>IF(Z192=$Z$83,AA192*AG192,0)</f>
        <v>0</v>
      </c>
      <c r="BT192" s="174">
        <f>IF(AA192&lt;1,0,IF(Z192=$Z$84,AA192*AG192,IF(Z192=$Z$93,"ERRO",IF(Z192=$Z$100,"ERRO",0))))</f>
        <v>0</v>
      </c>
      <c r="BU192" s="174">
        <f>IF(AA192&lt;1,0,IF(Z192=$Z$85,AA192*AG192,IF(Z192=$Z$93,"ERRO",IF(Z192=$Z$100,"ERRO",0))))</f>
        <v>0</v>
      </c>
      <c r="BV192" s="174">
        <f>IF(Z192=$Z$92,AA192*AG192,0)</f>
        <v>0</v>
      </c>
      <c r="BW192" s="174">
        <f>IF(Z192=$Z$91,AA192*AG192,0)</f>
        <v>0</v>
      </c>
      <c r="BX192" s="174">
        <f>IF(Z192=$Z$86,AA192*AG192,0)</f>
        <v>0</v>
      </c>
      <c r="BY192" s="174">
        <f>IF(Z192=$Z$87,AA192*AG192,0)</f>
        <v>0</v>
      </c>
      <c r="BZ192" s="174">
        <f>IF(Z192=$Z$88,AA192*AG192,0)</f>
        <v>0</v>
      </c>
      <c r="CA192" s="174">
        <f>IF(Z192=$Z$89,AA192*AG192,0)</f>
        <v>0</v>
      </c>
      <c r="CB192" s="174">
        <f>IF(Z192=$Z$90,AA192*AG192,0)</f>
        <v>0</v>
      </c>
      <c r="CC192" s="175">
        <f>IFERROR(IF(L192=$L$49,AG192*AH192*(1+AI192)*(1-AK192)*(1-AL192),0),0)</f>
        <v>3498.66</v>
      </c>
      <c r="CD192" s="203">
        <f>IF(I192=$CD$97,1,IF(I192=$CD$100,2,IF(K192=$K$66,1,IF(K192=$K$69,1,3))))</f>
        <v>1</v>
      </c>
      <c r="CE192" s="203">
        <f t="shared" si="14"/>
        <v>1.07</v>
      </c>
      <c r="CF192" s="204">
        <f t="shared" si="33"/>
        <v>1.2353999999999998</v>
      </c>
      <c r="CG192" s="203">
        <f t="shared" si="15"/>
        <v>1.42</v>
      </c>
      <c r="CH192" s="204">
        <f t="shared" si="34"/>
        <v>1.5478000000000001</v>
      </c>
      <c r="CI192" s="203">
        <f t="shared" si="16"/>
        <v>1.7</v>
      </c>
      <c r="CJ192" s="205">
        <f t="shared" si="38"/>
        <v>1.0486</v>
      </c>
      <c r="CK192" s="205">
        <f t="shared" si="39"/>
        <v>1.148922</v>
      </c>
      <c r="CL192" s="205">
        <f t="shared" si="40"/>
        <v>1.3915999999999999</v>
      </c>
      <c r="CM192" s="205">
        <f t="shared" si="41"/>
        <v>1.501366</v>
      </c>
      <c r="CN192" s="206">
        <f t="shared" si="42"/>
        <v>1.6319999999999999</v>
      </c>
      <c r="CO192" s="204">
        <f t="shared" si="25"/>
        <v>1.006656</v>
      </c>
      <c r="CP192" s="207">
        <f t="shared" si="35"/>
        <v>0</v>
      </c>
      <c r="CQ192" s="208">
        <f t="shared" si="36"/>
        <v>0</v>
      </c>
      <c r="CR192" s="209">
        <f t="shared" si="37"/>
        <v>0</v>
      </c>
      <c r="CS192" s="49"/>
      <c r="CT192" s="49"/>
      <c r="CU192" s="49"/>
      <c r="CV192" s="49"/>
      <c r="CW192" s="49"/>
      <c r="CX192" s="49"/>
      <c r="CY192" s="49"/>
      <c r="CZ192" s="49"/>
      <c r="DA192" s="49"/>
      <c r="DB192" s="49"/>
      <c r="DC192" s="49"/>
      <c r="DD192" s="49"/>
      <c r="DE192" s="49"/>
      <c r="DF192" s="49"/>
      <c r="DG192" s="49"/>
      <c r="DH192" s="49"/>
      <c r="DI192" s="49"/>
      <c r="DJ192" s="49"/>
      <c r="DK192" s="49"/>
      <c r="DL192" s="49"/>
      <c r="DM192" s="49"/>
      <c r="DN192" s="49"/>
      <c r="DO192" s="49"/>
      <c r="DP192" s="49"/>
      <c r="DQ192" s="49"/>
      <c r="DR192" s="49"/>
      <c r="DS192" s="49"/>
      <c r="DT192" s="49"/>
      <c r="DU192" s="49"/>
      <c r="DV192" s="49"/>
      <c r="DW192" s="49"/>
      <c r="DX192" s="49"/>
      <c r="DY192" s="49"/>
      <c r="DZ192" s="49"/>
      <c r="EA192" s="49"/>
      <c r="EB192" s="49"/>
      <c r="EC192" s="49"/>
      <c r="ED192" s="49"/>
      <c r="EE192" s="49"/>
      <c r="EF192" s="49"/>
      <c r="EG192" s="49"/>
      <c r="EH192" s="49"/>
      <c r="EI192" s="49"/>
      <c r="EJ192" s="49"/>
      <c r="EK192" s="49"/>
      <c r="EL192" s="49"/>
      <c r="EM192" s="49"/>
      <c r="EN192" s="49"/>
      <c r="EO192" s="49"/>
      <c r="EP192" s="49"/>
      <c r="EQ192" s="49"/>
      <c r="ER192" s="49"/>
      <c r="ES192" s="49"/>
      <c r="ET192" s="49"/>
      <c r="EU192" s="49"/>
      <c r="EV192" s="49"/>
      <c r="EW192" s="49"/>
      <c r="EX192" s="49"/>
      <c r="EY192" s="49"/>
      <c r="EZ192" s="49"/>
      <c r="FA192" s="49"/>
    </row>
    <row r="193" spans="1:157" s="210" customFormat="1" x14ac:dyDescent="0.25">
      <c r="A193" s="113">
        <f>IF(AND('[1]Cockpit Retorno'!$E$67=Sim,Mestre!M193=Mestre!$M$98),0,1)</f>
        <v>1</v>
      </c>
      <c r="B193" s="113">
        <f>IF(AND('[1]Cockpit Retorno'!$E$67=Sim,Mestre!L193=Mestre!$L$48),0,1)</f>
        <v>1</v>
      </c>
      <c r="C193" s="113">
        <f>IF(AND('[1]Cockpit Retorno'!$E$67=Sim,Mestre!M193=Mestre!$M$97),0,1)</f>
        <v>1</v>
      </c>
      <c r="D193" s="148" t="s">
        <v>7</v>
      </c>
      <c r="E193" s="115"/>
      <c r="F193" s="116" t="s">
        <v>107</v>
      </c>
      <c r="G193" s="149"/>
      <c r="H193" s="150" t="s">
        <v>7</v>
      </c>
      <c r="I193" s="151" t="str">
        <f t="shared" si="26"/>
        <v>Mercadorias</v>
      </c>
      <c r="J193" s="150" t="s">
        <v>15</v>
      </c>
      <c r="K193" s="152" t="s">
        <v>7</v>
      </c>
      <c r="L193" s="153" t="s">
        <v>21</v>
      </c>
      <c r="M193" s="154" t="s">
        <v>290</v>
      </c>
      <c r="N193" s="155" t="s">
        <v>309</v>
      </c>
      <c r="O193" s="155" t="s">
        <v>292</v>
      </c>
      <c r="P193" s="155" t="s">
        <v>43</v>
      </c>
      <c r="Q193" s="155" t="s">
        <v>43</v>
      </c>
      <c r="R193" s="155" t="s">
        <v>43</v>
      </c>
      <c r="S193" s="156" t="s">
        <v>43</v>
      </c>
      <c r="T193" s="156" t="s">
        <v>43</v>
      </c>
      <c r="U193" s="150" t="s">
        <v>43</v>
      </c>
      <c r="V193" s="150" t="s">
        <v>43</v>
      </c>
      <c r="W193" s="150" t="s">
        <v>43</v>
      </c>
      <c r="X193" s="157" t="s">
        <v>308</v>
      </c>
      <c r="Y193" s="150"/>
      <c r="Z193" s="150"/>
      <c r="AA193" s="158">
        <v>0</v>
      </c>
      <c r="AB193" s="155" t="s">
        <v>43</v>
      </c>
      <c r="AC193" s="150" t="s">
        <v>43</v>
      </c>
      <c r="AD193" s="155" t="s">
        <v>43</v>
      </c>
      <c r="AE193" s="155"/>
      <c r="AF193" s="150" t="s">
        <v>43</v>
      </c>
      <c r="AG193" s="159">
        <v>1700</v>
      </c>
      <c r="AH193" s="159">
        <v>0.67890000000000006</v>
      </c>
      <c r="AI193" s="202">
        <v>0</v>
      </c>
      <c r="AJ193" s="161">
        <v>7.0000000000000007E-2</v>
      </c>
      <c r="AK193" s="162">
        <v>0.05</v>
      </c>
      <c r="AL193" s="163"/>
      <c r="AM193" s="164">
        <f>(((IF(L193=$L$101,1,IF(L193=$L$47,1,0))*(AH193*(1-AK193)))*AG193)*(1-AL193))</f>
        <v>0</v>
      </c>
      <c r="AN193" s="165">
        <f>IF(K193=$K$50,AM193,IF(K193=$K$53,AM193,IF(K193=$K$54,AM193,IF(K193=$K$55,AM193,IF(K193=$K$56,AM193,IF(K193=$K$57,AM193,IF(K193=$K$58,AM193,IF(K193=$K$65,AM193,IF(K193=$K$66,AM193,IF(K193=$K$67,AM193,IF(K193=$K$68,AM193,IF(K193=$K$69,AM193,IF(K193=$K$51,AM193,(AM193*(1+AI193)))))))))))))))</f>
        <v>0</v>
      </c>
      <c r="AO193" s="166">
        <v>1.4</v>
      </c>
      <c r="AP193" s="160">
        <f t="shared" si="27"/>
        <v>0</v>
      </c>
      <c r="AQ193" s="167">
        <f t="shared" si="24"/>
        <v>0</v>
      </c>
      <c r="AR193" s="160">
        <f t="shared" si="28"/>
        <v>0</v>
      </c>
      <c r="AS193" s="168">
        <f t="shared" si="29"/>
        <v>0</v>
      </c>
      <c r="AT193" s="169" t="str">
        <f>K193</f>
        <v>MI</v>
      </c>
      <c r="AU193" s="169" t="str">
        <f>I193</f>
        <v>Mercadorias</v>
      </c>
      <c r="AV193" s="170"/>
      <c r="AW193" s="171">
        <f>IF(K193=$K$50,0,IF(K193=$K$53,0,IF(K193=$K$54,0,IF(K193=$K$55,0,IF(K193=$K$56,0,IF(K193=$K$57,0,IF(K193=$K$58,0,IF(K193=$K$65,0,IF(K193=$K$66,0,IF(K193=$K$67,0,IF(K193=$K$68,0,IF(K193=$K$69,0,IF(K193=$K$51,0,1))))))))))))*AM193*AI193)</f>
        <v>0</v>
      </c>
      <c r="AX193" s="172">
        <f>IF(K193=$K$50,0,IF(K193=$K$53,0,IF(K193=$K$54,0,IF(K193=$K$55,0,IF(K193=$K$56,0,IF(K193=$K$57,0,IF(K193=$K$58,0,IF(K193=$K$65,0,IF(K193=$K$66,0,IF(K193=$K$67,0,IF(K193=$K$68,0,IF(K193=$K$69,0,IF(K193=$K$51,0,1))))))))))))*AM193*AJ193*$AX$94)</f>
        <v>0</v>
      </c>
      <c r="AY193" s="172">
        <f>IF(K193=$K$53,0,IF(K193=$K$54,0,IF(K193=$K$55,0,IF(K193=$K$56,0,IF(K193=$K$58,0,IF(K193=$K$50,0,IF(K193=$K$65,0,IF(K193=$K$57,0,IF(K193=$K$51,0,AM193*$AY$102)))))))))</f>
        <v>0</v>
      </c>
      <c r="AZ193" s="172">
        <f>IF(K193=$K$53,0,IF(K193=$K$54,0,IF(K193=$K$55,0,IF(K193=$K$56,0,IF(K193=$K$58,0,IF(K193=$K$50,0,IF(K193=$K$65,0,IF(K193=$K$57,0,IF(K193=$K$51,0,AM193*$AZ$102)))))))))</f>
        <v>0</v>
      </c>
      <c r="BA193" s="172">
        <f t="shared" si="30"/>
        <v>0</v>
      </c>
      <c r="BB193" s="173">
        <f>IF($BA$97=1,AQ193*$BB$102,IF(K193=$K$50,0,IF(K193=$K$53,0,IF(K193=$K$54,0,IF(K193=$K$55,0,IF(K193=$K$56,0,IF(K193=$K$57,0,IF(K193=$K$58,0,IF(K193=$K$65,0,IF(K193=$K$66,0,IF(K193=$K$67,0,IF(K193=$K$68,0,IF(K193=$K$69,0,IF(K193=$K$51,0,1)))))))))))*AQ193*$BB$102)))</f>
        <v>0</v>
      </c>
      <c r="BC193" s="172">
        <f t="shared" si="31"/>
        <v>0</v>
      </c>
      <c r="BD193" s="172">
        <f t="shared" si="32"/>
        <v>0</v>
      </c>
      <c r="BE193" s="172">
        <f>IF($BE$95=I193,$BE$97,IF(I193=$BE$96,$BE$97,1))*($BE$102*AQ193)*$AZ$97</f>
        <v>0</v>
      </c>
      <c r="BF193" s="172">
        <f>IF('[1]Cockpit Retorno'!$C$65=Sim,Mestre!BA193,SUM(BB193:BE193)+(IF(K193=$K$56,AQ193*MOE_IRRF_LR,0)))</f>
        <v>0</v>
      </c>
      <c r="BG193" s="174">
        <f>IF(AA193&gt;0,0,IF(Z193=$Z$82,AG193*1,(IF(Z193=$Z$81,AG193*1,0))))</f>
        <v>0</v>
      </c>
      <c r="BH193" s="174">
        <f>IF(AA193&gt;0,0,IF(Z193=$Z$83,AG193*1,IF(Z193=$Z$81,AG193*1,0)))</f>
        <v>0</v>
      </c>
      <c r="BI193" s="174">
        <f>IF(AA193&gt;0,0,IF(Z193=$Z$84,AG193*1,IF(Z193=$Z$93,AG193*2,IF(Z193=$Z$100,AG193,IF(Z193=$Z$81,AG193*2,IF(Z193=$Z$80,AG193*1,IF(Z193=$Z$79,AG193*3,IF(Z193=$Z$78,AG193*2,0))))))))</f>
        <v>0</v>
      </c>
      <c r="BJ193" s="174">
        <f>IF(AA193&gt;0,0,IF(Z193=$Z$85,AG193,IF(Z193=$Z$93,AG193,IF(Z193=$Z$100,AG193,IF(Z193=$Z$81,AG193*1,IF(Z193=$Z$80,AG193*2,IF(Z193=$Z$79,AG193*2,IF(Z193=$Z$78,AG193*2,0))))))))</f>
        <v>0</v>
      </c>
      <c r="BK193" s="174">
        <f>IF(AA193&gt;0,0,IF(Z193=$Z$92,AG193,0))</f>
        <v>0</v>
      </c>
      <c r="BL193" s="174">
        <f>IF(AA193&gt;0,0,IF(Z193=$Z$91,AG193,0))</f>
        <v>0</v>
      </c>
      <c r="BM193" s="174">
        <f>IF(AA193&gt;0,0,IF(Z193=$Z$86,AG193,0))</f>
        <v>0</v>
      </c>
      <c r="BN193" s="174">
        <f>IF(AA193&gt;0,0,IF(Z193=$Z$87,AG193,0))</f>
        <v>0</v>
      </c>
      <c r="BO193" s="174">
        <f>IF(AA193&gt;0,0,IF(Z193=$Z$88,AG193,0))</f>
        <v>0</v>
      </c>
      <c r="BP193" s="174">
        <f>IF(AA193&gt;0,0,IF(Z193=$Z$89,AG193,0))</f>
        <v>0</v>
      </c>
      <c r="BQ193" s="174">
        <f>IF(AA193&gt;0,0,IF(Z193=$Z$90,AG193,0))</f>
        <v>0</v>
      </c>
      <c r="BR193" s="174">
        <f>IF(Z193=$Z$82,AA193*AG193,0)</f>
        <v>0</v>
      </c>
      <c r="BS193" s="174">
        <f>IF(Z193=$Z$83,AA193*AG193,0)</f>
        <v>0</v>
      </c>
      <c r="BT193" s="174">
        <f>IF(AA193&lt;1,0,IF(Z193=$Z$84,AA193*AG193,IF(Z193=$Z$93,"ERRO",IF(Z193=$Z$100,"ERRO",0))))</f>
        <v>0</v>
      </c>
      <c r="BU193" s="174">
        <f>IF(AA193&lt;1,0,IF(Z193=$Z$85,AA193*AG193,IF(Z193=$Z$93,"ERRO",IF(Z193=$Z$100,"ERRO",0))))</f>
        <v>0</v>
      </c>
      <c r="BV193" s="174">
        <f>IF(Z193=$Z$92,AA193*AG193,0)</f>
        <v>0</v>
      </c>
      <c r="BW193" s="174">
        <f>IF(Z193=$Z$91,AA193*AG193,0)</f>
        <v>0</v>
      </c>
      <c r="BX193" s="174">
        <f>IF(Z193=$Z$86,AA193*AG193,0)</f>
        <v>0</v>
      </c>
      <c r="BY193" s="174">
        <f>IF(Z193=$Z$87,AA193*AG193,0)</f>
        <v>0</v>
      </c>
      <c r="BZ193" s="174">
        <f>IF(Z193=$Z$88,AA193*AG193,0)</f>
        <v>0</v>
      </c>
      <c r="CA193" s="174">
        <f>IF(Z193=$Z$89,AA193*AG193,0)</f>
        <v>0</v>
      </c>
      <c r="CB193" s="174">
        <f>IF(Z193=$Z$90,AA193*AG193,0)</f>
        <v>0</v>
      </c>
      <c r="CC193" s="175">
        <f>IFERROR(IF(L193=$L$49,AG193*AH193*(1+AI193)*(1-AK193)*(1-AL193),0),0)</f>
        <v>1096.4235000000001</v>
      </c>
      <c r="CD193" s="203">
        <f>IF(I193=$CD$97,1,IF(I193=$CD$100,2,IF(K193=$K$66,1,IF(K193=$K$69,1,3))))</f>
        <v>1</v>
      </c>
      <c r="CE193" s="203">
        <f t="shared" si="14"/>
        <v>1.07</v>
      </c>
      <c r="CF193" s="204">
        <f t="shared" si="33"/>
        <v>1.2353999999999998</v>
      </c>
      <c r="CG193" s="203">
        <f t="shared" si="15"/>
        <v>1.42</v>
      </c>
      <c r="CH193" s="204">
        <f t="shared" si="34"/>
        <v>1.5478000000000001</v>
      </c>
      <c r="CI193" s="203">
        <f t="shared" si="16"/>
        <v>1.7</v>
      </c>
      <c r="CJ193" s="205">
        <f t="shared" si="38"/>
        <v>1.0486</v>
      </c>
      <c r="CK193" s="205">
        <f t="shared" si="39"/>
        <v>1.148922</v>
      </c>
      <c r="CL193" s="205">
        <f t="shared" si="40"/>
        <v>1.3915999999999999</v>
      </c>
      <c r="CM193" s="205">
        <f t="shared" si="41"/>
        <v>1.501366</v>
      </c>
      <c r="CN193" s="206">
        <f t="shared" si="42"/>
        <v>1.6319999999999999</v>
      </c>
      <c r="CO193" s="204">
        <f t="shared" si="25"/>
        <v>1.006656</v>
      </c>
      <c r="CP193" s="207">
        <f t="shared" si="35"/>
        <v>0</v>
      </c>
      <c r="CQ193" s="208">
        <f t="shared" si="36"/>
        <v>0</v>
      </c>
      <c r="CR193" s="209">
        <f t="shared" si="37"/>
        <v>0</v>
      </c>
      <c r="CS193" s="49"/>
      <c r="CT193" s="49"/>
      <c r="CU193" s="49"/>
      <c r="CV193" s="49"/>
      <c r="CW193" s="49"/>
      <c r="CX193" s="49"/>
      <c r="CY193" s="49"/>
      <c r="CZ193" s="49"/>
      <c r="DA193" s="49"/>
      <c r="DB193" s="49"/>
      <c r="DC193" s="49"/>
      <c r="DD193" s="49"/>
      <c r="DE193" s="49"/>
      <c r="DF193" s="49"/>
      <c r="DG193" s="49"/>
      <c r="DH193" s="49"/>
      <c r="DI193" s="49"/>
      <c r="DJ193" s="49"/>
      <c r="DK193" s="49"/>
      <c r="DL193" s="49"/>
      <c r="DM193" s="49"/>
      <c r="DN193" s="49"/>
      <c r="DO193" s="49"/>
      <c r="DP193" s="49"/>
      <c r="DQ193" s="49"/>
      <c r="DR193" s="49"/>
      <c r="DS193" s="49"/>
      <c r="DT193" s="49"/>
      <c r="DU193" s="49"/>
      <c r="DV193" s="49"/>
      <c r="DW193" s="49"/>
      <c r="DX193" s="49"/>
      <c r="DY193" s="49"/>
      <c r="DZ193" s="49"/>
      <c r="EA193" s="49"/>
      <c r="EB193" s="49"/>
      <c r="EC193" s="49"/>
      <c r="ED193" s="49"/>
      <c r="EE193" s="49"/>
      <c r="EF193" s="49"/>
      <c r="EG193" s="49"/>
      <c r="EH193" s="49"/>
      <c r="EI193" s="49"/>
      <c r="EJ193" s="49"/>
      <c r="EK193" s="49"/>
      <c r="EL193" s="49"/>
      <c r="EM193" s="49"/>
      <c r="EN193" s="49"/>
      <c r="EO193" s="49"/>
      <c r="EP193" s="49"/>
      <c r="EQ193" s="49"/>
      <c r="ER193" s="49"/>
      <c r="ES193" s="49"/>
      <c r="ET193" s="49"/>
      <c r="EU193" s="49"/>
      <c r="EV193" s="49"/>
      <c r="EW193" s="49"/>
      <c r="EX193" s="49"/>
      <c r="EY193" s="49"/>
      <c r="EZ193" s="49"/>
      <c r="FA193" s="49"/>
    </row>
    <row r="194" spans="1:157" s="210" customFormat="1" ht="25.5" x14ac:dyDescent="0.25">
      <c r="A194" s="113">
        <f>IF(AND('[1]Cockpit Retorno'!$E$67=Sim,Mestre!M194=Mestre!$M$98),0,1)</f>
        <v>1</v>
      </c>
      <c r="B194" s="113">
        <f>IF(AND('[1]Cockpit Retorno'!$E$67=Sim,Mestre!L194=Mestre!$L$48),0,1)</f>
        <v>1</v>
      </c>
      <c r="C194" s="113">
        <f>IF(AND('[1]Cockpit Retorno'!$E$67=Sim,Mestre!M194=Mestre!$M$97),0,1)</f>
        <v>1</v>
      </c>
      <c r="D194" s="148" t="s">
        <v>7</v>
      </c>
      <c r="E194" s="115"/>
      <c r="F194" s="116" t="s">
        <v>107</v>
      </c>
      <c r="G194" s="149">
        <v>6</v>
      </c>
      <c r="H194" s="150" t="s">
        <v>7</v>
      </c>
      <c r="I194" s="151" t="str">
        <f t="shared" si="26"/>
        <v>Mercadorias</v>
      </c>
      <c r="J194" s="150" t="s">
        <v>15</v>
      </c>
      <c r="K194" s="152" t="s">
        <v>7</v>
      </c>
      <c r="L194" s="153" t="s">
        <v>21</v>
      </c>
      <c r="M194" s="154" t="s">
        <v>290</v>
      </c>
      <c r="N194" s="155" t="s">
        <v>342</v>
      </c>
      <c r="O194" s="155" t="s">
        <v>343</v>
      </c>
      <c r="P194" s="155" t="s">
        <v>43</v>
      </c>
      <c r="Q194" s="155" t="s">
        <v>43</v>
      </c>
      <c r="R194" s="155" t="s">
        <v>43</v>
      </c>
      <c r="S194" s="156" t="s">
        <v>43</v>
      </c>
      <c r="T194" s="156" t="s">
        <v>43</v>
      </c>
      <c r="U194" s="150" t="s">
        <v>43</v>
      </c>
      <c r="V194" s="150" t="s">
        <v>43</v>
      </c>
      <c r="W194" s="150" t="s">
        <v>43</v>
      </c>
      <c r="X194" s="157" t="s">
        <v>344</v>
      </c>
      <c r="Y194" s="150"/>
      <c r="Z194" s="150"/>
      <c r="AA194" s="158">
        <v>0</v>
      </c>
      <c r="AB194" s="155" t="s">
        <v>43</v>
      </c>
      <c r="AC194" s="150" t="s">
        <v>43</v>
      </c>
      <c r="AD194" s="155" t="s">
        <v>43</v>
      </c>
      <c r="AE194" s="155"/>
      <c r="AF194" s="150" t="s">
        <v>43</v>
      </c>
      <c r="AG194" s="159">
        <v>42</v>
      </c>
      <c r="AH194" s="159">
        <v>115.32000000000001</v>
      </c>
      <c r="AI194" s="202">
        <v>0</v>
      </c>
      <c r="AJ194" s="161">
        <v>7.0000000000000007E-2</v>
      </c>
      <c r="AK194" s="162">
        <v>0.05</v>
      </c>
      <c r="AL194" s="163"/>
      <c r="AM194" s="164">
        <f>(((IF(L194=$L$101,1,IF(L194=$L$47,1,0))*(AH194*(1-AK194)))*AG194)*(1-AL194))</f>
        <v>0</v>
      </c>
      <c r="AN194" s="165">
        <f>IF(K194=$K$50,AM194,IF(K194=$K$53,AM194,IF(K194=$K$54,AM194,IF(K194=$K$55,AM194,IF(K194=$K$56,AM194,IF(K194=$K$57,AM194,IF(K194=$K$58,AM194,IF(K194=$K$65,AM194,IF(K194=$K$66,AM194,IF(K194=$K$67,AM194,IF(K194=$K$68,AM194,IF(K194=$K$69,AM194,IF(K194=$K$51,AM194,(AM194*(1+AI194)))))))))))))))</f>
        <v>0</v>
      </c>
      <c r="AO194" s="166">
        <v>1.4</v>
      </c>
      <c r="AP194" s="160">
        <f t="shared" si="27"/>
        <v>0</v>
      </c>
      <c r="AQ194" s="167">
        <f t="shared" si="24"/>
        <v>0</v>
      </c>
      <c r="AR194" s="160">
        <f t="shared" si="28"/>
        <v>0</v>
      </c>
      <c r="AS194" s="168">
        <f t="shared" si="29"/>
        <v>0</v>
      </c>
      <c r="AT194" s="169" t="str">
        <f>K194</f>
        <v>MI</v>
      </c>
      <c r="AU194" s="169" t="str">
        <f>I194</f>
        <v>Mercadorias</v>
      </c>
      <c r="AV194" s="170"/>
      <c r="AW194" s="171">
        <f>IF(K194=$K$50,0,IF(K194=$K$53,0,IF(K194=$K$54,0,IF(K194=$K$55,0,IF(K194=$K$56,0,IF(K194=$K$57,0,IF(K194=$K$58,0,IF(K194=$K$65,0,IF(K194=$K$66,0,IF(K194=$K$67,0,IF(K194=$K$68,0,IF(K194=$K$69,0,IF(K194=$K$51,0,1))))))))))))*AM194*AI194)</f>
        <v>0</v>
      </c>
      <c r="AX194" s="172">
        <f>IF(K194=$K$50,0,IF(K194=$K$53,0,IF(K194=$K$54,0,IF(K194=$K$55,0,IF(K194=$K$56,0,IF(K194=$K$57,0,IF(K194=$K$58,0,IF(K194=$K$65,0,IF(K194=$K$66,0,IF(K194=$K$67,0,IF(K194=$K$68,0,IF(K194=$K$69,0,IF(K194=$K$51,0,1))))))))))))*AM194*AJ194*$AX$94)</f>
        <v>0</v>
      </c>
      <c r="AY194" s="172">
        <f>IF(K194=$K$53,0,IF(K194=$K$54,0,IF(K194=$K$55,0,IF(K194=$K$56,0,IF(K194=$K$58,0,IF(K194=$K$50,0,IF(K194=$K$65,0,IF(K194=$K$57,0,IF(K194=$K$51,0,AM194*$AY$102)))))))))</f>
        <v>0</v>
      </c>
      <c r="AZ194" s="172">
        <f>IF(K194=$K$53,0,IF(K194=$K$54,0,IF(K194=$K$55,0,IF(K194=$K$56,0,IF(K194=$K$58,0,IF(K194=$K$50,0,IF(K194=$K$65,0,IF(K194=$K$57,0,IF(K194=$K$51,0,AM194*$AZ$102)))))))))</f>
        <v>0</v>
      </c>
      <c r="BA194" s="172">
        <f t="shared" si="30"/>
        <v>0</v>
      </c>
      <c r="BB194" s="173">
        <f>IF($BA$97=1,AQ194*$BB$102,IF(K194=$K$50,0,IF(K194=$K$53,0,IF(K194=$K$54,0,IF(K194=$K$55,0,IF(K194=$K$56,0,IF(K194=$K$57,0,IF(K194=$K$58,0,IF(K194=$K$65,0,IF(K194=$K$66,0,IF(K194=$K$67,0,IF(K194=$K$68,0,IF(K194=$K$69,0,IF(K194=$K$51,0,1)))))))))))*AQ194*$BB$102)))</f>
        <v>0</v>
      </c>
      <c r="BC194" s="172">
        <f t="shared" si="31"/>
        <v>0</v>
      </c>
      <c r="BD194" s="172">
        <f t="shared" si="32"/>
        <v>0</v>
      </c>
      <c r="BE194" s="172">
        <f>IF($BE$95=I194,$BE$97,IF(I194=$BE$96,$BE$97,1))*($BE$102*AQ194)*$AZ$97</f>
        <v>0</v>
      </c>
      <c r="BF194" s="172">
        <f>IF('[1]Cockpit Retorno'!$C$65=Sim,Mestre!BA194,SUM(BB194:BE194)+(IF(K194=$K$56,AQ194*MOE_IRRF_LR,0)))</f>
        <v>0</v>
      </c>
      <c r="BG194" s="174">
        <f>IF(AA194&gt;0,0,IF(Z194=$Z$82,AG194*1,(IF(Z194=$Z$81,AG194*1,0))))</f>
        <v>0</v>
      </c>
      <c r="BH194" s="174">
        <f>IF(AA194&gt;0,0,IF(Z194=$Z$83,AG194*1,IF(Z194=$Z$81,AG194*1,0)))</f>
        <v>0</v>
      </c>
      <c r="BI194" s="174">
        <f>IF(AA194&gt;0,0,IF(Z194=$Z$84,AG194*1,IF(Z194=$Z$93,AG194*2,IF(Z194=$Z$100,AG194,IF(Z194=$Z$81,AG194*2,IF(Z194=$Z$80,AG194*1,IF(Z194=$Z$79,AG194*3,IF(Z194=$Z$78,AG194*2,0))))))))</f>
        <v>0</v>
      </c>
      <c r="BJ194" s="174">
        <f>IF(AA194&gt;0,0,IF(Z194=$Z$85,AG194,IF(Z194=$Z$93,AG194,IF(Z194=$Z$100,AG194,IF(Z194=$Z$81,AG194*1,IF(Z194=$Z$80,AG194*2,IF(Z194=$Z$79,AG194*2,IF(Z194=$Z$78,AG194*2,0))))))))</f>
        <v>0</v>
      </c>
      <c r="BK194" s="174">
        <f>IF(AA194&gt;0,0,IF(Z194=$Z$92,AG194,0))</f>
        <v>0</v>
      </c>
      <c r="BL194" s="174">
        <f>IF(AA194&gt;0,0,IF(Z194=$Z$91,AG194,0))</f>
        <v>0</v>
      </c>
      <c r="BM194" s="174">
        <f>IF(AA194&gt;0,0,IF(Z194=$Z$86,AG194,0))</f>
        <v>0</v>
      </c>
      <c r="BN194" s="174">
        <f>IF(AA194&gt;0,0,IF(Z194=$Z$87,AG194,0))</f>
        <v>0</v>
      </c>
      <c r="BO194" s="174">
        <f>IF(AA194&gt;0,0,IF(Z194=$Z$88,AG194,0))</f>
        <v>0</v>
      </c>
      <c r="BP194" s="174">
        <f>IF(AA194&gt;0,0,IF(Z194=$Z$89,AG194,0))</f>
        <v>0</v>
      </c>
      <c r="BQ194" s="174">
        <f>IF(AA194&gt;0,0,IF(Z194=$Z$90,AG194,0))</f>
        <v>0</v>
      </c>
      <c r="BR194" s="174">
        <f>IF(Z194=$Z$82,AA194*AG194,0)</f>
        <v>0</v>
      </c>
      <c r="BS194" s="174">
        <f>IF(Z194=$Z$83,AA194*AG194,0)</f>
        <v>0</v>
      </c>
      <c r="BT194" s="174">
        <f>IF(AA194&lt;1,0,IF(Z194=$Z$84,AA194*AG194,IF(Z194=$Z$93,"ERRO",IF(Z194=$Z$100,"ERRO",0))))</f>
        <v>0</v>
      </c>
      <c r="BU194" s="174">
        <f>IF(AA194&lt;1,0,IF(Z194=$Z$85,AA194*AG194,IF(Z194=$Z$93,"ERRO",IF(Z194=$Z$100,"ERRO",0))))</f>
        <v>0</v>
      </c>
      <c r="BV194" s="174">
        <f>IF(Z194=$Z$92,AA194*AG194,0)</f>
        <v>0</v>
      </c>
      <c r="BW194" s="174">
        <f>IF(Z194=$Z$91,AA194*AG194,0)</f>
        <v>0</v>
      </c>
      <c r="BX194" s="174">
        <f>IF(Z194=$Z$86,AA194*AG194,0)</f>
        <v>0</v>
      </c>
      <c r="BY194" s="174">
        <f>IF(Z194=$Z$87,AA194*AG194,0)</f>
        <v>0</v>
      </c>
      <c r="BZ194" s="174">
        <f>IF(Z194=$Z$88,AA194*AG194,0)</f>
        <v>0</v>
      </c>
      <c r="CA194" s="174">
        <f>IF(Z194=$Z$89,AA194*AG194,0)</f>
        <v>0</v>
      </c>
      <c r="CB194" s="174">
        <f>IF(Z194=$Z$90,AA194*AG194,0)</f>
        <v>0</v>
      </c>
      <c r="CC194" s="175">
        <f>IFERROR(IF(L194=$L$49,AG194*AH194*(1+AI194)*(1-AK194)*(1-AL194),0),0)</f>
        <v>4601.268</v>
      </c>
      <c r="CD194" s="203">
        <f>IF(I194=$CD$97,1,IF(I194=$CD$100,2,IF(K194=$K$66,1,IF(K194=$K$69,1,3))))</f>
        <v>1</v>
      </c>
      <c r="CE194" s="203">
        <f t="shared" si="14"/>
        <v>1.07</v>
      </c>
      <c r="CF194" s="204">
        <f t="shared" si="33"/>
        <v>1.2353999999999998</v>
      </c>
      <c r="CG194" s="203">
        <f t="shared" si="15"/>
        <v>1.42</v>
      </c>
      <c r="CH194" s="204">
        <f t="shared" si="34"/>
        <v>1.5478000000000001</v>
      </c>
      <c r="CI194" s="203">
        <f t="shared" si="16"/>
        <v>1.7</v>
      </c>
      <c r="CJ194" s="205">
        <f t="shared" si="38"/>
        <v>1.0486</v>
      </c>
      <c r="CK194" s="205">
        <f t="shared" si="39"/>
        <v>1.148922</v>
      </c>
      <c r="CL194" s="205">
        <f t="shared" si="40"/>
        <v>1.3915999999999999</v>
      </c>
      <c r="CM194" s="205">
        <f t="shared" si="41"/>
        <v>1.501366</v>
      </c>
      <c r="CN194" s="206">
        <f t="shared" si="42"/>
        <v>1.6319999999999999</v>
      </c>
      <c r="CO194" s="204">
        <f t="shared" si="25"/>
        <v>1.006656</v>
      </c>
      <c r="CP194" s="207">
        <f t="shared" si="35"/>
        <v>0</v>
      </c>
      <c r="CQ194" s="208">
        <f t="shared" si="36"/>
        <v>0</v>
      </c>
      <c r="CR194" s="209">
        <f t="shared" si="37"/>
        <v>0</v>
      </c>
      <c r="CS194" s="49"/>
      <c r="CT194" s="49"/>
      <c r="CU194" s="49"/>
      <c r="CV194" s="49"/>
      <c r="CW194" s="49"/>
      <c r="CX194" s="49"/>
      <c r="CY194" s="49"/>
      <c r="CZ194" s="49"/>
      <c r="DA194" s="49"/>
      <c r="DB194" s="49"/>
      <c r="DC194" s="49"/>
      <c r="DD194" s="49"/>
      <c r="DE194" s="49"/>
      <c r="DF194" s="49"/>
      <c r="DG194" s="49"/>
      <c r="DH194" s="49"/>
      <c r="DI194" s="49"/>
      <c r="DJ194" s="49"/>
      <c r="DK194" s="49"/>
      <c r="DL194" s="49"/>
      <c r="DM194" s="49"/>
      <c r="DN194" s="49"/>
      <c r="DO194" s="49"/>
      <c r="DP194" s="49"/>
      <c r="DQ194" s="49"/>
      <c r="DR194" s="49"/>
      <c r="DS194" s="49"/>
      <c r="DT194" s="49"/>
      <c r="DU194" s="49"/>
      <c r="DV194" s="49"/>
      <c r="DW194" s="49"/>
      <c r="DX194" s="49"/>
      <c r="DY194" s="49"/>
      <c r="DZ194" s="49"/>
      <c r="EA194" s="49"/>
      <c r="EB194" s="49"/>
      <c r="EC194" s="49"/>
      <c r="ED194" s="49"/>
      <c r="EE194" s="49"/>
      <c r="EF194" s="49"/>
      <c r="EG194" s="49"/>
      <c r="EH194" s="49"/>
      <c r="EI194" s="49"/>
      <c r="EJ194" s="49"/>
      <c r="EK194" s="49"/>
      <c r="EL194" s="49"/>
      <c r="EM194" s="49"/>
      <c r="EN194" s="49"/>
      <c r="EO194" s="49"/>
      <c r="EP194" s="49"/>
      <c r="EQ194" s="49"/>
      <c r="ER194" s="49"/>
      <c r="ES194" s="49"/>
      <c r="ET194" s="49"/>
      <c r="EU194" s="49"/>
      <c r="EV194" s="49"/>
      <c r="EW194" s="49"/>
      <c r="EX194" s="49"/>
      <c r="EY194" s="49"/>
      <c r="EZ194" s="49"/>
      <c r="FA194" s="49"/>
    </row>
    <row r="195" spans="1:157" s="210" customFormat="1" ht="25.5" x14ac:dyDescent="0.25">
      <c r="A195" s="113">
        <f>IF(AND('[1]Cockpit Retorno'!$E$67=Sim,Mestre!M195=Mestre!$M$98),0,1)</f>
        <v>1</v>
      </c>
      <c r="B195" s="113">
        <f>IF(AND('[1]Cockpit Retorno'!$E$67=Sim,Mestre!L195=Mestre!$L$48),0,1)</f>
        <v>1</v>
      </c>
      <c r="C195" s="113">
        <f>IF(AND('[1]Cockpit Retorno'!$E$67=Sim,Mestre!M195=Mestre!$M$97),0,1)</f>
        <v>1</v>
      </c>
      <c r="D195" s="148" t="s">
        <v>7</v>
      </c>
      <c r="E195" s="115"/>
      <c r="F195" s="116" t="s">
        <v>107</v>
      </c>
      <c r="G195" s="149">
        <v>6</v>
      </c>
      <c r="H195" s="150" t="s">
        <v>7</v>
      </c>
      <c r="I195" s="151" t="str">
        <f t="shared" si="26"/>
        <v>Mercadorias</v>
      </c>
      <c r="J195" s="150" t="s">
        <v>15</v>
      </c>
      <c r="K195" s="152" t="s">
        <v>7</v>
      </c>
      <c r="L195" s="153" t="s">
        <v>21</v>
      </c>
      <c r="M195" s="154" t="s">
        <v>290</v>
      </c>
      <c r="N195" s="155" t="s">
        <v>342</v>
      </c>
      <c r="O195" s="155" t="s">
        <v>343</v>
      </c>
      <c r="P195" s="155" t="s">
        <v>43</v>
      </c>
      <c r="Q195" s="155" t="s">
        <v>43</v>
      </c>
      <c r="R195" s="155" t="s">
        <v>43</v>
      </c>
      <c r="S195" s="156" t="s">
        <v>43</v>
      </c>
      <c r="T195" s="156" t="s">
        <v>43</v>
      </c>
      <c r="U195" s="150" t="s">
        <v>43</v>
      </c>
      <c r="V195" s="150" t="s">
        <v>43</v>
      </c>
      <c r="W195" s="150" t="s">
        <v>43</v>
      </c>
      <c r="X195" s="157" t="s">
        <v>345</v>
      </c>
      <c r="Y195" s="150"/>
      <c r="Z195" s="150"/>
      <c r="AA195" s="158">
        <v>0</v>
      </c>
      <c r="AB195" s="155" t="s">
        <v>43</v>
      </c>
      <c r="AC195" s="150" t="s">
        <v>43</v>
      </c>
      <c r="AD195" s="155" t="s">
        <v>43</v>
      </c>
      <c r="AE195" s="155"/>
      <c r="AF195" s="150" t="s">
        <v>43</v>
      </c>
      <c r="AG195" s="159">
        <v>652</v>
      </c>
      <c r="AH195" s="159">
        <v>184.44504000000001</v>
      </c>
      <c r="AI195" s="202">
        <v>0</v>
      </c>
      <c r="AJ195" s="161">
        <v>7.0000000000000007E-2</v>
      </c>
      <c r="AK195" s="162">
        <v>0.05</v>
      </c>
      <c r="AL195" s="163"/>
      <c r="AM195" s="164">
        <f>(((IF(L195=$L$101,1,IF(L195=$L$47,1,0))*(AH195*(1-AK195)))*AG195)*(1-AL195))</f>
        <v>0</v>
      </c>
      <c r="AN195" s="165">
        <f>IF(K195=$K$50,AM195,IF(K195=$K$53,AM195,IF(K195=$K$54,AM195,IF(K195=$K$55,AM195,IF(K195=$K$56,AM195,IF(K195=$K$57,AM195,IF(K195=$K$58,AM195,IF(K195=$K$65,AM195,IF(K195=$K$66,AM195,IF(K195=$K$67,AM195,IF(K195=$K$68,AM195,IF(K195=$K$69,AM195,IF(K195=$K$51,AM195,(AM195*(1+AI195)))))))))))))))</f>
        <v>0</v>
      </c>
      <c r="AO195" s="166">
        <v>1.4</v>
      </c>
      <c r="AP195" s="160">
        <f t="shared" si="27"/>
        <v>0</v>
      </c>
      <c r="AQ195" s="167">
        <f t="shared" si="24"/>
        <v>0</v>
      </c>
      <c r="AR195" s="160">
        <f t="shared" si="28"/>
        <v>0</v>
      </c>
      <c r="AS195" s="168">
        <f t="shared" si="29"/>
        <v>0</v>
      </c>
      <c r="AT195" s="169" t="str">
        <f>K195</f>
        <v>MI</v>
      </c>
      <c r="AU195" s="169" t="str">
        <f>I195</f>
        <v>Mercadorias</v>
      </c>
      <c r="AV195" s="170"/>
      <c r="AW195" s="171">
        <f>IF(K195=$K$50,0,IF(K195=$K$53,0,IF(K195=$K$54,0,IF(K195=$K$55,0,IF(K195=$K$56,0,IF(K195=$K$57,0,IF(K195=$K$58,0,IF(K195=$K$65,0,IF(K195=$K$66,0,IF(K195=$K$67,0,IF(K195=$K$68,0,IF(K195=$K$69,0,IF(K195=$K$51,0,1))))))))))))*AM195*AI195)</f>
        <v>0</v>
      </c>
      <c r="AX195" s="172">
        <f>IF(K195=$K$50,0,IF(K195=$K$53,0,IF(K195=$K$54,0,IF(K195=$K$55,0,IF(K195=$K$56,0,IF(K195=$K$57,0,IF(K195=$K$58,0,IF(K195=$K$65,0,IF(K195=$K$66,0,IF(K195=$K$67,0,IF(K195=$K$68,0,IF(K195=$K$69,0,IF(K195=$K$51,0,1))))))))))))*AM195*AJ195*$AX$94)</f>
        <v>0</v>
      </c>
      <c r="AY195" s="172">
        <f>IF(K195=$K$53,0,IF(K195=$K$54,0,IF(K195=$K$55,0,IF(K195=$K$56,0,IF(K195=$K$58,0,IF(K195=$K$50,0,IF(K195=$K$65,0,IF(K195=$K$57,0,IF(K195=$K$51,0,AM195*$AY$102)))))))))</f>
        <v>0</v>
      </c>
      <c r="AZ195" s="172">
        <f>IF(K195=$K$53,0,IF(K195=$K$54,0,IF(K195=$K$55,0,IF(K195=$K$56,0,IF(K195=$K$58,0,IF(K195=$K$50,0,IF(K195=$K$65,0,IF(K195=$K$57,0,IF(K195=$K$51,0,AM195*$AZ$102)))))))))</f>
        <v>0</v>
      </c>
      <c r="BA195" s="172">
        <f t="shared" si="30"/>
        <v>0</v>
      </c>
      <c r="BB195" s="173">
        <f>IF($BA$97=1,AQ195*$BB$102,IF(K195=$K$50,0,IF(K195=$K$53,0,IF(K195=$K$54,0,IF(K195=$K$55,0,IF(K195=$K$56,0,IF(K195=$K$57,0,IF(K195=$K$58,0,IF(K195=$K$65,0,IF(K195=$K$66,0,IF(K195=$K$67,0,IF(K195=$K$68,0,IF(K195=$K$69,0,IF(K195=$K$51,0,1)))))))))))*AQ195*$BB$102)))</f>
        <v>0</v>
      </c>
      <c r="BC195" s="172">
        <f t="shared" si="31"/>
        <v>0</v>
      </c>
      <c r="BD195" s="172">
        <f t="shared" si="32"/>
        <v>0</v>
      </c>
      <c r="BE195" s="172">
        <f>IF($BE$95=I195,$BE$97,IF(I195=$BE$96,$BE$97,1))*($BE$102*AQ195)*$AZ$97</f>
        <v>0</v>
      </c>
      <c r="BF195" s="172">
        <f>IF('[1]Cockpit Retorno'!$C$65=Sim,Mestre!BA195,SUM(BB195:BE195)+(IF(K195=$K$56,AQ195*MOE_IRRF_LR,0)))</f>
        <v>0</v>
      </c>
      <c r="BG195" s="174">
        <f>IF(AA195&gt;0,0,IF(Z195=$Z$82,AG195*1,(IF(Z195=$Z$81,AG195*1,0))))</f>
        <v>0</v>
      </c>
      <c r="BH195" s="174">
        <f>IF(AA195&gt;0,0,IF(Z195=$Z$83,AG195*1,IF(Z195=$Z$81,AG195*1,0)))</f>
        <v>0</v>
      </c>
      <c r="BI195" s="174">
        <f>IF(AA195&gt;0,0,IF(Z195=$Z$84,AG195*1,IF(Z195=$Z$93,AG195*2,IF(Z195=$Z$100,AG195,IF(Z195=$Z$81,AG195*2,IF(Z195=$Z$80,AG195*1,IF(Z195=$Z$79,AG195*3,IF(Z195=$Z$78,AG195*2,0))))))))</f>
        <v>0</v>
      </c>
      <c r="BJ195" s="174">
        <f>IF(AA195&gt;0,0,IF(Z195=$Z$85,AG195,IF(Z195=$Z$93,AG195,IF(Z195=$Z$100,AG195,IF(Z195=$Z$81,AG195*1,IF(Z195=$Z$80,AG195*2,IF(Z195=$Z$79,AG195*2,IF(Z195=$Z$78,AG195*2,0))))))))</f>
        <v>0</v>
      </c>
      <c r="BK195" s="174">
        <f>IF(AA195&gt;0,0,IF(Z195=$Z$92,AG195,0))</f>
        <v>0</v>
      </c>
      <c r="BL195" s="174">
        <f>IF(AA195&gt;0,0,IF(Z195=$Z$91,AG195,0))</f>
        <v>0</v>
      </c>
      <c r="BM195" s="174">
        <f>IF(AA195&gt;0,0,IF(Z195=$Z$86,AG195,0))</f>
        <v>0</v>
      </c>
      <c r="BN195" s="174">
        <f>IF(AA195&gt;0,0,IF(Z195=$Z$87,AG195,0))</f>
        <v>0</v>
      </c>
      <c r="BO195" s="174">
        <f>IF(AA195&gt;0,0,IF(Z195=$Z$88,AG195,0))</f>
        <v>0</v>
      </c>
      <c r="BP195" s="174">
        <f>IF(AA195&gt;0,0,IF(Z195=$Z$89,AG195,0))</f>
        <v>0</v>
      </c>
      <c r="BQ195" s="174">
        <f>IF(AA195&gt;0,0,IF(Z195=$Z$90,AG195,0))</f>
        <v>0</v>
      </c>
      <c r="BR195" s="174">
        <f>IF(Z195=$Z$82,AA195*AG195,0)</f>
        <v>0</v>
      </c>
      <c r="BS195" s="174">
        <f>IF(Z195=$Z$83,AA195*AG195,0)</f>
        <v>0</v>
      </c>
      <c r="BT195" s="174">
        <f>IF(AA195&lt;1,0,IF(Z195=$Z$84,AA195*AG195,IF(Z195=$Z$93,"ERRO",IF(Z195=$Z$100,"ERRO",0))))</f>
        <v>0</v>
      </c>
      <c r="BU195" s="174">
        <f>IF(AA195&lt;1,0,IF(Z195=$Z$85,AA195*AG195,IF(Z195=$Z$93,"ERRO",IF(Z195=$Z$100,"ERRO",0))))</f>
        <v>0</v>
      </c>
      <c r="BV195" s="174">
        <f>IF(Z195=$Z$92,AA195*AG195,0)</f>
        <v>0</v>
      </c>
      <c r="BW195" s="174">
        <f>IF(Z195=$Z$91,AA195*AG195,0)</f>
        <v>0</v>
      </c>
      <c r="BX195" s="174">
        <f>IF(Z195=$Z$86,AA195*AG195,0)</f>
        <v>0</v>
      </c>
      <c r="BY195" s="174">
        <f>IF(Z195=$Z$87,AA195*AG195,0)</f>
        <v>0</v>
      </c>
      <c r="BZ195" s="174">
        <f>IF(Z195=$Z$88,AA195*AG195,0)</f>
        <v>0</v>
      </c>
      <c r="CA195" s="174">
        <f>IF(Z195=$Z$89,AA195*AG195,0)</f>
        <v>0</v>
      </c>
      <c r="CB195" s="174">
        <f>IF(Z195=$Z$90,AA195*AG195,0)</f>
        <v>0</v>
      </c>
      <c r="CC195" s="175">
        <f>IFERROR(IF(L195=$L$49,AG195*AH195*(1+AI195)*(1-AK195)*(1-AL195),0),0)</f>
        <v>114245.257776</v>
      </c>
      <c r="CD195" s="203">
        <f>IF(I195=$CD$97,1,IF(I195=$CD$100,2,IF(K195=$K$66,1,IF(K195=$K$69,1,3))))</f>
        <v>1</v>
      </c>
      <c r="CE195" s="203">
        <f t="shared" si="14"/>
        <v>1.07</v>
      </c>
      <c r="CF195" s="204">
        <f t="shared" si="33"/>
        <v>1.2353999999999998</v>
      </c>
      <c r="CG195" s="203">
        <f t="shared" si="15"/>
        <v>1.42</v>
      </c>
      <c r="CH195" s="204">
        <f t="shared" si="34"/>
        <v>1.5478000000000001</v>
      </c>
      <c r="CI195" s="203">
        <f t="shared" si="16"/>
        <v>1.7</v>
      </c>
      <c r="CJ195" s="205">
        <f t="shared" si="38"/>
        <v>1.0486</v>
      </c>
      <c r="CK195" s="205">
        <f t="shared" si="39"/>
        <v>1.148922</v>
      </c>
      <c r="CL195" s="205">
        <f t="shared" si="40"/>
        <v>1.3915999999999999</v>
      </c>
      <c r="CM195" s="205">
        <f t="shared" si="41"/>
        <v>1.501366</v>
      </c>
      <c r="CN195" s="206">
        <f t="shared" si="42"/>
        <v>1.6319999999999999</v>
      </c>
      <c r="CO195" s="204">
        <f t="shared" si="25"/>
        <v>1.006656</v>
      </c>
      <c r="CP195" s="207">
        <f t="shared" si="35"/>
        <v>0</v>
      </c>
      <c r="CQ195" s="208">
        <f t="shared" si="36"/>
        <v>0</v>
      </c>
      <c r="CR195" s="209">
        <f t="shared" si="37"/>
        <v>0</v>
      </c>
      <c r="CS195" s="49"/>
      <c r="CT195" s="49"/>
      <c r="CU195" s="49"/>
      <c r="CV195" s="49"/>
      <c r="CW195" s="49"/>
      <c r="CX195" s="49"/>
      <c r="CY195" s="49"/>
      <c r="CZ195" s="49"/>
      <c r="DA195" s="49"/>
      <c r="DB195" s="49"/>
      <c r="DC195" s="49"/>
      <c r="DD195" s="49"/>
      <c r="DE195" s="49"/>
      <c r="DF195" s="49"/>
      <c r="DG195" s="49"/>
      <c r="DH195" s="49"/>
      <c r="DI195" s="49"/>
      <c r="DJ195" s="49"/>
      <c r="DK195" s="49"/>
      <c r="DL195" s="49"/>
      <c r="DM195" s="49"/>
      <c r="DN195" s="49"/>
      <c r="DO195" s="49"/>
      <c r="DP195" s="49"/>
      <c r="DQ195" s="49"/>
      <c r="DR195" s="49"/>
      <c r="DS195" s="49"/>
      <c r="DT195" s="49"/>
      <c r="DU195" s="49"/>
      <c r="DV195" s="49"/>
      <c r="DW195" s="49"/>
      <c r="DX195" s="49"/>
      <c r="DY195" s="49"/>
      <c r="DZ195" s="49"/>
      <c r="EA195" s="49"/>
      <c r="EB195" s="49"/>
      <c r="EC195" s="49"/>
      <c r="ED195" s="49"/>
      <c r="EE195" s="49"/>
      <c r="EF195" s="49"/>
      <c r="EG195" s="49"/>
      <c r="EH195" s="49"/>
      <c r="EI195" s="49"/>
      <c r="EJ195" s="49"/>
      <c r="EK195" s="49"/>
      <c r="EL195" s="49"/>
      <c r="EM195" s="49"/>
      <c r="EN195" s="49"/>
      <c r="EO195" s="49"/>
      <c r="EP195" s="49"/>
      <c r="EQ195" s="49"/>
      <c r="ER195" s="49"/>
      <c r="ES195" s="49"/>
      <c r="ET195" s="49"/>
      <c r="EU195" s="49"/>
      <c r="EV195" s="49"/>
      <c r="EW195" s="49"/>
      <c r="EX195" s="49"/>
      <c r="EY195" s="49"/>
      <c r="EZ195" s="49"/>
      <c r="FA195" s="49"/>
    </row>
    <row r="196" spans="1:157" s="210" customFormat="1" ht="38.25" x14ac:dyDescent="0.25">
      <c r="A196" s="113">
        <f>IF(AND('[1]Cockpit Retorno'!$E$67=Sim,Mestre!M196=Mestre!$M$98),0,1)</f>
        <v>1</v>
      </c>
      <c r="B196" s="113">
        <f>IF(AND('[1]Cockpit Retorno'!$E$67=Sim,Mestre!L196=Mestre!$L$48),0,1)</f>
        <v>1</v>
      </c>
      <c r="C196" s="113">
        <f>IF(AND('[1]Cockpit Retorno'!$E$67=Sim,Mestre!M196=Mestre!$M$97),0,1)</f>
        <v>1</v>
      </c>
      <c r="D196" s="148" t="s">
        <v>7</v>
      </c>
      <c r="E196" s="115"/>
      <c r="F196" s="116" t="s">
        <v>107</v>
      </c>
      <c r="G196" s="149"/>
      <c r="H196" s="150" t="s">
        <v>7</v>
      </c>
      <c r="I196" s="151" t="str">
        <f t="shared" si="26"/>
        <v>Mercadorias</v>
      </c>
      <c r="J196" s="150" t="s">
        <v>15</v>
      </c>
      <c r="K196" s="152" t="s">
        <v>7</v>
      </c>
      <c r="L196" s="153" t="s">
        <v>21</v>
      </c>
      <c r="M196" s="154" t="s">
        <v>290</v>
      </c>
      <c r="N196" s="155" t="s">
        <v>342</v>
      </c>
      <c r="O196" s="155" t="s">
        <v>343</v>
      </c>
      <c r="P196" s="155" t="s">
        <v>43</v>
      </c>
      <c r="Q196" s="155" t="s">
        <v>43</v>
      </c>
      <c r="R196" s="155" t="s">
        <v>43</v>
      </c>
      <c r="S196" s="156" t="s">
        <v>43</v>
      </c>
      <c r="T196" s="156" t="s">
        <v>43</v>
      </c>
      <c r="U196" s="150" t="s">
        <v>43</v>
      </c>
      <c r="V196" s="150" t="s">
        <v>43</v>
      </c>
      <c r="W196" s="150" t="s">
        <v>43</v>
      </c>
      <c r="X196" s="157" t="s">
        <v>346</v>
      </c>
      <c r="Y196" s="150"/>
      <c r="Z196" s="150"/>
      <c r="AA196" s="158">
        <v>0</v>
      </c>
      <c r="AB196" s="155" t="s">
        <v>43</v>
      </c>
      <c r="AC196" s="150" t="s">
        <v>43</v>
      </c>
      <c r="AD196" s="155" t="s">
        <v>43</v>
      </c>
      <c r="AE196" s="155"/>
      <c r="AF196" s="150" t="s">
        <v>43</v>
      </c>
      <c r="AG196" s="159">
        <v>5</v>
      </c>
      <c r="AH196" s="159">
        <v>51.242999999999995</v>
      </c>
      <c r="AI196" s="202">
        <v>0</v>
      </c>
      <c r="AJ196" s="161">
        <v>7.0000000000000007E-2</v>
      </c>
      <c r="AK196" s="162">
        <v>0.05</v>
      </c>
      <c r="AL196" s="163"/>
      <c r="AM196" s="164">
        <f>(((IF(L196=$L$101,1,IF(L196=$L$47,1,0))*(AH196*(1-AK196)))*AG196)*(1-AL196))</f>
        <v>0</v>
      </c>
      <c r="AN196" s="165">
        <f>IF(K196=$K$50,AM196,IF(K196=$K$53,AM196,IF(K196=$K$54,AM196,IF(K196=$K$55,AM196,IF(K196=$K$56,AM196,IF(K196=$K$57,AM196,IF(K196=$K$58,AM196,IF(K196=$K$65,AM196,IF(K196=$K$66,AM196,IF(K196=$K$67,AM196,IF(K196=$K$68,AM196,IF(K196=$K$69,AM196,IF(K196=$K$51,AM196,(AM196*(1+AI196)))))))))))))))</f>
        <v>0</v>
      </c>
      <c r="AO196" s="166">
        <v>1.4</v>
      </c>
      <c r="AP196" s="160">
        <f t="shared" si="27"/>
        <v>0</v>
      </c>
      <c r="AQ196" s="167">
        <f t="shared" si="24"/>
        <v>0</v>
      </c>
      <c r="AR196" s="160">
        <f t="shared" si="28"/>
        <v>0</v>
      </c>
      <c r="AS196" s="168">
        <f t="shared" si="29"/>
        <v>0</v>
      </c>
      <c r="AT196" s="169" t="str">
        <f>K196</f>
        <v>MI</v>
      </c>
      <c r="AU196" s="169" t="str">
        <f>I196</f>
        <v>Mercadorias</v>
      </c>
      <c r="AV196" s="170"/>
      <c r="AW196" s="171">
        <f>IF(K196=$K$50,0,IF(K196=$K$53,0,IF(K196=$K$54,0,IF(K196=$K$55,0,IF(K196=$K$56,0,IF(K196=$K$57,0,IF(K196=$K$58,0,IF(K196=$K$65,0,IF(K196=$K$66,0,IF(K196=$K$67,0,IF(K196=$K$68,0,IF(K196=$K$69,0,IF(K196=$K$51,0,1))))))))))))*AM196*AI196)</f>
        <v>0</v>
      </c>
      <c r="AX196" s="172">
        <f>IF(K196=$K$50,0,IF(K196=$K$53,0,IF(K196=$K$54,0,IF(K196=$K$55,0,IF(K196=$K$56,0,IF(K196=$K$57,0,IF(K196=$K$58,0,IF(K196=$K$65,0,IF(K196=$K$66,0,IF(K196=$K$67,0,IF(K196=$K$68,0,IF(K196=$K$69,0,IF(K196=$K$51,0,1))))))))))))*AM196*AJ196*$AX$94)</f>
        <v>0</v>
      </c>
      <c r="AY196" s="172">
        <f>IF(K196=$K$53,0,IF(K196=$K$54,0,IF(K196=$K$55,0,IF(K196=$K$56,0,IF(K196=$K$58,0,IF(K196=$K$50,0,IF(K196=$K$65,0,IF(K196=$K$57,0,IF(K196=$K$51,0,AM196*$AY$102)))))))))</f>
        <v>0</v>
      </c>
      <c r="AZ196" s="172">
        <f>IF(K196=$K$53,0,IF(K196=$K$54,0,IF(K196=$K$55,0,IF(K196=$K$56,0,IF(K196=$K$58,0,IF(K196=$K$50,0,IF(K196=$K$65,0,IF(K196=$K$57,0,IF(K196=$K$51,0,AM196*$AZ$102)))))))))</f>
        <v>0</v>
      </c>
      <c r="BA196" s="172">
        <f t="shared" si="30"/>
        <v>0</v>
      </c>
      <c r="BB196" s="173">
        <f>IF($BA$97=1,AQ196*$BB$102,IF(K196=$K$50,0,IF(K196=$K$53,0,IF(K196=$K$54,0,IF(K196=$K$55,0,IF(K196=$K$56,0,IF(K196=$K$57,0,IF(K196=$K$58,0,IF(K196=$K$65,0,IF(K196=$K$66,0,IF(K196=$K$67,0,IF(K196=$K$68,0,IF(K196=$K$69,0,IF(K196=$K$51,0,1)))))))))))*AQ196*$BB$102)))</f>
        <v>0</v>
      </c>
      <c r="BC196" s="172">
        <f t="shared" si="31"/>
        <v>0</v>
      </c>
      <c r="BD196" s="172">
        <f t="shared" si="32"/>
        <v>0</v>
      </c>
      <c r="BE196" s="172">
        <f>IF($BE$95=I196,$BE$97,IF(I196=$BE$96,$BE$97,1))*($BE$102*AQ196)*$AZ$97</f>
        <v>0</v>
      </c>
      <c r="BF196" s="172">
        <f>IF('[1]Cockpit Retorno'!$C$65=Sim,Mestre!BA196,SUM(BB196:BE196)+(IF(K196=$K$56,AQ196*MOE_IRRF_LR,0)))</f>
        <v>0</v>
      </c>
      <c r="BG196" s="174">
        <f>IF(AA196&gt;0,0,IF(Z196=$Z$82,AG196*1,(IF(Z196=$Z$81,AG196*1,0))))</f>
        <v>0</v>
      </c>
      <c r="BH196" s="174">
        <f>IF(AA196&gt;0,0,IF(Z196=$Z$83,AG196*1,IF(Z196=$Z$81,AG196*1,0)))</f>
        <v>0</v>
      </c>
      <c r="BI196" s="174">
        <f>IF(AA196&gt;0,0,IF(Z196=$Z$84,AG196*1,IF(Z196=$Z$93,AG196*2,IF(Z196=$Z$100,AG196,IF(Z196=$Z$81,AG196*2,IF(Z196=$Z$80,AG196*1,IF(Z196=$Z$79,AG196*3,IF(Z196=$Z$78,AG196*2,0))))))))</f>
        <v>0</v>
      </c>
      <c r="BJ196" s="174">
        <f>IF(AA196&gt;0,0,IF(Z196=$Z$85,AG196,IF(Z196=$Z$93,AG196,IF(Z196=$Z$100,AG196,IF(Z196=$Z$81,AG196*1,IF(Z196=$Z$80,AG196*2,IF(Z196=$Z$79,AG196*2,IF(Z196=$Z$78,AG196*2,0))))))))</f>
        <v>0</v>
      </c>
      <c r="BK196" s="174">
        <f>IF(AA196&gt;0,0,IF(Z196=$Z$92,AG196,0))</f>
        <v>0</v>
      </c>
      <c r="BL196" s="174">
        <f>IF(AA196&gt;0,0,IF(Z196=$Z$91,AG196,0))</f>
        <v>0</v>
      </c>
      <c r="BM196" s="174">
        <f>IF(AA196&gt;0,0,IF(Z196=$Z$86,AG196,0))</f>
        <v>0</v>
      </c>
      <c r="BN196" s="174">
        <f>IF(AA196&gt;0,0,IF(Z196=$Z$87,AG196,0))</f>
        <v>0</v>
      </c>
      <c r="BO196" s="174">
        <f>IF(AA196&gt;0,0,IF(Z196=$Z$88,AG196,0))</f>
        <v>0</v>
      </c>
      <c r="BP196" s="174">
        <f>IF(AA196&gt;0,0,IF(Z196=$Z$89,AG196,0))</f>
        <v>0</v>
      </c>
      <c r="BQ196" s="174">
        <f>IF(AA196&gt;0,0,IF(Z196=$Z$90,AG196,0))</f>
        <v>0</v>
      </c>
      <c r="BR196" s="174">
        <f>IF(Z196=$Z$82,AA196*AG196,0)</f>
        <v>0</v>
      </c>
      <c r="BS196" s="174">
        <f>IF(Z196=$Z$83,AA196*AG196,0)</f>
        <v>0</v>
      </c>
      <c r="BT196" s="174">
        <f>IF(AA196&lt;1,0,IF(Z196=$Z$84,AA196*AG196,IF(Z196=$Z$93,"ERRO",IF(Z196=$Z$100,"ERRO",0))))</f>
        <v>0</v>
      </c>
      <c r="BU196" s="174">
        <f>IF(AA196&lt;1,0,IF(Z196=$Z$85,AA196*AG196,IF(Z196=$Z$93,"ERRO",IF(Z196=$Z$100,"ERRO",0))))</f>
        <v>0</v>
      </c>
      <c r="BV196" s="174">
        <f>IF(Z196=$Z$92,AA196*AG196,0)</f>
        <v>0</v>
      </c>
      <c r="BW196" s="174">
        <f>IF(Z196=$Z$91,AA196*AG196,0)</f>
        <v>0</v>
      </c>
      <c r="BX196" s="174">
        <f>IF(Z196=$Z$86,AA196*AG196,0)</f>
        <v>0</v>
      </c>
      <c r="BY196" s="174">
        <f>IF(Z196=$Z$87,AA196*AG196,0)</f>
        <v>0</v>
      </c>
      <c r="BZ196" s="174">
        <f>IF(Z196=$Z$88,AA196*AG196,0)</f>
        <v>0</v>
      </c>
      <c r="CA196" s="174">
        <f>IF(Z196=$Z$89,AA196*AG196,0)</f>
        <v>0</v>
      </c>
      <c r="CB196" s="174">
        <f>IF(Z196=$Z$90,AA196*AG196,0)</f>
        <v>0</v>
      </c>
      <c r="CC196" s="175">
        <f>IFERROR(IF(L196=$L$49,AG196*AH196*(1+AI196)*(1-AK196)*(1-AL196),0),0)</f>
        <v>243.40424999999996</v>
      </c>
      <c r="CD196" s="203">
        <f>IF(I196=$CD$97,1,IF(I196=$CD$100,2,IF(K196=$K$66,1,IF(K196=$K$69,1,3))))</f>
        <v>1</v>
      </c>
      <c r="CE196" s="203">
        <f t="shared" si="14"/>
        <v>1.07</v>
      </c>
      <c r="CF196" s="204">
        <f t="shared" si="33"/>
        <v>1.2353999999999998</v>
      </c>
      <c r="CG196" s="203">
        <f t="shared" si="15"/>
        <v>1.42</v>
      </c>
      <c r="CH196" s="204">
        <f t="shared" si="34"/>
        <v>1.5478000000000001</v>
      </c>
      <c r="CI196" s="203">
        <f t="shared" si="16"/>
        <v>1.7</v>
      </c>
      <c r="CJ196" s="205">
        <f t="shared" si="38"/>
        <v>1.0486</v>
      </c>
      <c r="CK196" s="205">
        <f t="shared" si="39"/>
        <v>1.148922</v>
      </c>
      <c r="CL196" s="205">
        <f t="shared" si="40"/>
        <v>1.3915999999999999</v>
      </c>
      <c r="CM196" s="205">
        <f t="shared" si="41"/>
        <v>1.501366</v>
      </c>
      <c r="CN196" s="206">
        <f t="shared" si="42"/>
        <v>1.6319999999999999</v>
      </c>
      <c r="CO196" s="204">
        <f t="shared" si="25"/>
        <v>1.006656</v>
      </c>
      <c r="CP196" s="207">
        <f t="shared" si="35"/>
        <v>0</v>
      </c>
      <c r="CQ196" s="208">
        <f t="shared" si="36"/>
        <v>0</v>
      </c>
      <c r="CR196" s="209">
        <f t="shared" si="37"/>
        <v>0</v>
      </c>
      <c r="CS196" s="49"/>
      <c r="CT196" s="49"/>
      <c r="CU196" s="49"/>
      <c r="CV196" s="49"/>
      <c r="CW196" s="49"/>
      <c r="CX196" s="49"/>
      <c r="CY196" s="49"/>
      <c r="CZ196" s="49"/>
      <c r="DA196" s="49"/>
      <c r="DB196" s="49"/>
      <c r="DC196" s="49"/>
      <c r="DD196" s="49"/>
      <c r="DE196" s="49"/>
      <c r="DF196" s="49"/>
      <c r="DG196" s="49"/>
      <c r="DH196" s="49"/>
      <c r="DI196" s="49"/>
      <c r="DJ196" s="49"/>
      <c r="DK196" s="49"/>
      <c r="DL196" s="49"/>
      <c r="DM196" s="49"/>
      <c r="DN196" s="49"/>
      <c r="DO196" s="49"/>
      <c r="DP196" s="49"/>
      <c r="DQ196" s="49"/>
      <c r="DR196" s="49"/>
      <c r="DS196" s="49"/>
      <c r="DT196" s="49"/>
      <c r="DU196" s="49"/>
      <c r="DV196" s="49"/>
      <c r="DW196" s="49"/>
      <c r="DX196" s="49"/>
      <c r="DY196" s="49"/>
      <c r="DZ196" s="49"/>
      <c r="EA196" s="49"/>
      <c r="EB196" s="49"/>
      <c r="EC196" s="49"/>
      <c r="ED196" s="49"/>
      <c r="EE196" s="49"/>
      <c r="EF196" s="49"/>
      <c r="EG196" s="49"/>
      <c r="EH196" s="49"/>
      <c r="EI196" s="49"/>
      <c r="EJ196" s="49"/>
      <c r="EK196" s="49"/>
      <c r="EL196" s="49"/>
      <c r="EM196" s="49"/>
      <c r="EN196" s="49"/>
      <c r="EO196" s="49"/>
      <c r="EP196" s="49"/>
      <c r="EQ196" s="49"/>
      <c r="ER196" s="49"/>
      <c r="ES196" s="49"/>
      <c r="ET196" s="49"/>
      <c r="EU196" s="49"/>
      <c r="EV196" s="49"/>
      <c r="EW196" s="49"/>
      <c r="EX196" s="49"/>
      <c r="EY196" s="49"/>
      <c r="EZ196" s="49"/>
      <c r="FA196" s="49"/>
    </row>
    <row r="197" spans="1:157" s="210" customFormat="1" ht="38.25" x14ac:dyDescent="0.25">
      <c r="A197" s="113">
        <f>IF(AND('[1]Cockpit Retorno'!$E$67=Sim,Mestre!M197=Mestre!$M$98),0,1)</f>
        <v>1</v>
      </c>
      <c r="B197" s="113">
        <f>IF(AND('[1]Cockpit Retorno'!$E$67=Sim,Mestre!L197=Mestre!$L$48),0,1)</f>
        <v>1</v>
      </c>
      <c r="C197" s="113">
        <f>IF(AND('[1]Cockpit Retorno'!$E$67=Sim,Mestre!M197=Mestre!$M$97),0,1)</f>
        <v>1</v>
      </c>
      <c r="D197" s="148" t="s">
        <v>7</v>
      </c>
      <c r="E197" s="115"/>
      <c r="F197" s="116" t="s">
        <v>107</v>
      </c>
      <c r="G197" s="149"/>
      <c r="H197" s="150" t="s">
        <v>7</v>
      </c>
      <c r="I197" s="151" t="str">
        <f t="shared" si="26"/>
        <v>Mercadorias</v>
      </c>
      <c r="J197" s="150" t="s">
        <v>15</v>
      </c>
      <c r="K197" s="152" t="s">
        <v>7</v>
      </c>
      <c r="L197" s="153" t="s">
        <v>21</v>
      </c>
      <c r="M197" s="154" t="s">
        <v>290</v>
      </c>
      <c r="N197" s="155" t="s">
        <v>342</v>
      </c>
      <c r="O197" s="155" t="s">
        <v>343</v>
      </c>
      <c r="P197" s="155" t="s">
        <v>43</v>
      </c>
      <c r="Q197" s="155" t="s">
        <v>43</v>
      </c>
      <c r="R197" s="155" t="s">
        <v>43</v>
      </c>
      <c r="S197" s="156" t="s">
        <v>43</v>
      </c>
      <c r="T197" s="156" t="s">
        <v>43</v>
      </c>
      <c r="U197" s="150" t="s">
        <v>43</v>
      </c>
      <c r="V197" s="150" t="s">
        <v>43</v>
      </c>
      <c r="W197" s="150" t="s">
        <v>43</v>
      </c>
      <c r="X197" s="157" t="s">
        <v>347</v>
      </c>
      <c r="Y197" s="150"/>
      <c r="Z197" s="150"/>
      <c r="AA197" s="158">
        <v>0</v>
      </c>
      <c r="AB197" s="155" t="s">
        <v>43</v>
      </c>
      <c r="AC197" s="150" t="s">
        <v>43</v>
      </c>
      <c r="AD197" s="155" t="s">
        <v>43</v>
      </c>
      <c r="AE197" s="155"/>
      <c r="AF197" s="150" t="s">
        <v>43</v>
      </c>
      <c r="AG197" s="159">
        <v>36</v>
      </c>
      <c r="AH197" s="159">
        <v>29.8995</v>
      </c>
      <c r="AI197" s="202">
        <v>0</v>
      </c>
      <c r="AJ197" s="161">
        <v>7.0000000000000007E-2</v>
      </c>
      <c r="AK197" s="162">
        <v>0.05</v>
      </c>
      <c r="AL197" s="163"/>
      <c r="AM197" s="164">
        <f>(((IF(L197=$L$101,1,IF(L197=$L$47,1,0))*(AH197*(1-AK197)))*AG197)*(1-AL197))</f>
        <v>0</v>
      </c>
      <c r="AN197" s="165">
        <f>IF(K197=$K$50,AM197,IF(K197=$K$53,AM197,IF(K197=$K$54,AM197,IF(K197=$K$55,AM197,IF(K197=$K$56,AM197,IF(K197=$K$57,AM197,IF(K197=$K$58,AM197,IF(K197=$K$65,AM197,IF(K197=$K$66,AM197,IF(K197=$K$67,AM197,IF(K197=$K$68,AM197,IF(K197=$K$69,AM197,IF(K197=$K$51,AM197,(AM197*(1+AI197)))))))))))))))</f>
        <v>0</v>
      </c>
      <c r="AO197" s="166">
        <v>1.4</v>
      </c>
      <c r="AP197" s="160">
        <f t="shared" si="27"/>
        <v>0</v>
      </c>
      <c r="AQ197" s="167">
        <f t="shared" si="24"/>
        <v>0</v>
      </c>
      <c r="AR197" s="160">
        <f t="shared" si="28"/>
        <v>0</v>
      </c>
      <c r="AS197" s="168">
        <f t="shared" si="29"/>
        <v>0</v>
      </c>
      <c r="AT197" s="169" t="str">
        <f>K197</f>
        <v>MI</v>
      </c>
      <c r="AU197" s="169" t="str">
        <f>I197</f>
        <v>Mercadorias</v>
      </c>
      <c r="AV197" s="170"/>
      <c r="AW197" s="171">
        <f>IF(K197=$K$50,0,IF(K197=$K$53,0,IF(K197=$K$54,0,IF(K197=$K$55,0,IF(K197=$K$56,0,IF(K197=$K$57,0,IF(K197=$K$58,0,IF(K197=$K$65,0,IF(K197=$K$66,0,IF(K197=$K$67,0,IF(K197=$K$68,0,IF(K197=$K$69,0,IF(K197=$K$51,0,1))))))))))))*AM197*AI197)</f>
        <v>0</v>
      </c>
      <c r="AX197" s="172">
        <f>IF(K197=$K$50,0,IF(K197=$K$53,0,IF(K197=$K$54,0,IF(K197=$K$55,0,IF(K197=$K$56,0,IF(K197=$K$57,0,IF(K197=$K$58,0,IF(K197=$K$65,0,IF(K197=$K$66,0,IF(K197=$K$67,0,IF(K197=$K$68,0,IF(K197=$K$69,0,IF(K197=$K$51,0,1))))))))))))*AM197*AJ197*$AX$94)</f>
        <v>0</v>
      </c>
      <c r="AY197" s="172">
        <f>IF(K197=$K$53,0,IF(K197=$K$54,0,IF(K197=$K$55,0,IF(K197=$K$56,0,IF(K197=$K$58,0,IF(K197=$K$50,0,IF(K197=$K$65,0,IF(K197=$K$57,0,IF(K197=$K$51,0,AM197*$AY$102)))))))))</f>
        <v>0</v>
      </c>
      <c r="AZ197" s="172">
        <f>IF(K197=$K$53,0,IF(K197=$K$54,0,IF(K197=$K$55,0,IF(K197=$K$56,0,IF(K197=$K$58,0,IF(K197=$K$50,0,IF(K197=$K$65,0,IF(K197=$K$57,0,IF(K197=$K$51,0,AM197*$AZ$102)))))))))</f>
        <v>0</v>
      </c>
      <c r="BA197" s="172">
        <f t="shared" si="30"/>
        <v>0</v>
      </c>
      <c r="BB197" s="173">
        <f>IF($BA$97=1,AQ197*$BB$102,IF(K197=$K$50,0,IF(K197=$K$53,0,IF(K197=$K$54,0,IF(K197=$K$55,0,IF(K197=$K$56,0,IF(K197=$K$57,0,IF(K197=$K$58,0,IF(K197=$K$65,0,IF(K197=$K$66,0,IF(K197=$K$67,0,IF(K197=$K$68,0,IF(K197=$K$69,0,IF(K197=$K$51,0,1)))))))))))*AQ197*$BB$102)))</f>
        <v>0</v>
      </c>
      <c r="BC197" s="172">
        <f t="shared" si="31"/>
        <v>0</v>
      </c>
      <c r="BD197" s="172">
        <f t="shared" si="32"/>
        <v>0</v>
      </c>
      <c r="BE197" s="172">
        <f>IF($BE$95=I197,$BE$97,IF(I197=$BE$96,$BE$97,1))*($BE$102*AQ197)*$AZ$97</f>
        <v>0</v>
      </c>
      <c r="BF197" s="172">
        <f>IF('[1]Cockpit Retorno'!$C$65=Sim,Mestre!BA197,SUM(BB197:BE197)+(IF(K197=$K$56,AQ197*MOE_IRRF_LR,0)))</f>
        <v>0</v>
      </c>
      <c r="BG197" s="174">
        <f>IF(AA197&gt;0,0,IF(Z197=$Z$82,AG197*1,(IF(Z197=$Z$81,AG197*1,0))))</f>
        <v>0</v>
      </c>
      <c r="BH197" s="174">
        <f>IF(AA197&gt;0,0,IF(Z197=$Z$83,AG197*1,IF(Z197=$Z$81,AG197*1,0)))</f>
        <v>0</v>
      </c>
      <c r="BI197" s="174">
        <f>IF(AA197&gt;0,0,IF(Z197=$Z$84,AG197*1,IF(Z197=$Z$93,AG197*2,IF(Z197=$Z$100,AG197,IF(Z197=$Z$81,AG197*2,IF(Z197=$Z$80,AG197*1,IF(Z197=$Z$79,AG197*3,IF(Z197=$Z$78,AG197*2,0))))))))</f>
        <v>0</v>
      </c>
      <c r="BJ197" s="174">
        <f>IF(AA197&gt;0,0,IF(Z197=$Z$85,AG197,IF(Z197=$Z$93,AG197,IF(Z197=$Z$100,AG197,IF(Z197=$Z$81,AG197*1,IF(Z197=$Z$80,AG197*2,IF(Z197=$Z$79,AG197*2,IF(Z197=$Z$78,AG197*2,0))))))))</f>
        <v>0</v>
      </c>
      <c r="BK197" s="174">
        <f>IF(AA197&gt;0,0,IF(Z197=$Z$92,AG197,0))</f>
        <v>0</v>
      </c>
      <c r="BL197" s="174">
        <f>IF(AA197&gt;0,0,IF(Z197=$Z$91,AG197,0))</f>
        <v>0</v>
      </c>
      <c r="BM197" s="174">
        <f>IF(AA197&gt;0,0,IF(Z197=$Z$86,AG197,0))</f>
        <v>0</v>
      </c>
      <c r="BN197" s="174">
        <f>IF(AA197&gt;0,0,IF(Z197=$Z$87,AG197,0))</f>
        <v>0</v>
      </c>
      <c r="BO197" s="174">
        <f>IF(AA197&gt;0,0,IF(Z197=$Z$88,AG197,0))</f>
        <v>0</v>
      </c>
      <c r="BP197" s="174">
        <f>IF(AA197&gt;0,0,IF(Z197=$Z$89,AG197,0))</f>
        <v>0</v>
      </c>
      <c r="BQ197" s="174">
        <f>IF(AA197&gt;0,0,IF(Z197=$Z$90,AG197,0))</f>
        <v>0</v>
      </c>
      <c r="BR197" s="174">
        <f>IF(Z197=$Z$82,AA197*AG197,0)</f>
        <v>0</v>
      </c>
      <c r="BS197" s="174">
        <f>IF(Z197=$Z$83,AA197*AG197,0)</f>
        <v>0</v>
      </c>
      <c r="BT197" s="174">
        <f>IF(AA197&lt;1,0,IF(Z197=$Z$84,AA197*AG197,IF(Z197=$Z$93,"ERRO",IF(Z197=$Z$100,"ERRO",0))))</f>
        <v>0</v>
      </c>
      <c r="BU197" s="174">
        <f>IF(AA197&lt;1,0,IF(Z197=$Z$85,AA197*AG197,IF(Z197=$Z$93,"ERRO",IF(Z197=$Z$100,"ERRO",0))))</f>
        <v>0</v>
      </c>
      <c r="BV197" s="174">
        <f>IF(Z197=$Z$92,AA197*AG197,0)</f>
        <v>0</v>
      </c>
      <c r="BW197" s="174">
        <f>IF(Z197=$Z$91,AA197*AG197,0)</f>
        <v>0</v>
      </c>
      <c r="BX197" s="174">
        <f>IF(Z197=$Z$86,AA197*AG197,0)</f>
        <v>0</v>
      </c>
      <c r="BY197" s="174">
        <f>IF(Z197=$Z$87,AA197*AG197,0)</f>
        <v>0</v>
      </c>
      <c r="BZ197" s="174">
        <f>IF(Z197=$Z$88,AA197*AG197,0)</f>
        <v>0</v>
      </c>
      <c r="CA197" s="174">
        <f>IF(Z197=$Z$89,AA197*AG197,0)</f>
        <v>0</v>
      </c>
      <c r="CB197" s="174">
        <f>IF(Z197=$Z$90,AA197*AG197,0)</f>
        <v>0</v>
      </c>
      <c r="CC197" s="175">
        <f>IFERROR(IF(L197=$L$49,AG197*AH197*(1+AI197)*(1-AK197)*(1-AL197),0),0)</f>
        <v>1022.5629</v>
      </c>
      <c r="CD197" s="203">
        <f>IF(I197=$CD$97,1,IF(I197=$CD$100,2,IF(K197=$K$66,1,IF(K197=$K$69,1,3))))</f>
        <v>1</v>
      </c>
      <c r="CE197" s="203">
        <f t="shared" si="14"/>
        <v>1.07</v>
      </c>
      <c r="CF197" s="204">
        <f t="shared" si="33"/>
        <v>1.2353999999999998</v>
      </c>
      <c r="CG197" s="203">
        <f t="shared" si="15"/>
        <v>1.42</v>
      </c>
      <c r="CH197" s="204">
        <f t="shared" si="34"/>
        <v>1.5478000000000001</v>
      </c>
      <c r="CI197" s="203">
        <f t="shared" si="16"/>
        <v>1.7</v>
      </c>
      <c r="CJ197" s="205">
        <f t="shared" si="38"/>
        <v>1.0486</v>
      </c>
      <c r="CK197" s="205">
        <f t="shared" si="39"/>
        <v>1.148922</v>
      </c>
      <c r="CL197" s="205">
        <f t="shared" si="40"/>
        <v>1.3915999999999999</v>
      </c>
      <c r="CM197" s="205">
        <f t="shared" si="41"/>
        <v>1.501366</v>
      </c>
      <c r="CN197" s="206">
        <f t="shared" si="42"/>
        <v>1.6319999999999999</v>
      </c>
      <c r="CO197" s="204">
        <f t="shared" si="25"/>
        <v>1.006656</v>
      </c>
      <c r="CP197" s="207">
        <f t="shared" si="35"/>
        <v>0</v>
      </c>
      <c r="CQ197" s="208">
        <f t="shared" si="36"/>
        <v>0</v>
      </c>
      <c r="CR197" s="209">
        <f t="shared" si="37"/>
        <v>0</v>
      </c>
      <c r="CS197" s="49"/>
      <c r="CT197" s="49"/>
      <c r="CU197" s="49"/>
      <c r="CV197" s="49"/>
      <c r="CW197" s="49"/>
      <c r="CX197" s="49"/>
      <c r="CY197" s="49"/>
      <c r="CZ197" s="49"/>
      <c r="DA197" s="49"/>
      <c r="DB197" s="49"/>
      <c r="DC197" s="49"/>
      <c r="DD197" s="49"/>
      <c r="DE197" s="49"/>
      <c r="DF197" s="49"/>
      <c r="DG197" s="49"/>
      <c r="DH197" s="49"/>
      <c r="DI197" s="49"/>
      <c r="DJ197" s="49"/>
      <c r="DK197" s="49"/>
      <c r="DL197" s="49"/>
      <c r="DM197" s="49"/>
      <c r="DN197" s="49"/>
      <c r="DO197" s="49"/>
      <c r="DP197" s="49"/>
      <c r="DQ197" s="49"/>
      <c r="DR197" s="49"/>
      <c r="DS197" s="49"/>
      <c r="DT197" s="49"/>
      <c r="DU197" s="49"/>
      <c r="DV197" s="49"/>
      <c r="DW197" s="49"/>
      <c r="DX197" s="49"/>
      <c r="DY197" s="49"/>
      <c r="DZ197" s="49"/>
      <c r="EA197" s="49"/>
      <c r="EB197" s="49"/>
      <c r="EC197" s="49"/>
      <c r="ED197" s="49"/>
      <c r="EE197" s="49"/>
      <c r="EF197" s="49"/>
      <c r="EG197" s="49"/>
      <c r="EH197" s="49"/>
      <c r="EI197" s="49"/>
      <c r="EJ197" s="49"/>
      <c r="EK197" s="49"/>
      <c r="EL197" s="49"/>
      <c r="EM197" s="49"/>
      <c r="EN197" s="49"/>
      <c r="EO197" s="49"/>
      <c r="EP197" s="49"/>
      <c r="EQ197" s="49"/>
      <c r="ER197" s="49"/>
      <c r="ES197" s="49"/>
      <c r="ET197" s="49"/>
      <c r="EU197" s="49"/>
      <c r="EV197" s="49"/>
      <c r="EW197" s="49"/>
      <c r="EX197" s="49"/>
      <c r="EY197" s="49"/>
      <c r="EZ197" s="49"/>
      <c r="FA197" s="49"/>
    </row>
    <row r="198" spans="1:157" s="210" customFormat="1" ht="38.25" x14ac:dyDescent="0.25">
      <c r="A198" s="113">
        <f>IF(AND('[1]Cockpit Retorno'!$E$67=Sim,Mestre!M198=Mestre!$M$98),0,1)</f>
        <v>1</v>
      </c>
      <c r="B198" s="113">
        <f>IF(AND('[1]Cockpit Retorno'!$E$67=Sim,Mestre!L198=Mestre!$L$48),0,1)</f>
        <v>1</v>
      </c>
      <c r="C198" s="113">
        <f>IF(AND('[1]Cockpit Retorno'!$E$67=Sim,Mestre!M198=Mestre!$M$97),0,1)</f>
        <v>1</v>
      </c>
      <c r="D198" s="148" t="s">
        <v>7</v>
      </c>
      <c r="E198" s="115"/>
      <c r="F198" s="116" t="s">
        <v>107</v>
      </c>
      <c r="G198" s="149"/>
      <c r="H198" s="150" t="s">
        <v>7</v>
      </c>
      <c r="I198" s="151" t="str">
        <f t="shared" si="26"/>
        <v>Mercadorias</v>
      </c>
      <c r="J198" s="150" t="s">
        <v>15</v>
      </c>
      <c r="K198" s="152" t="s">
        <v>7</v>
      </c>
      <c r="L198" s="153" t="s">
        <v>21</v>
      </c>
      <c r="M198" s="154" t="s">
        <v>290</v>
      </c>
      <c r="N198" s="155" t="s">
        <v>342</v>
      </c>
      <c r="O198" s="155" t="s">
        <v>343</v>
      </c>
      <c r="P198" s="155" t="s">
        <v>43</v>
      </c>
      <c r="Q198" s="155" t="s">
        <v>43</v>
      </c>
      <c r="R198" s="155" t="s">
        <v>43</v>
      </c>
      <c r="S198" s="156" t="s">
        <v>43</v>
      </c>
      <c r="T198" s="156" t="s">
        <v>43</v>
      </c>
      <c r="U198" s="150" t="s">
        <v>43</v>
      </c>
      <c r="V198" s="150" t="s">
        <v>43</v>
      </c>
      <c r="W198" s="150" t="s">
        <v>43</v>
      </c>
      <c r="X198" s="157" t="s">
        <v>348</v>
      </c>
      <c r="Y198" s="150"/>
      <c r="Z198" s="150"/>
      <c r="AA198" s="158">
        <v>0</v>
      </c>
      <c r="AB198" s="155" t="s">
        <v>43</v>
      </c>
      <c r="AC198" s="150" t="s">
        <v>43</v>
      </c>
      <c r="AD198" s="155" t="s">
        <v>43</v>
      </c>
      <c r="AE198" s="155"/>
      <c r="AF198" s="150" t="s">
        <v>43</v>
      </c>
      <c r="AG198" s="159">
        <v>45</v>
      </c>
      <c r="AH198" s="159">
        <v>76.092600000000004</v>
      </c>
      <c r="AI198" s="202">
        <v>0</v>
      </c>
      <c r="AJ198" s="161">
        <v>7.0000000000000007E-2</v>
      </c>
      <c r="AK198" s="162">
        <v>0.05</v>
      </c>
      <c r="AL198" s="163"/>
      <c r="AM198" s="164">
        <f>(((IF(L198=$L$101,1,IF(L198=$L$47,1,0))*(AH198*(1-AK198)))*AG198)*(1-AL198))</f>
        <v>0</v>
      </c>
      <c r="AN198" s="165">
        <f>IF(K198=$K$50,AM198,IF(K198=$K$53,AM198,IF(K198=$K$54,AM198,IF(K198=$K$55,AM198,IF(K198=$K$56,AM198,IF(K198=$K$57,AM198,IF(K198=$K$58,AM198,IF(K198=$K$65,AM198,IF(K198=$K$66,AM198,IF(K198=$K$67,AM198,IF(K198=$K$68,AM198,IF(K198=$K$69,AM198,IF(K198=$K$51,AM198,(AM198*(1+AI198)))))))))))))))</f>
        <v>0</v>
      </c>
      <c r="AO198" s="166">
        <v>1.4</v>
      </c>
      <c r="AP198" s="160">
        <f t="shared" si="27"/>
        <v>0</v>
      </c>
      <c r="AQ198" s="167">
        <f t="shared" ref="AQ198:AQ217" si="43">AP198*Fator_Venda</f>
        <v>0</v>
      </c>
      <c r="AR198" s="160">
        <f t="shared" si="28"/>
        <v>0</v>
      </c>
      <c r="AS198" s="168">
        <f t="shared" si="29"/>
        <v>0</v>
      </c>
      <c r="AT198" s="169" t="str">
        <f>K198</f>
        <v>MI</v>
      </c>
      <c r="AU198" s="169" t="str">
        <f>I198</f>
        <v>Mercadorias</v>
      </c>
      <c r="AV198" s="170"/>
      <c r="AW198" s="171">
        <f>IF(K198=$K$50,0,IF(K198=$K$53,0,IF(K198=$K$54,0,IF(K198=$K$55,0,IF(K198=$K$56,0,IF(K198=$K$57,0,IF(K198=$K$58,0,IF(K198=$K$65,0,IF(K198=$K$66,0,IF(K198=$K$67,0,IF(K198=$K$68,0,IF(K198=$K$69,0,IF(K198=$K$51,0,1))))))))))))*AM198*AI198)</f>
        <v>0</v>
      </c>
      <c r="AX198" s="172">
        <f>IF(K198=$K$50,0,IF(K198=$K$53,0,IF(K198=$K$54,0,IF(K198=$K$55,0,IF(K198=$K$56,0,IF(K198=$K$57,0,IF(K198=$K$58,0,IF(K198=$K$65,0,IF(K198=$K$66,0,IF(K198=$K$67,0,IF(K198=$K$68,0,IF(K198=$K$69,0,IF(K198=$K$51,0,1))))))))))))*AM198*AJ198*$AX$94)</f>
        <v>0</v>
      </c>
      <c r="AY198" s="172">
        <f>IF(K198=$K$53,0,IF(K198=$K$54,0,IF(K198=$K$55,0,IF(K198=$K$56,0,IF(K198=$K$58,0,IF(K198=$K$50,0,IF(K198=$K$65,0,IF(K198=$K$57,0,IF(K198=$K$51,0,AM198*$AY$102)))))))))</f>
        <v>0</v>
      </c>
      <c r="AZ198" s="172">
        <f>IF(K198=$K$53,0,IF(K198=$K$54,0,IF(K198=$K$55,0,IF(K198=$K$56,0,IF(K198=$K$58,0,IF(K198=$K$50,0,IF(K198=$K$65,0,IF(K198=$K$57,0,IF(K198=$K$51,0,AM198*$AZ$102)))))))))</f>
        <v>0</v>
      </c>
      <c r="BA198" s="172">
        <f t="shared" si="30"/>
        <v>0</v>
      </c>
      <c r="BB198" s="173">
        <f>IF($BA$97=1,AQ198*$BB$102,IF(K198=$K$50,0,IF(K198=$K$53,0,IF(K198=$K$54,0,IF(K198=$K$55,0,IF(K198=$K$56,0,IF(K198=$K$57,0,IF(K198=$K$58,0,IF(K198=$K$65,0,IF(K198=$K$66,0,IF(K198=$K$67,0,IF(K198=$K$68,0,IF(K198=$K$69,0,IF(K198=$K$51,0,1)))))))))))*AQ198*$BB$102)))</f>
        <v>0</v>
      </c>
      <c r="BC198" s="172">
        <f t="shared" si="31"/>
        <v>0</v>
      </c>
      <c r="BD198" s="172">
        <f t="shared" si="32"/>
        <v>0</v>
      </c>
      <c r="BE198" s="172">
        <f>IF($BE$95=I198,$BE$97,IF(I198=$BE$96,$BE$97,1))*($BE$102*AQ198)*$AZ$97</f>
        <v>0</v>
      </c>
      <c r="BF198" s="172">
        <f>IF('[1]Cockpit Retorno'!$C$65=Sim,Mestre!BA198,SUM(BB198:BE198)+(IF(K198=$K$56,AQ198*MOE_IRRF_LR,0)))</f>
        <v>0</v>
      </c>
      <c r="BG198" s="174">
        <f>IF(AA198&gt;0,0,IF(Z198=$Z$82,AG198*1,(IF(Z198=$Z$81,AG198*1,0))))</f>
        <v>0</v>
      </c>
      <c r="BH198" s="174">
        <f>IF(AA198&gt;0,0,IF(Z198=$Z$83,AG198*1,IF(Z198=$Z$81,AG198*1,0)))</f>
        <v>0</v>
      </c>
      <c r="BI198" s="174">
        <f>IF(AA198&gt;0,0,IF(Z198=$Z$84,AG198*1,IF(Z198=$Z$93,AG198*2,IF(Z198=$Z$100,AG198,IF(Z198=$Z$81,AG198*2,IF(Z198=$Z$80,AG198*1,IF(Z198=$Z$79,AG198*3,IF(Z198=$Z$78,AG198*2,0))))))))</f>
        <v>0</v>
      </c>
      <c r="BJ198" s="174">
        <f>IF(AA198&gt;0,0,IF(Z198=$Z$85,AG198,IF(Z198=$Z$93,AG198,IF(Z198=$Z$100,AG198,IF(Z198=$Z$81,AG198*1,IF(Z198=$Z$80,AG198*2,IF(Z198=$Z$79,AG198*2,IF(Z198=$Z$78,AG198*2,0))))))))</f>
        <v>0</v>
      </c>
      <c r="BK198" s="174">
        <f>IF(AA198&gt;0,0,IF(Z198=$Z$92,AG198,0))</f>
        <v>0</v>
      </c>
      <c r="BL198" s="174">
        <f>IF(AA198&gt;0,0,IF(Z198=$Z$91,AG198,0))</f>
        <v>0</v>
      </c>
      <c r="BM198" s="174">
        <f>IF(AA198&gt;0,0,IF(Z198=$Z$86,AG198,0))</f>
        <v>0</v>
      </c>
      <c r="BN198" s="174">
        <f>IF(AA198&gt;0,0,IF(Z198=$Z$87,AG198,0))</f>
        <v>0</v>
      </c>
      <c r="BO198" s="174">
        <f>IF(AA198&gt;0,0,IF(Z198=$Z$88,AG198,0))</f>
        <v>0</v>
      </c>
      <c r="BP198" s="174">
        <f>IF(AA198&gt;0,0,IF(Z198=$Z$89,AG198,0))</f>
        <v>0</v>
      </c>
      <c r="BQ198" s="174">
        <f>IF(AA198&gt;0,0,IF(Z198=$Z$90,AG198,0))</f>
        <v>0</v>
      </c>
      <c r="BR198" s="174">
        <f>IF(Z198=$Z$82,AA198*AG198,0)</f>
        <v>0</v>
      </c>
      <c r="BS198" s="174">
        <f>IF(Z198=$Z$83,AA198*AG198,0)</f>
        <v>0</v>
      </c>
      <c r="BT198" s="174">
        <f>IF(AA198&lt;1,0,IF(Z198=$Z$84,AA198*AG198,IF(Z198=$Z$93,"ERRO",IF(Z198=$Z$100,"ERRO",0))))</f>
        <v>0</v>
      </c>
      <c r="BU198" s="174">
        <f>IF(AA198&lt;1,0,IF(Z198=$Z$85,AA198*AG198,IF(Z198=$Z$93,"ERRO",IF(Z198=$Z$100,"ERRO",0))))</f>
        <v>0</v>
      </c>
      <c r="BV198" s="174">
        <f>IF(Z198=$Z$92,AA198*AG198,0)</f>
        <v>0</v>
      </c>
      <c r="BW198" s="174">
        <f>IF(Z198=$Z$91,AA198*AG198,0)</f>
        <v>0</v>
      </c>
      <c r="BX198" s="174">
        <f>IF(Z198=$Z$86,AA198*AG198,0)</f>
        <v>0</v>
      </c>
      <c r="BY198" s="174">
        <f>IF(Z198=$Z$87,AA198*AG198,0)</f>
        <v>0</v>
      </c>
      <c r="BZ198" s="174">
        <f>IF(Z198=$Z$88,AA198*AG198,0)</f>
        <v>0</v>
      </c>
      <c r="CA198" s="174">
        <f>IF(Z198=$Z$89,AA198*AG198,0)</f>
        <v>0</v>
      </c>
      <c r="CB198" s="174">
        <f>IF(Z198=$Z$90,AA198*AG198,0)</f>
        <v>0</v>
      </c>
      <c r="CC198" s="175">
        <f>IFERROR(IF(L198=$L$49,AG198*AH198*(1+AI198)*(1-AK198)*(1-AL198),0),0)</f>
        <v>3252.95865</v>
      </c>
      <c r="CD198" s="203">
        <f>IF(I198=$CD$97,1,IF(I198=$CD$100,2,IF(K198=$K$66,1,IF(K198=$K$69,1,3))))</f>
        <v>1</v>
      </c>
      <c r="CE198" s="203">
        <f t="shared" si="14"/>
        <v>1.07</v>
      </c>
      <c r="CF198" s="204">
        <f t="shared" si="33"/>
        <v>1.2353999999999998</v>
      </c>
      <c r="CG198" s="203">
        <f t="shared" si="15"/>
        <v>1.42</v>
      </c>
      <c r="CH198" s="204">
        <f t="shared" si="34"/>
        <v>1.5478000000000001</v>
      </c>
      <c r="CI198" s="203">
        <f t="shared" si="16"/>
        <v>1.7</v>
      </c>
      <c r="CJ198" s="205">
        <f t="shared" si="38"/>
        <v>1.0486</v>
      </c>
      <c r="CK198" s="205">
        <f t="shared" si="39"/>
        <v>1.148922</v>
      </c>
      <c r="CL198" s="205">
        <f t="shared" si="40"/>
        <v>1.3915999999999999</v>
      </c>
      <c r="CM198" s="205">
        <f t="shared" si="41"/>
        <v>1.501366</v>
      </c>
      <c r="CN198" s="206">
        <f t="shared" si="42"/>
        <v>1.6319999999999999</v>
      </c>
      <c r="CO198" s="204">
        <f t="shared" si="25"/>
        <v>1.006656</v>
      </c>
      <c r="CP198" s="207">
        <f t="shared" si="35"/>
        <v>0</v>
      </c>
      <c r="CQ198" s="208">
        <f t="shared" si="36"/>
        <v>0</v>
      </c>
      <c r="CR198" s="209">
        <f t="shared" si="37"/>
        <v>0</v>
      </c>
      <c r="CS198" s="49"/>
      <c r="CT198" s="49"/>
      <c r="CU198" s="49"/>
      <c r="CV198" s="49"/>
      <c r="CW198" s="49"/>
      <c r="CX198" s="49"/>
      <c r="CY198" s="49"/>
      <c r="CZ198" s="49"/>
      <c r="DA198" s="49"/>
      <c r="DB198" s="49"/>
      <c r="DC198" s="49"/>
      <c r="DD198" s="49"/>
      <c r="DE198" s="49"/>
      <c r="DF198" s="49"/>
      <c r="DG198" s="49"/>
      <c r="DH198" s="49"/>
      <c r="DI198" s="49"/>
      <c r="DJ198" s="49"/>
      <c r="DK198" s="49"/>
      <c r="DL198" s="49"/>
      <c r="DM198" s="49"/>
      <c r="DN198" s="49"/>
      <c r="DO198" s="49"/>
      <c r="DP198" s="49"/>
      <c r="DQ198" s="49"/>
      <c r="DR198" s="49"/>
      <c r="DS198" s="49"/>
      <c r="DT198" s="49"/>
      <c r="DU198" s="49"/>
      <c r="DV198" s="49"/>
      <c r="DW198" s="49"/>
      <c r="DX198" s="49"/>
      <c r="DY198" s="49"/>
      <c r="DZ198" s="49"/>
      <c r="EA198" s="49"/>
      <c r="EB198" s="49"/>
      <c r="EC198" s="49"/>
      <c r="ED198" s="49"/>
      <c r="EE198" s="49"/>
      <c r="EF198" s="49"/>
      <c r="EG198" s="49"/>
      <c r="EH198" s="49"/>
      <c r="EI198" s="49"/>
      <c r="EJ198" s="49"/>
      <c r="EK198" s="49"/>
      <c r="EL198" s="49"/>
      <c r="EM198" s="49"/>
      <c r="EN198" s="49"/>
      <c r="EO198" s="49"/>
      <c r="EP198" s="49"/>
      <c r="EQ198" s="49"/>
      <c r="ER198" s="49"/>
      <c r="ES198" s="49"/>
      <c r="ET198" s="49"/>
      <c r="EU198" s="49"/>
      <c r="EV198" s="49"/>
      <c r="EW198" s="49"/>
      <c r="EX198" s="49"/>
      <c r="EY198" s="49"/>
      <c r="EZ198" s="49"/>
      <c r="FA198" s="49"/>
    </row>
    <row r="199" spans="1:157" s="210" customFormat="1" ht="38.25" x14ac:dyDescent="0.25">
      <c r="A199" s="113">
        <f>IF(AND('[1]Cockpit Retorno'!$E$67=Sim,Mestre!M199=Mestre!$M$98),0,1)</f>
        <v>1</v>
      </c>
      <c r="B199" s="113">
        <f>IF(AND('[1]Cockpit Retorno'!$E$67=Sim,Mestre!L199=Mestre!$L$48),0,1)</f>
        <v>1</v>
      </c>
      <c r="C199" s="113">
        <f>IF(AND('[1]Cockpit Retorno'!$E$67=Sim,Mestre!M199=Mestre!$M$97),0,1)</f>
        <v>1</v>
      </c>
      <c r="D199" s="148" t="s">
        <v>7</v>
      </c>
      <c r="E199" s="115"/>
      <c r="F199" s="116" t="s">
        <v>107</v>
      </c>
      <c r="G199" s="149"/>
      <c r="H199" s="150" t="s">
        <v>7</v>
      </c>
      <c r="I199" s="151" t="str">
        <f t="shared" si="26"/>
        <v>Mercadorias</v>
      </c>
      <c r="J199" s="150" t="s">
        <v>15</v>
      </c>
      <c r="K199" s="152" t="s">
        <v>7</v>
      </c>
      <c r="L199" s="153" t="s">
        <v>21</v>
      </c>
      <c r="M199" s="154" t="s">
        <v>290</v>
      </c>
      <c r="N199" s="155" t="s">
        <v>342</v>
      </c>
      <c r="O199" s="155" t="s">
        <v>343</v>
      </c>
      <c r="P199" s="155" t="s">
        <v>43</v>
      </c>
      <c r="Q199" s="155" t="s">
        <v>43</v>
      </c>
      <c r="R199" s="155" t="s">
        <v>43</v>
      </c>
      <c r="S199" s="156" t="s">
        <v>43</v>
      </c>
      <c r="T199" s="156" t="s">
        <v>43</v>
      </c>
      <c r="U199" s="150" t="s">
        <v>43</v>
      </c>
      <c r="V199" s="150" t="s">
        <v>43</v>
      </c>
      <c r="W199" s="150" t="s">
        <v>43</v>
      </c>
      <c r="X199" s="157" t="s">
        <v>349</v>
      </c>
      <c r="Y199" s="150"/>
      <c r="Z199" s="150"/>
      <c r="AA199" s="158">
        <v>0</v>
      </c>
      <c r="AB199" s="155" t="s">
        <v>43</v>
      </c>
      <c r="AC199" s="150" t="s">
        <v>43</v>
      </c>
      <c r="AD199" s="155" t="s">
        <v>43</v>
      </c>
      <c r="AE199" s="155"/>
      <c r="AF199" s="150" t="s">
        <v>43</v>
      </c>
      <c r="AG199" s="159">
        <v>45</v>
      </c>
      <c r="AH199" s="159">
        <v>84.611400000000003</v>
      </c>
      <c r="AI199" s="202">
        <v>0</v>
      </c>
      <c r="AJ199" s="161">
        <v>7.0000000000000007E-2</v>
      </c>
      <c r="AK199" s="162">
        <v>0.05</v>
      </c>
      <c r="AL199" s="163"/>
      <c r="AM199" s="164">
        <f>(((IF(L199=$L$101,1,IF(L199=$L$47,1,0))*(AH199*(1-AK199)))*AG199)*(1-AL199))</f>
        <v>0</v>
      </c>
      <c r="AN199" s="165">
        <f>IF(K199=$K$50,AM199,IF(K199=$K$53,AM199,IF(K199=$K$54,AM199,IF(K199=$K$55,AM199,IF(K199=$K$56,AM199,IF(K199=$K$57,AM199,IF(K199=$K$58,AM199,IF(K199=$K$65,AM199,IF(K199=$K$66,AM199,IF(K199=$K$67,AM199,IF(K199=$K$68,AM199,IF(K199=$K$69,AM199,IF(K199=$K$51,AM199,(AM199*(1+AI199)))))))))))))))</f>
        <v>0</v>
      </c>
      <c r="AO199" s="166">
        <v>1.4</v>
      </c>
      <c r="AP199" s="160">
        <f t="shared" si="27"/>
        <v>0</v>
      </c>
      <c r="AQ199" s="167">
        <f t="shared" si="43"/>
        <v>0</v>
      </c>
      <c r="AR199" s="160">
        <f t="shared" si="28"/>
        <v>0</v>
      </c>
      <c r="AS199" s="168">
        <f t="shared" si="29"/>
        <v>0</v>
      </c>
      <c r="AT199" s="169" t="str">
        <f>K199</f>
        <v>MI</v>
      </c>
      <c r="AU199" s="169" t="str">
        <f>I199</f>
        <v>Mercadorias</v>
      </c>
      <c r="AV199" s="170"/>
      <c r="AW199" s="171">
        <f>IF(K199=$K$50,0,IF(K199=$K$53,0,IF(K199=$K$54,0,IF(K199=$K$55,0,IF(K199=$K$56,0,IF(K199=$K$57,0,IF(K199=$K$58,0,IF(K199=$K$65,0,IF(K199=$K$66,0,IF(K199=$K$67,0,IF(K199=$K$68,0,IF(K199=$K$69,0,IF(K199=$K$51,0,1))))))))))))*AM199*AI199)</f>
        <v>0</v>
      </c>
      <c r="AX199" s="172">
        <f>IF(K199=$K$50,0,IF(K199=$K$53,0,IF(K199=$K$54,0,IF(K199=$K$55,0,IF(K199=$K$56,0,IF(K199=$K$57,0,IF(K199=$K$58,0,IF(K199=$K$65,0,IF(K199=$K$66,0,IF(K199=$K$67,0,IF(K199=$K$68,0,IF(K199=$K$69,0,IF(K199=$K$51,0,1))))))))))))*AM199*AJ199*$AX$94)</f>
        <v>0</v>
      </c>
      <c r="AY199" s="172">
        <f>IF(K199=$K$53,0,IF(K199=$K$54,0,IF(K199=$K$55,0,IF(K199=$K$56,0,IF(K199=$K$58,0,IF(K199=$K$50,0,IF(K199=$K$65,0,IF(K199=$K$57,0,IF(K199=$K$51,0,AM199*$AY$102)))))))))</f>
        <v>0</v>
      </c>
      <c r="AZ199" s="172">
        <f>IF(K199=$K$53,0,IF(K199=$K$54,0,IF(K199=$K$55,0,IF(K199=$K$56,0,IF(K199=$K$58,0,IF(K199=$K$50,0,IF(K199=$K$65,0,IF(K199=$K$57,0,IF(K199=$K$51,0,AM199*$AZ$102)))))))))</f>
        <v>0</v>
      </c>
      <c r="BA199" s="172">
        <f t="shared" si="30"/>
        <v>0</v>
      </c>
      <c r="BB199" s="173">
        <f>IF($BA$97=1,AQ199*$BB$102,IF(K199=$K$50,0,IF(K199=$K$53,0,IF(K199=$K$54,0,IF(K199=$K$55,0,IF(K199=$K$56,0,IF(K199=$K$57,0,IF(K199=$K$58,0,IF(K199=$K$65,0,IF(K199=$K$66,0,IF(K199=$K$67,0,IF(K199=$K$68,0,IF(K199=$K$69,0,IF(K199=$K$51,0,1)))))))))))*AQ199*$BB$102)))</f>
        <v>0</v>
      </c>
      <c r="BC199" s="172">
        <f t="shared" si="31"/>
        <v>0</v>
      </c>
      <c r="BD199" s="172">
        <f t="shared" si="32"/>
        <v>0</v>
      </c>
      <c r="BE199" s="172">
        <f>IF($BE$95=I199,$BE$97,IF(I199=$BE$96,$BE$97,1))*($BE$102*AQ199)*$AZ$97</f>
        <v>0</v>
      </c>
      <c r="BF199" s="172">
        <f>IF('[1]Cockpit Retorno'!$C$65=Sim,Mestre!BA199,SUM(BB199:BE199)+(IF(K199=$K$56,AQ199*MOE_IRRF_LR,0)))</f>
        <v>0</v>
      </c>
      <c r="BG199" s="174">
        <f>IF(AA199&gt;0,0,IF(Z199=$Z$82,AG199*1,(IF(Z199=$Z$81,AG199*1,0))))</f>
        <v>0</v>
      </c>
      <c r="BH199" s="174">
        <f>IF(AA199&gt;0,0,IF(Z199=$Z$83,AG199*1,IF(Z199=$Z$81,AG199*1,0)))</f>
        <v>0</v>
      </c>
      <c r="BI199" s="174">
        <f>IF(AA199&gt;0,0,IF(Z199=$Z$84,AG199*1,IF(Z199=$Z$93,AG199*2,IF(Z199=$Z$100,AG199,IF(Z199=$Z$81,AG199*2,IF(Z199=$Z$80,AG199*1,IF(Z199=$Z$79,AG199*3,IF(Z199=$Z$78,AG199*2,0))))))))</f>
        <v>0</v>
      </c>
      <c r="BJ199" s="174">
        <f>IF(AA199&gt;0,0,IF(Z199=$Z$85,AG199,IF(Z199=$Z$93,AG199,IF(Z199=$Z$100,AG199,IF(Z199=$Z$81,AG199*1,IF(Z199=$Z$80,AG199*2,IF(Z199=$Z$79,AG199*2,IF(Z199=$Z$78,AG199*2,0))))))))</f>
        <v>0</v>
      </c>
      <c r="BK199" s="174">
        <f>IF(AA199&gt;0,0,IF(Z199=$Z$92,AG199,0))</f>
        <v>0</v>
      </c>
      <c r="BL199" s="174">
        <f>IF(AA199&gt;0,0,IF(Z199=$Z$91,AG199,0))</f>
        <v>0</v>
      </c>
      <c r="BM199" s="174">
        <f>IF(AA199&gt;0,0,IF(Z199=$Z$86,AG199,0))</f>
        <v>0</v>
      </c>
      <c r="BN199" s="174">
        <f>IF(AA199&gt;0,0,IF(Z199=$Z$87,AG199,0))</f>
        <v>0</v>
      </c>
      <c r="BO199" s="174">
        <f>IF(AA199&gt;0,0,IF(Z199=$Z$88,AG199,0))</f>
        <v>0</v>
      </c>
      <c r="BP199" s="174">
        <f>IF(AA199&gt;0,0,IF(Z199=$Z$89,AG199,0))</f>
        <v>0</v>
      </c>
      <c r="BQ199" s="174">
        <f>IF(AA199&gt;0,0,IF(Z199=$Z$90,AG199,0))</f>
        <v>0</v>
      </c>
      <c r="BR199" s="174">
        <f>IF(Z199=$Z$82,AA199*AG199,0)</f>
        <v>0</v>
      </c>
      <c r="BS199" s="174">
        <f>IF(Z199=$Z$83,AA199*AG199,0)</f>
        <v>0</v>
      </c>
      <c r="BT199" s="174">
        <f>IF(AA199&lt;1,0,IF(Z199=$Z$84,AA199*AG199,IF(Z199=$Z$93,"ERRO",IF(Z199=$Z$100,"ERRO",0))))</f>
        <v>0</v>
      </c>
      <c r="BU199" s="174">
        <f>IF(AA199&lt;1,0,IF(Z199=$Z$85,AA199*AG199,IF(Z199=$Z$93,"ERRO",IF(Z199=$Z$100,"ERRO",0))))</f>
        <v>0</v>
      </c>
      <c r="BV199" s="174">
        <f>IF(Z199=$Z$92,AA199*AG199,0)</f>
        <v>0</v>
      </c>
      <c r="BW199" s="174">
        <f>IF(Z199=$Z$91,AA199*AG199,0)</f>
        <v>0</v>
      </c>
      <c r="BX199" s="174">
        <f>IF(Z199=$Z$86,AA199*AG199,0)</f>
        <v>0</v>
      </c>
      <c r="BY199" s="174">
        <f>IF(Z199=$Z$87,AA199*AG199,0)</f>
        <v>0</v>
      </c>
      <c r="BZ199" s="174">
        <f>IF(Z199=$Z$88,AA199*AG199,0)</f>
        <v>0</v>
      </c>
      <c r="CA199" s="174">
        <f>IF(Z199=$Z$89,AA199*AG199,0)</f>
        <v>0</v>
      </c>
      <c r="CB199" s="174">
        <f>IF(Z199=$Z$90,AA199*AG199,0)</f>
        <v>0</v>
      </c>
      <c r="CC199" s="175">
        <f>IFERROR(IF(L199=$L$49,AG199*AH199*(1+AI199)*(1-AK199)*(1-AL199),0),0)</f>
        <v>3617.13735</v>
      </c>
      <c r="CD199" s="203">
        <f>IF(I199=$CD$97,1,IF(I199=$CD$100,2,IF(K199=$K$66,1,IF(K199=$K$69,1,3))))</f>
        <v>1</v>
      </c>
      <c r="CE199" s="203">
        <f t="shared" si="14"/>
        <v>1.07</v>
      </c>
      <c r="CF199" s="204">
        <f t="shared" si="33"/>
        <v>1.2353999999999998</v>
      </c>
      <c r="CG199" s="203">
        <f t="shared" si="15"/>
        <v>1.42</v>
      </c>
      <c r="CH199" s="204">
        <f t="shared" si="34"/>
        <v>1.5478000000000001</v>
      </c>
      <c r="CI199" s="203">
        <f t="shared" si="16"/>
        <v>1.7</v>
      </c>
      <c r="CJ199" s="205">
        <f t="shared" si="38"/>
        <v>1.0486</v>
      </c>
      <c r="CK199" s="205">
        <f t="shared" si="39"/>
        <v>1.148922</v>
      </c>
      <c r="CL199" s="205">
        <f t="shared" si="40"/>
        <v>1.3915999999999999</v>
      </c>
      <c r="CM199" s="205">
        <f t="shared" si="41"/>
        <v>1.501366</v>
      </c>
      <c r="CN199" s="206">
        <f t="shared" si="42"/>
        <v>1.6319999999999999</v>
      </c>
      <c r="CO199" s="204">
        <f t="shared" si="25"/>
        <v>1.006656</v>
      </c>
      <c r="CP199" s="207">
        <f t="shared" si="35"/>
        <v>0</v>
      </c>
      <c r="CQ199" s="208">
        <f t="shared" si="36"/>
        <v>0</v>
      </c>
      <c r="CR199" s="209">
        <f t="shared" si="37"/>
        <v>0</v>
      </c>
      <c r="CS199" s="49"/>
      <c r="CT199" s="49"/>
      <c r="CU199" s="49"/>
      <c r="CV199" s="49"/>
      <c r="CW199" s="49"/>
      <c r="CX199" s="49"/>
      <c r="CY199" s="49"/>
      <c r="CZ199" s="49"/>
      <c r="DA199" s="49"/>
      <c r="DB199" s="49"/>
      <c r="DC199" s="49"/>
      <c r="DD199" s="49"/>
      <c r="DE199" s="49"/>
      <c r="DF199" s="49"/>
      <c r="DG199" s="49"/>
      <c r="DH199" s="49"/>
      <c r="DI199" s="49"/>
      <c r="DJ199" s="49"/>
      <c r="DK199" s="49"/>
      <c r="DL199" s="49"/>
      <c r="DM199" s="49"/>
      <c r="DN199" s="49"/>
      <c r="DO199" s="49"/>
      <c r="DP199" s="49"/>
      <c r="DQ199" s="49"/>
      <c r="DR199" s="49"/>
      <c r="DS199" s="49"/>
      <c r="DT199" s="49"/>
      <c r="DU199" s="49"/>
      <c r="DV199" s="49"/>
      <c r="DW199" s="49"/>
      <c r="DX199" s="49"/>
      <c r="DY199" s="49"/>
      <c r="DZ199" s="49"/>
      <c r="EA199" s="49"/>
      <c r="EB199" s="49"/>
      <c r="EC199" s="49"/>
      <c r="ED199" s="49"/>
      <c r="EE199" s="49"/>
      <c r="EF199" s="49"/>
      <c r="EG199" s="49"/>
      <c r="EH199" s="49"/>
      <c r="EI199" s="49"/>
      <c r="EJ199" s="49"/>
      <c r="EK199" s="49"/>
      <c r="EL199" s="49"/>
      <c r="EM199" s="49"/>
      <c r="EN199" s="49"/>
      <c r="EO199" s="49"/>
      <c r="EP199" s="49"/>
      <c r="EQ199" s="49"/>
      <c r="ER199" s="49"/>
      <c r="ES199" s="49"/>
      <c r="ET199" s="49"/>
      <c r="EU199" s="49"/>
      <c r="EV199" s="49"/>
      <c r="EW199" s="49"/>
      <c r="EX199" s="49"/>
      <c r="EY199" s="49"/>
      <c r="EZ199" s="49"/>
      <c r="FA199" s="49"/>
    </row>
    <row r="200" spans="1:157" s="210" customFormat="1" ht="38.25" x14ac:dyDescent="0.25">
      <c r="A200" s="113">
        <f>IF(AND('[1]Cockpit Retorno'!$E$67=Sim,Mestre!M200=Mestre!$M$98),0,1)</f>
        <v>1</v>
      </c>
      <c r="B200" s="113">
        <f>IF(AND('[1]Cockpit Retorno'!$E$67=Sim,Mestre!L200=Mestre!$L$48),0,1)</f>
        <v>1</v>
      </c>
      <c r="C200" s="113">
        <f>IF(AND('[1]Cockpit Retorno'!$E$67=Sim,Mestre!M200=Mestre!$M$97),0,1)</f>
        <v>1</v>
      </c>
      <c r="D200" s="148" t="s">
        <v>7</v>
      </c>
      <c r="E200" s="115"/>
      <c r="F200" s="116" t="s">
        <v>107</v>
      </c>
      <c r="G200" s="149"/>
      <c r="H200" s="150" t="s">
        <v>7</v>
      </c>
      <c r="I200" s="151" t="str">
        <f t="shared" si="26"/>
        <v>Mercadorias</v>
      </c>
      <c r="J200" s="150" t="s">
        <v>15</v>
      </c>
      <c r="K200" s="152" t="s">
        <v>7</v>
      </c>
      <c r="L200" s="153" t="s">
        <v>21</v>
      </c>
      <c r="M200" s="154" t="s">
        <v>290</v>
      </c>
      <c r="N200" s="155" t="s">
        <v>342</v>
      </c>
      <c r="O200" s="155" t="s">
        <v>343</v>
      </c>
      <c r="P200" s="155" t="s">
        <v>43</v>
      </c>
      <c r="Q200" s="155" t="s">
        <v>43</v>
      </c>
      <c r="R200" s="155" t="s">
        <v>43</v>
      </c>
      <c r="S200" s="156" t="s">
        <v>43</v>
      </c>
      <c r="T200" s="156" t="s">
        <v>43</v>
      </c>
      <c r="U200" s="150" t="s">
        <v>43</v>
      </c>
      <c r="V200" s="150" t="s">
        <v>43</v>
      </c>
      <c r="W200" s="150" t="s">
        <v>43</v>
      </c>
      <c r="X200" s="157" t="s">
        <v>350</v>
      </c>
      <c r="Y200" s="150"/>
      <c r="Z200" s="150"/>
      <c r="AA200" s="158">
        <v>0</v>
      </c>
      <c r="AB200" s="155" t="s">
        <v>43</v>
      </c>
      <c r="AC200" s="150" t="s">
        <v>43</v>
      </c>
      <c r="AD200" s="155" t="s">
        <v>43</v>
      </c>
      <c r="AE200" s="155"/>
      <c r="AF200" s="150" t="s">
        <v>43</v>
      </c>
      <c r="AG200" s="159">
        <v>70</v>
      </c>
      <c r="AH200" s="159">
        <v>52.768200000000007</v>
      </c>
      <c r="AI200" s="202">
        <v>0</v>
      </c>
      <c r="AJ200" s="161">
        <v>7.0000000000000007E-2</v>
      </c>
      <c r="AK200" s="162">
        <v>0.05</v>
      </c>
      <c r="AL200" s="163"/>
      <c r="AM200" s="164">
        <f>(((IF(L200=$L$101,1,IF(L200=$L$47,1,0))*(AH200*(1-AK200)))*AG200)*(1-AL200))</f>
        <v>0</v>
      </c>
      <c r="AN200" s="165">
        <f>IF(K200=$K$50,AM200,IF(K200=$K$53,AM200,IF(K200=$K$54,AM200,IF(K200=$K$55,AM200,IF(K200=$K$56,AM200,IF(K200=$K$57,AM200,IF(K200=$K$58,AM200,IF(K200=$K$65,AM200,IF(K200=$K$66,AM200,IF(K200=$K$67,AM200,IF(K200=$K$68,AM200,IF(K200=$K$69,AM200,IF(K200=$K$51,AM200,(AM200*(1+AI200)))))))))))))))</f>
        <v>0</v>
      </c>
      <c r="AO200" s="166">
        <v>1.4</v>
      </c>
      <c r="AP200" s="160">
        <f t="shared" si="27"/>
        <v>0</v>
      </c>
      <c r="AQ200" s="167">
        <f t="shared" si="43"/>
        <v>0</v>
      </c>
      <c r="AR200" s="160">
        <f t="shared" si="28"/>
        <v>0</v>
      </c>
      <c r="AS200" s="168">
        <f t="shared" si="29"/>
        <v>0</v>
      </c>
      <c r="AT200" s="169" t="str">
        <f>K200</f>
        <v>MI</v>
      </c>
      <c r="AU200" s="169" t="str">
        <f>I200</f>
        <v>Mercadorias</v>
      </c>
      <c r="AV200" s="170"/>
      <c r="AW200" s="171">
        <f>IF(K200=$K$50,0,IF(K200=$K$53,0,IF(K200=$K$54,0,IF(K200=$K$55,0,IF(K200=$K$56,0,IF(K200=$K$57,0,IF(K200=$K$58,0,IF(K200=$K$65,0,IF(K200=$K$66,0,IF(K200=$K$67,0,IF(K200=$K$68,0,IF(K200=$K$69,0,IF(K200=$K$51,0,1))))))))))))*AM200*AI200)</f>
        <v>0</v>
      </c>
      <c r="AX200" s="172">
        <f>IF(K200=$K$50,0,IF(K200=$K$53,0,IF(K200=$K$54,0,IF(K200=$K$55,0,IF(K200=$K$56,0,IF(K200=$K$57,0,IF(K200=$K$58,0,IF(K200=$K$65,0,IF(K200=$K$66,0,IF(K200=$K$67,0,IF(K200=$K$68,0,IF(K200=$K$69,0,IF(K200=$K$51,0,1))))))))))))*AM200*AJ200*$AX$94)</f>
        <v>0</v>
      </c>
      <c r="AY200" s="172">
        <f>IF(K200=$K$53,0,IF(K200=$K$54,0,IF(K200=$K$55,0,IF(K200=$K$56,0,IF(K200=$K$58,0,IF(K200=$K$50,0,IF(K200=$K$65,0,IF(K200=$K$57,0,IF(K200=$K$51,0,AM200*$AY$102)))))))))</f>
        <v>0</v>
      </c>
      <c r="AZ200" s="172">
        <f>IF(K200=$K$53,0,IF(K200=$K$54,0,IF(K200=$K$55,0,IF(K200=$K$56,0,IF(K200=$K$58,0,IF(K200=$K$50,0,IF(K200=$K$65,0,IF(K200=$K$57,0,IF(K200=$K$51,0,AM200*$AZ$102)))))))))</f>
        <v>0</v>
      </c>
      <c r="BA200" s="172">
        <f t="shared" si="30"/>
        <v>0</v>
      </c>
      <c r="BB200" s="173">
        <f>IF($BA$97=1,AQ200*$BB$102,IF(K200=$K$50,0,IF(K200=$K$53,0,IF(K200=$K$54,0,IF(K200=$K$55,0,IF(K200=$K$56,0,IF(K200=$K$57,0,IF(K200=$K$58,0,IF(K200=$K$65,0,IF(K200=$K$66,0,IF(K200=$K$67,0,IF(K200=$K$68,0,IF(K200=$K$69,0,IF(K200=$K$51,0,1)))))))))))*AQ200*$BB$102)))</f>
        <v>0</v>
      </c>
      <c r="BC200" s="172">
        <f t="shared" si="31"/>
        <v>0</v>
      </c>
      <c r="BD200" s="172">
        <f t="shared" si="32"/>
        <v>0</v>
      </c>
      <c r="BE200" s="172">
        <f>IF($BE$95=I200,$BE$97,IF(I200=$BE$96,$BE$97,1))*($BE$102*AQ200)*$AZ$97</f>
        <v>0</v>
      </c>
      <c r="BF200" s="172">
        <f>IF('[1]Cockpit Retorno'!$C$65=Sim,Mestre!BA200,SUM(BB200:BE200)+(IF(K200=$K$56,AQ200*MOE_IRRF_LR,0)))</f>
        <v>0</v>
      </c>
      <c r="BG200" s="174">
        <f>IF(AA200&gt;0,0,IF(Z200=$Z$82,AG200*1,(IF(Z200=$Z$81,AG200*1,0))))</f>
        <v>0</v>
      </c>
      <c r="BH200" s="174">
        <f>IF(AA200&gt;0,0,IF(Z200=$Z$83,AG200*1,IF(Z200=$Z$81,AG200*1,0)))</f>
        <v>0</v>
      </c>
      <c r="BI200" s="174">
        <f>IF(AA200&gt;0,0,IF(Z200=$Z$84,AG200*1,IF(Z200=$Z$93,AG200*2,IF(Z200=$Z$100,AG200,IF(Z200=$Z$81,AG200*2,IF(Z200=$Z$80,AG200*1,IF(Z200=$Z$79,AG200*3,IF(Z200=$Z$78,AG200*2,0))))))))</f>
        <v>0</v>
      </c>
      <c r="BJ200" s="174">
        <f>IF(AA200&gt;0,0,IF(Z200=$Z$85,AG200,IF(Z200=$Z$93,AG200,IF(Z200=$Z$100,AG200,IF(Z200=$Z$81,AG200*1,IF(Z200=$Z$80,AG200*2,IF(Z200=$Z$79,AG200*2,IF(Z200=$Z$78,AG200*2,0))))))))</f>
        <v>0</v>
      </c>
      <c r="BK200" s="174">
        <f>IF(AA200&gt;0,0,IF(Z200=$Z$92,AG200,0))</f>
        <v>0</v>
      </c>
      <c r="BL200" s="174">
        <f>IF(AA200&gt;0,0,IF(Z200=$Z$91,AG200,0))</f>
        <v>0</v>
      </c>
      <c r="BM200" s="174">
        <f>IF(AA200&gt;0,0,IF(Z200=$Z$86,AG200,0))</f>
        <v>0</v>
      </c>
      <c r="BN200" s="174">
        <f>IF(AA200&gt;0,0,IF(Z200=$Z$87,AG200,0))</f>
        <v>0</v>
      </c>
      <c r="BO200" s="174">
        <f>IF(AA200&gt;0,0,IF(Z200=$Z$88,AG200,0))</f>
        <v>0</v>
      </c>
      <c r="BP200" s="174">
        <f>IF(AA200&gt;0,0,IF(Z200=$Z$89,AG200,0))</f>
        <v>0</v>
      </c>
      <c r="BQ200" s="174">
        <f>IF(AA200&gt;0,0,IF(Z200=$Z$90,AG200,0))</f>
        <v>0</v>
      </c>
      <c r="BR200" s="174">
        <f>IF(Z200=$Z$82,AA200*AG200,0)</f>
        <v>0</v>
      </c>
      <c r="BS200" s="174">
        <f>IF(Z200=$Z$83,AA200*AG200,0)</f>
        <v>0</v>
      </c>
      <c r="BT200" s="174">
        <f>IF(AA200&lt;1,0,IF(Z200=$Z$84,AA200*AG200,IF(Z200=$Z$93,"ERRO",IF(Z200=$Z$100,"ERRO",0))))</f>
        <v>0</v>
      </c>
      <c r="BU200" s="174">
        <f>IF(AA200&lt;1,0,IF(Z200=$Z$85,AA200*AG200,IF(Z200=$Z$93,"ERRO",IF(Z200=$Z$100,"ERRO",0))))</f>
        <v>0</v>
      </c>
      <c r="BV200" s="174">
        <f>IF(Z200=$Z$92,AA200*AG200,0)</f>
        <v>0</v>
      </c>
      <c r="BW200" s="174">
        <f>IF(Z200=$Z$91,AA200*AG200,0)</f>
        <v>0</v>
      </c>
      <c r="BX200" s="174">
        <f>IF(Z200=$Z$86,AA200*AG200,0)</f>
        <v>0</v>
      </c>
      <c r="BY200" s="174">
        <f>IF(Z200=$Z$87,AA200*AG200,0)</f>
        <v>0</v>
      </c>
      <c r="BZ200" s="174">
        <f>IF(Z200=$Z$88,AA200*AG200,0)</f>
        <v>0</v>
      </c>
      <c r="CA200" s="174">
        <f>IF(Z200=$Z$89,AA200*AG200,0)</f>
        <v>0</v>
      </c>
      <c r="CB200" s="174">
        <f>IF(Z200=$Z$90,AA200*AG200,0)</f>
        <v>0</v>
      </c>
      <c r="CC200" s="175">
        <f>IFERROR(IF(L200=$L$49,AG200*AH200*(1+AI200)*(1-AK200)*(1-AL200),0),0)</f>
        <v>3509.0853000000002</v>
      </c>
      <c r="CD200" s="203">
        <f>IF(I200=$CD$97,1,IF(I200=$CD$100,2,IF(K200=$K$66,1,IF(K200=$K$69,1,3))))</f>
        <v>1</v>
      </c>
      <c r="CE200" s="203">
        <f t="shared" si="14"/>
        <v>1.07</v>
      </c>
      <c r="CF200" s="204">
        <f t="shared" si="33"/>
        <v>1.2353999999999998</v>
      </c>
      <c r="CG200" s="203">
        <f t="shared" si="15"/>
        <v>1.42</v>
      </c>
      <c r="CH200" s="204">
        <f t="shared" si="34"/>
        <v>1.5478000000000001</v>
      </c>
      <c r="CI200" s="203">
        <f t="shared" si="16"/>
        <v>1.7</v>
      </c>
      <c r="CJ200" s="205">
        <f t="shared" si="38"/>
        <v>1.0486</v>
      </c>
      <c r="CK200" s="205">
        <f t="shared" si="39"/>
        <v>1.148922</v>
      </c>
      <c r="CL200" s="205">
        <f t="shared" si="40"/>
        <v>1.3915999999999999</v>
      </c>
      <c r="CM200" s="205">
        <f t="shared" si="41"/>
        <v>1.501366</v>
      </c>
      <c r="CN200" s="206">
        <f t="shared" si="42"/>
        <v>1.6319999999999999</v>
      </c>
      <c r="CO200" s="204">
        <f t="shared" ref="CO200:CO217" si="44">CJ200*$CO$102</f>
        <v>1.006656</v>
      </c>
      <c r="CP200" s="207">
        <f t="shared" si="35"/>
        <v>0</v>
      </c>
      <c r="CQ200" s="208">
        <f t="shared" si="36"/>
        <v>0</v>
      </c>
      <c r="CR200" s="209">
        <f t="shared" si="37"/>
        <v>0</v>
      </c>
      <c r="CS200" s="49"/>
      <c r="CT200" s="49"/>
      <c r="CU200" s="49"/>
      <c r="CV200" s="49"/>
      <c r="CW200" s="49"/>
      <c r="CX200" s="49"/>
      <c r="CY200" s="49"/>
      <c r="CZ200" s="49"/>
      <c r="DA200" s="49"/>
      <c r="DB200" s="49"/>
      <c r="DC200" s="49"/>
      <c r="DD200" s="49"/>
      <c r="DE200" s="49"/>
      <c r="DF200" s="49"/>
      <c r="DG200" s="49"/>
      <c r="DH200" s="49"/>
      <c r="DI200" s="49"/>
      <c r="DJ200" s="49"/>
      <c r="DK200" s="49"/>
      <c r="DL200" s="49"/>
      <c r="DM200" s="49"/>
      <c r="DN200" s="49"/>
      <c r="DO200" s="49"/>
      <c r="DP200" s="49"/>
      <c r="DQ200" s="49"/>
      <c r="DR200" s="49"/>
      <c r="DS200" s="49"/>
      <c r="DT200" s="49"/>
      <c r="DU200" s="49"/>
      <c r="DV200" s="49"/>
      <c r="DW200" s="49"/>
      <c r="DX200" s="49"/>
      <c r="DY200" s="49"/>
      <c r="DZ200" s="49"/>
      <c r="EA200" s="49"/>
      <c r="EB200" s="49"/>
      <c r="EC200" s="49"/>
      <c r="ED200" s="49"/>
      <c r="EE200" s="49"/>
      <c r="EF200" s="49"/>
      <c r="EG200" s="49"/>
      <c r="EH200" s="49"/>
      <c r="EI200" s="49"/>
      <c r="EJ200" s="49"/>
      <c r="EK200" s="49"/>
      <c r="EL200" s="49"/>
      <c r="EM200" s="49"/>
      <c r="EN200" s="49"/>
      <c r="EO200" s="49"/>
      <c r="EP200" s="49"/>
      <c r="EQ200" s="49"/>
      <c r="ER200" s="49"/>
      <c r="ES200" s="49"/>
      <c r="ET200" s="49"/>
      <c r="EU200" s="49"/>
      <c r="EV200" s="49"/>
      <c r="EW200" s="49"/>
      <c r="EX200" s="49"/>
      <c r="EY200" s="49"/>
      <c r="EZ200" s="49"/>
      <c r="FA200" s="49"/>
    </row>
    <row r="201" spans="1:157" s="210" customFormat="1" ht="38.25" x14ac:dyDescent="0.25">
      <c r="A201" s="113">
        <f>IF(AND('[1]Cockpit Retorno'!$E$67=Sim,Mestre!M201=Mestre!$M$98),0,1)</f>
        <v>1</v>
      </c>
      <c r="B201" s="113">
        <f>IF(AND('[1]Cockpit Retorno'!$E$67=Sim,Mestre!L201=Mestre!$L$48),0,1)</f>
        <v>1</v>
      </c>
      <c r="C201" s="113">
        <f>IF(AND('[1]Cockpit Retorno'!$E$67=Sim,Mestre!M201=Mestre!$M$97),0,1)</f>
        <v>1</v>
      </c>
      <c r="D201" s="148" t="s">
        <v>7</v>
      </c>
      <c r="E201" s="115"/>
      <c r="F201" s="116" t="s">
        <v>107</v>
      </c>
      <c r="G201" s="149"/>
      <c r="H201" s="150" t="s">
        <v>7</v>
      </c>
      <c r="I201" s="151" t="str">
        <f t="shared" si="26"/>
        <v>Mercadorias</v>
      </c>
      <c r="J201" s="150" t="s">
        <v>15</v>
      </c>
      <c r="K201" s="152" t="s">
        <v>7</v>
      </c>
      <c r="L201" s="153" t="s">
        <v>21</v>
      </c>
      <c r="M201" s="154" t="s">
        <v>290</v>
      </c>
      <c r="N201" s="155" t="s">
        <v>342</v>
      </c>
      <c r="O201" s="155" t="s">
        <v>343</v>
      </c>
      <c r="P201" s="155" t="s">
        <v>43</v>
      </c>
      <c r="Q201" s="155" t="s">
        <v>43</v>
      </c>
      <c r="R201" s="155" t="s">
        <v>43</v>
      </c>
      <c r="S201" s="156" t="s">
        <v>43</v>
      </c>
      <c r="T201" s="156" t="s">
        <v>43</v>
      </c>
      <c r="U201" s="150" t="s">
        <v>43</v>
      </c>
      <c r="V201" s="150" t="s">
        <v>43</v>
      </c>
      <c r="W201" s="150" t="s">
        <v>43</v>
      </c>
      <c r="X201" s="157" t="s">
        <v>351</v>
      </c>
      <c r="Y201" s="150"/>
      <c r="Z201" s="150"/>
      <c r="AA201" s="158">
        <v>0</v>
      </c>
      <c r="AB201" s="155" t="s">
        <v>43</v>
      </c>
      <c r="AC201" s="150" t="s">
        <v>43</v>
      </c>
      <c r="AD201" s="155" t="s">
        <v>43</v>
      </c>
      <c r="AE201" s="155"/>
      <c r="AF201" s="150" t="s">
        <v>43</v>
      </c>
      <c r="AG201" s="159">
        <v>48</v>
      </c>
      <c r="AH201" s="159">
        <v>60.877800000000008</v>
      </c>
      <c r="AI201" s="202">
        <v>0</v>
      </c>
      <c r="AJ201" s="161">
        <v>7.0000000000000007E-2</v>
      </c>
      <c r="AK201" s="162">
        <v>0.05</v>
      </c>
      <c r="AL201" s="163"/>
      <c r="AM201" s="164">
        <f>(((IF(L201=$L$101,1,IF(L201=$L$47,1,0))*(AH201*(1-AK201)))*AG201)*(1-AL201))</f>
        <v>0</v>
      </c>
      <c r="AN201" s="165">
        <f>IF(K201=$K$50,AM201,IF(K201=$K$53,AM201,IF(K201=$K$54,AM201,IF(K201=$K$55,AM201,IF(K201=$K$56,AM201,IF(K201=$K$57,AM201,IF(K201=$K$58,AM201,IF(K201=$K$65,AM201,IF(K201=$K$66,AM201,IF(K201=$K$67,AM201,IF(K201=$K$68,AM201,IF(K201=$K$69,AM201,IF(K201=$K$51,AM201,(AM201*(1+AI201)))))))))))))))</f>
        <v>0</v>
      </c>
      <c r="AO201" s="166">
        <v>1.4</v>
      </c>
      <c r="AP201" s="160">
        <f t="shared" si="27"/>
        <v>0</v>
      </c>
      <c r="AQ201" s="167">
        <f t="shared" si="43"/>
        <v>0</v>
      </c>
      <c r="AR201" s="160">
        <f t="shared" si="28"/>
        <v>0</v>
      </c>
      <c r="AS201" s="168">
        <f t="shared" si="29"/>
        <v>0</v>
      </c>
      <c r="AT201" s="169" t="str">
        <f>K201</f>
        <v>MI</v>
      </c>
      <c r="AU201" s="169" t="str">
        <f>I201</f>
        <v>Mercadorias</v>
      </c>
      <c r="AV201" s="170"/>
      <c r="AW201" s="171">
        <f>IF(K201=$K$50,0,IF(K201=$K$53,0,IF(K201=$K$54,0,IF(K201=$K$55,0,IF(K201=$K$56,0,IF(K201=$K$57,0,IF(K201=$K$58,0,IF(K201=$K$65,0,IF(K201=$K$66,0,IF(K201=$K$67,0,IF(K201=$K$68,0,IF(K201=$K$69,0,IF(K201=$K$51,0,1))))))))))))*AM201*AI201)</f>
        <v>0</v>
      </c>
      <c r="AX201" s="172">
        <f>IF(K201=$K$50,0,IF(K201=$K$53,0,IF(K201=$K$54,0,IF(K201=$K$55,0,IF(K201=$K$56,0,IF(K201=$K$57,0,IF(K201=$K$58,0,IF(K201=$K$65,0,IF(K201=$K$66,0,IF(K201=$K$67,0,IF(K201=$K$68,0,IF(K201=$K$69,0,IF(K201=$K$51,0,1))))))))))))*AM201*AJ201*$AX$94)</f>
        <v>0</v>
      </c>
      <c r="AY201" s="172">
        <f>IF(K201=$K$53,0,IF(K201=$K$54,0,IF(K201=$K$55,0,IF(K201=$K$56,0,IF(K201=$K$58,0,IF(K201=$K$50,0,IF(K201=$K$65,0,IF(K201=$K$57,0,IF(K201=$K$51,0,AM201*$AY$102)))))))))</f>
        <v>0</v>
      </c>
      <c r="AZ201" s="172">
        <f>IF(K201=$K$53,0,IF(K201=$K$54,0,IF(K201=$K$55,0,IF(K201=$K$56,0,IF(K201=$K$58,0,IF(K201=$K$50,0,IF(K201=$K$65,0,IF(K201=$K$57,0,IF(K201=$K$51,0,AM201*$AZ$102)))))))))</f>
        <v>0</v>
      </c>
      <c r="BA201" s="172">
        <f t="shared" si="30"/>
        <v>0</v>
      </c>
      <c r="BB201" s="173">
        <f>IF($BA$97=1,AQ201*$BB$102,IF(K201=$K$50,0,IF(K201=$K$53,0,IF(K201=$K$54,0,IF(K201=$K$55,0,IF(K201=$K$56,0,IF(K201=$K$57,0,IF(K201=$K$58,0,IF(K201=$K$65,0,IF(K201=$K$66,0,IF(K201=$K$67,0,IF(K201=$K$68,0,IF(K201=$K$69,0,IF(K201=$K$51,0,1)))))))))))*AQ201*$BB$102)))</f>
        <v>0</v>
      </c>
      <c r="BC201" s="172">
        <f t="shared" si="31"/>
        <v>0</v>
      </c>
      <c r="BD201" s="172">
        <f t="shared" si="32"/>
        <v>0</v>
      </c>
      <c r="BE201" s="172">
        <f>IF($BE$95=I201,$BE$97,IF(I201=$BE$96,$BE$97,1))*($BE$102*AQ201)*$AZ$97</f>
        <v>0</v>
      </c>
      <c r="BF201" s="172">
        <f>IF('[1]Cockpit Retorno'!$C$65=Sim,Mestre!BA201,SUM(BB201:BE201)+(IF(K201=$K$56,AQ201*MOE_IRRF_LR,0)))</f>
        <v>0</v>
      </c>
      <c r="BG201" s="174">
        <f>IF(AA201&gt;0,0,IF(Z201=$Z$82,AG201*1,(IF(Z201=$Z$81,AG201*1,0))))</f>
        <v>0</v>
      </c>
      <c r="BH201" s="174">
        <f>IF(AA201&gt;0,0,IF(Z201=$Z$83,AG201*1,IF(Z201=$Z$81,AG201*1,0)))</f>
        <v>0</v>
      </c>
      <c r="BI201" s="174">
        <f>IF(AA201&gt;0,0,IF(Z201=$Z$84,AG201*1,IF(Z201=$Z$93,AG201*2,IF(Z201=$Z$100,AG201,IF(Z201=$Z$81,AG201*2,IF(Z201=$Z$80,AG201*1,IF(Z201=$Z$79,AG201*3,IF(Z201=$Z$78,AG201*2,0))))))))</f>
        <v>0</v>
      </c>
      <c r="BJ201" s="174">
        <f>IF(AA201&gt;0,0,IF(Z201=$Z$85,AG201,IF(Z201=$Z$93,AG201,IF(Z201=$Z$100,AG201,IF(Z201=$Z$81,AG201*1,IF(Z201=$Z$80,AG201*2,IF(Z201=$Z$79,AG201*2,IF(Z201=$Z$78,AG201*2,0))))))))</f>
        <v>0</v>
      </c>
      <c r="BK201" s="174">
        <f>IF(AA201&gt;0,0,IF(Z201=$Z$92,AG201,0))</f>
        <v>0</v>
      </c>
      <c r="BL201" s="174">
        <f>IF(AA201&gt;0,0,IF(Z201=$Z$91,AG201,0))</f>
        <v>0</v>
      </c>
      <c r="BM201" s="174">
        <f>IF(AA201&gt;0,0,IF(Z201=$Z$86,AG201,0))</f>
        <v>0</v>
      </c>
      <c r="BN201" s="174">
        <f>IF(AA201&gt;0,0,IF(Z201=$Z$87,AG201,0))</f>
        <v>0</v>
      </c>
      <c r="BO201" s="174">
        <f>IF(AA201&gt;0,0,IF(Z201=$Z$88,AG201,0))</f>
        <v>0</v>
      </c>
      <c r="BP201" s="174">
        <f>IF(AA201&gt;0,0,IF(Z201=$Z$89,AG201,0))</f>
        <v>0</v>
      </c>
      <c r="BQ201" s="174">
        <f>IF(AA201&gt;0,0,IF(Z201=$Z$90,AG201,0))</f>
        <v>0</v>
      </c>
      <c r="BR201" s="174">
        <f>IF(Z201=$Z$82,AA201*AG201,0)</f>
        <v>0</v>
      </c>
      <c r="BS201" s="174">
        <f>IF(Z201=$Z$83,AA201*AG201,0)</f>
        <v>0</v>
      </c>
      <c r="BT201" s="174">
        <f>IF(AA201&lt;1,0,IF(Z201=$Z$84,AA201*AG201,IF(Z201=$Z$93,"ERRO",IF(Z201=$Z$100,"ERRO",0))))</f>
        <v>0</v>
      </c>
      <c r="BU201" s="174">
        <f>IF(AA201&lt;1,0,IF(Z201=$Z$85,AA201*AG201,IF(Z201=$Z$93,"ERRO",IF(Z201=$Z$100,"ERRO",0))))</f>
        <v>0</v>
      </c>
      <c r="BV201" s="174">
        <f>IF(Z201=$Z$92,AA201*AG201,0)</f>
        <v>0</v>
      </c>
      <c r="BW201" s="174">
        <f>IF(Z201=$Z$91,AA201*AG201,0)</f>
        <v>0</v>
      </c>
      <c r="BX201" s="174">
        <f>IF(Z201=$Z$86,AA201*AG201,0)</f>
        <v>0</v>
      </c>
      <c r="BY201" s="174">
        <f>IF(Z201=$Z$87,AA201*AG201,0)</f>
        <v>0</v>
      </c>
      <c r="BZ201" s="174">
        <f>IF(Z201=$Z$88,AA201*AG201,0)</f>
        <v>0</v>
      </c>
      <c r="CA201" s="174">
        <f>IF(Z201=$Z$89,AA201*AG201,0)</f>
        <v>0</v>
      </c>
      <c r="CB201" s="174">
        <f>IF(Z201=$Z$90,AA201*AG201,0)</f>
        <v>0</v>
      </c>
      <c r="CC201" s="175">
        <f>IFERROR(IF(L201=$L$49,AG201*AH201*(1+AI201)*(1-AK201)*(1-AL201),0),0)</f>
        <v>2776.0276800000001</v>
      </c>
      <c r="CD201" s="203">
        <f>IF(I201=$CD$97,1,IF(I201=$CD$100,2,IF(K201=$K$66,1,IF(K201=$K$69,1,3))))</f>
        <v>1</v>
      </c>
      <c r="CE201" s="203">
        <f t="shared" si="14"/>
        <v>1.07</v>
      </c>
      <c r="CF201" s="204">
        <f t="shared" si="33"/>
        <v>1.2353999999999998</v>
      </c>
      <c r="CG201" s="203">
        <f t="shared" si="15"/>
        <v>1.42</v>
      </c>
      <c r="CH201" s="204">
        <f t="shared" si="34"/>
        <v>1.5478000000000001</v>
      </c>
      <c r="CI201" s="203">
        <f t="shared" si="16"/>
        <v>1.7</v>
      </c>
      <c r="CJ201" s="205">
        <f t="shared" si="38"/>
        <v>1.0486</v>
      </c>
      <c r="CK201" s="205">
        <f t="shared" si="39"/>
        <v>1.148922</v>
      </c>
      <c r="CL201" s="205">
        <f t="shared" si="40"/>
        <v>1.3915999999999999</v>
      </c>
      <c r="CM201" s="205">
        <f t="shared" si="41"/>
        <v>1.501366</v>
      </c>
      <c r="CN201" s="206">
        <f t="shared" si="42"/>
        <v>1.6319999999999999</v>
      </c>
      <c r="CO201" s="204">
        <f t="shared" si="44"/>
        <v>1.006656</v>
      </c>
      <c r="CP201" s="207">
        <f t="shared" si="35"/>
        <v>0</v>
      </c>
      <c r="CQ201" s="208">
        <f t="shared" si="36"/>
        <v>0</v>
      </c>
      <c r="CR201" s="209">
        <f t="shared" si="37"/>
        <v>0</v>
      </c>
      <c r="CS201" s="49"/>
      <c r="CT201" s="49"/>
      <c r="CU201" s="49"/>
      <c r="CV201" s="49"/>
      <c r="CW201" s="49"/>
      <c r="CX201" s="49"/>
      <c r="CY201" s="49"/>
      <c r="CZ201" s="49"/>
      <c r="DA201" s="49"/>
      <c r="DB201" s="49"/>
      <c r="DC201" s="49"/>
      <c r="DD201" s="49"/>
      <c r="DE201" s="49"/>
      <c r="DF201" s="49"/>
      <c r="DG201" s="49"/>
      <c r="DH201" s="49"/>
      <c r="DI201" s="49"/>
      <c r="DJ201" s="49"/>
      <c r="DK201" s="49"/>
      <c r="DL201" s="49"/>
      <c r="DM201" s="49"/>
      <c r="DN201" s="49"/>
      <c r="DO201" s="49"/>
      <c r="DP201" s="49"/>
      <c r="DQ201" s="49"/>
      <c r="DR201" s="49"/>
      <c r="DS201" s="49"/>
      <c r="DT201" s="49"/>
      <c r="DU201" s="49"/>
      <c r="DV201" s="49"/>
      <c r="DW201" s="49"/>
      <c r="DX201" s="49"/>
      <c r="DY201" s="49"/>
      <c r="DZ201" s="49"/>
      <c r="EA201" s="49"/>
      <c r="EB201" s="49"/>
      <c r="EC201" s="49"/>
      <c r="ED201" s="49"/>
      <c r="EE201" s="49"/>
      <c r="EF201" s="49"/>
      <c r="EG201" s="49"/>
      <c r="EH201" s="49"/>
      <c r="EI201" s="49"/>
      <c r="EJ201" s="49"/>
      <c r="EK201" s="49"/>
      <c r="EL201" s="49"/>
      <c r="EM201" s="49"/>
      <c r="EN201" s="49"/>
      <c r="EO201" s="49"/>
      <c r="EP201" s="49"/>
      <c r="EQ201" s="49"/>
      <c r="ER201" s="49"/>
      <c r="ES201" s="49"/>
      <c r="ET201" s="49"/>
      <c r="EU201" s="49"/>
      <c r="EV201" s="49"/>
      <c r="EW201" s="49"/>
      <c r="EX201" s="49"/>
      <c r="EY201" s="49"/>
      <c r="EZ201" s="49"/>
      <c r="FA201" s="49"/>
    </row>
    <row r="202" spans="1:157" s="210" customFormat="1" ht="38.25" x14ac:dyDescent="0.25">
      <c r="A202" s="113">
        <f>IF(AND('[1]Cockpit Retorno'!$E$67=Sim,Mestre!M202=Mestre!$M$98),0,1)</f>
        <v>1</v>
      </c>
      <c r="B202" s="113">
        <f>IF(AND('[1]Cockpit Retorno'!$E$67=Sim,Mestre!L202=Mestre!$L$48),0,1)</f>
        <v>1</v>
      </c>
      <c r="C202" s="113">
        <f>IF(AND('[1]Cockpit Retorno'!$E$67=Sim,Mestre!M202=Mestre!$M$97),0,1)</f>
        <v>1</v>
      </c>
      <c r="D202" s="148" t="s">
        <v>7</v>
      </c>
      <c r="E202" s="115"/>
      <c r="F202" s="116" t="s">
        <v>107</v>
      </c>
      <c r="G202" s="149"/>
      <c r="H202" s="150" t="s">
        <v>7</v>
      </c>
      <c r="I202" s="151" t="str">
        <f t="shared" si="26"/>
        <v>Mercadorias</v>
      </c>
      <c r="J202" s="150" t="s">
        <v>15</v>
      </c>
      <c r="K202" s="152" t="s">
        <v>7</v>
      </c>
      <c r="L202" s="153" t="s">
        <v>21</v>
      </c>
      <c r="M202" s="154" t="s">
        <v>290</v>
      </c>
      <c r="N202" s="155" t="s">
        <v>342</v>
      </c>
      <c r="O202" s="155" t="s">
        <v>343</v>
      </c>
      <c r="P202" s="155" t="s">
        <v>43</v>
      </c>
      <c r="Q202" s="155" t="s">
        <v>43</v>
      </c>
      <c r="R202" s="155" t="s">
        <v>43</v>
      </c>
      <c r="S202" s="156" t="s">
        <v>43</v>
      </c>
      <c r="T202" s="156" t="s">
        <v>43</v>
      </c>
      <c r="U202" s="150" t="s">
        <v>43</v>
      </c>
      <c r="V202" s="150" t="s">
        <v>43</v>
      </c>
      <c r="W202" s="150" t="s">
        <v>43</v>
      </c>
      <c r="X202" s="157" t="s">
        <v>352</v>
      </c>
      <c r="Y202" s="150"/>
      <c r="Z202" s="150" t="s">
        <v>43</v>
      </c>
      <c r="AA202" s="158">
        <v>0</v>
      </c>
      <c r="AB202" s="155" t="s">
        <v>43</v>
      </c>
      <c r="AC202" s="150" t="s">
        <v>43</v>
      </c>
      <c r="AD202" s="155" t="s">
        <v>43</v>
      </c>
      <c r="AE202" s="155"/>
      <c r="AF202" s="150" t="s">
        <v>43</v>
      </c>
      <c r="AG202" s="159">
        <v>70</v>
      </c>
      <c r="AH202" s="159">
        <v>41.4129</v>
      </c>
      <c r="AI202" s="202">
        <v>0</v>
      </c>
      <c r="AJ202" s="161">
        <v>7.0000000000000007E-2</v>
      </c>
      <c r="AK202" s="162">
        <v>0.05</v>
      </c>
      <c r="AL202" s="163"/>
      <c r="AM202" s="164">
        <f>(((IF(L202=$L$101,1,IF(L202=$L$47,1,0))*(AH202*(1-AK202)))*AG202)*(1-AL202))</f>
        <v>0</v>
      </c>
      <c r="AN202" s="165">
        <f>IF(K202=$K$50,AM202,IF(K202=$K$53,AM202,IF(K202=$K$54,AM202,IF(K202=$K$55,AM202,IF(K202=$K$56,AM202,IF(K202=$K$57,AM202,IF(K202=$K$58,AM202,IF(K202=$K$65,AM202,IF(K202=$K$66,AM202,IF(K202=$K$67,AM202,IF(K202=$K$68,AM202,IF(K202=$K$69,AM202,IF(K202=$K$51,AM202,(AM202*(1+AI202)))))))))))))))</f>
        <v>0</v>
      </c>
      <c r="AO202" s="166">
        <v>1.4</v>
      </c>
      <c r="AP202" s="160">
        <f t="shared" si="27"/>
        <v>0</v>
      </c>
      <c r="AQ202" s="167">
        <f t="shared" si="43"/>
        <v>0</v>
      </c>
      <c r="AR202" s="160">
        <f t="shared" si="28"/>
        <v>0</v>
      </c>
      <c r="AS202" s="168">
        <f t="shared" si="29"/>
        <v>0</v>
      </c>
      <c r="AT202" s="169" t="str">
        <f>K202</f>
        <v>MI</v>
      </c>
      <c r="AU202" s="169" t="str">
        <f>I202</f>
        <v>Mercadorias</v>
      </c>
      <c r="AV202" s="170"/>
      <c r="AW202" s="171">
        <f>IF(K202=$K$50,0,IF(K202=$K$53,0,IF(K202=$K$54,0,IF(K202=$K$55,0,IF(K202=$K$56,0,IF(K202=$K$57,0,IF(K202=$K$58,0,IF(K202=$K$65,0,IF(K202=$K$66,0,IF(K202=$K$67,0,IF(K202=$K$68,0,IF(K202=$K$69,0,IF(K202=$K$51,0,1))))))))))))*AM202*AI202)</f>
        <v>0</v>
      </c>
      <c r="AX202" s="172">
        <f>IF(K202=$K$50,0,IF(K202=$K$53,0,IF(K202=$K$54,0,IF(K202=$K$55,0,IF(K202=$K$56,0,IF(K202=$K$57,0,IF(K202=$K$58,0,IF(K202=$K$65,0,IF(K202=$K$66,0,IF(K202=$K$67,0,IF(K202=$K$68,0,IF(K202=$K$69,0,IF(K202=$K$51,0,1))))))))))))*AM202*AJ202*$AX$94)</f>
        <v>0</v>
      </c>
      <c r="AY202" s="172">
        <f>IF(K202=$K$53,0,IF(K202=$K$54,0,IF(K202=$K$55,0,IF(K202=$K$56,0,IF(K202=$K$58,0,IF(K202=$K$50,0,IF(K202=$K$65,0,IF(K202=$K$57,0,IF(K202=$K$51,0,AM202*$AY$102)))))))))</f>
        <v>0</v>
      </c>
      <c r="AZ202" s="172">
        <f>IF(K202=$K$53,0,IF(K202=$K$54,0,IF(K202=$K$55,0,IF(K202=$K$56,0,IF(K202=$K$58,0,IF(K202=$K$50,0,IF(K202=$K$65,0,IF(K202=$K$57,0,IF(K202=$K$51,0,AM202*$AZ$102)))))))))</f>
        <v>0</v>
      </c>
      <c r="BA202" s="172">
        <f t="shared" si="30"/>
        <v>0</v>
      </c>
      <c r="BB202" s="173">
        <f>IF($BA$97=1,AQ202*$BB$102,IF(K202=$K$50,0,IF(K202=$K$53,0,IF(K202=$K$54,0,IF(K202=$K$55,0,IF(K202=$K$56,0,IF(K202=$K$57,0,IF(K202=$K$58,0,IF(K202=$K$65,0,IF(K202=$K$66,0,IF(K202=$K$67,0,IF(K202=$K$68,0,IF(K202=$K$69,0,IF(K202=$K$51,0,1)))))))))))*AQ202*$BB$102)))</f>
        <v>0</v>
      </c>
      <c r="BC202" s="172">
        <f t="shared" si="31"/>
        <v>0</v>
      </c>
      <c r="BD202" s="172">
        <f t="shared" si="32"/>
        <v>0</v>
      </c>
      <c r="BE202" s="172">
        <f>IF($BE$95=I202,$BE$97,IF(I202=$BE$96,$BE$97,1))*($BE$102*AQ202)*$AZ$97</f>
        <v>0</v>
      </c>
      <c r="BF202" s="172">
        <f>IF('[1]Cockpit Retorno'!$C$65=Sim,Mestre!BA202,SUM(BB202:BE202)+(IF(K202=$K$56,AQ202*MOE_IRRF_LR,0)))</f>
        <v>0</v>
      </c>
      <c r="BG202" s="174">
        <f>IF(AA202&gt;0,0,IF(Z202=$Z$82,AG202*1,(IF(Z202=$Z$81,AG202*1,0))))</f>
        <v>0</v>
      </c>
      <c r="BH202" s="174">
        <f>IF(AA202&gt;0,0,IF(Z202=$Z$83,AG202*1,IF(Z202=$Z$81,AG202*1,0)))</f>
        <v>0</v>
      </c>
      <c r="BI202" s="174">
        <f>IF(AA202&gt;0,0,IF(Z202=$Z$84,AG202*1,IF(Z202=$Z$93,AG202*2,IF(Z202=$Z$100,AG202,IF(Z202=$Z$81,AG202*2,IF(Z202=$Z$80,AG202*1,IF(Z202=$Z$79,AG202*3,IF(Z202=$Z$78,AG202*2,0))))))))</f>
        <v>0</v>
      </c>
      <c r="BJ202" s="174">
        <f>IF(AA202&gt;0,0,IF(Z202=$Z$85,AG202,IF(Z202=$Z$93,AG202,IF(Z202=$Z$100,AG202,IF(Z202=$Z$81,AG202*1,IF(Z202=$Z$80,AG202*2,IF(Z202=$Z$79,AG202*2,IF(Z202=$Z$78,AG202*2,0))))))))</f>
        <v>0</v>
      </c>
      <c r="BK202" s="174">
        <f>IF(AA202&gt;0,0,IF(Z202=$Z$92,AG202,0))</f>
        <v>0</v>
      </c>
      <c r="BL202" s="174">
        <f>IF(AA202&gt;0,0,IF(Z202=$Z$91,AG202,0))</f>
        <v>0</v>
      </c>
      <c r="BM202" s="174">
        <f>IF(AA202&gt;0,0,IF(Z202=$Z$86,AG202,0))</f>
        <v>0</v>
      </c>
      <c r="BN202" s="174">
        <f>IF(AA202&gt;0,0,IF(Z202=$Z$87,AG202,0))</f>
        <v>0</v>
      </c>
      <c r="BO202" s="174">
        <f>IF(AA202&gt;0,0,IF(Z202=$Z$88,AG202,0))</f>
        <v>0</v>
      </c>
      <c r="BP202" s="174">
        <f>IF(AA202&gt;0,0,IF(Z202=$Z$89,AG202,0))</f>
        <v>0</v>
      </c>
      <c r="BQ202" s="174">
        <f>IF(AA202&gt;0,0,IF(Z202=$Z$90,AG202,0))</f>
        <v>0</v>
      </c>
      <c r="BR202" s="174">
        <f>IF(Z202=$Z$82,AA202*AG202,0)</f>
        <v>0</v>
      </c>
      <c r="BS202" s="174">
        <f>IF(Z202=$Z$83,AA202*AG202,0)</f>
        <v>0</v>
      </c>
      <c r="BT202" s="174">
        <f>IF(AA202&lt;1,0,IF(Z202=$Z$84,AA202*AG202,IF(Z202=$Z$93,"ERRO",IF(Z202=$Z$100,"ERRO",0))))</f>
        <v>0</v>
      </c>
      <c r="BU202" s="174">
        <f>IF(AA202&lt;1,0,IF(Z202=$Z$85,AA202*AG202,IF(Z202=$Z$93,"ERRO",IF(Z202=$Z$100,"ERRO",0))))</f>
        <v>0</v>
      </c>
      <c r="BV202" s="174">
        <f>IF(Z202=$Z$92,AA202*AG202,0)</f>
        <v>0</v>
      </c>
      <c r="BW202" s="174">
        <f>IF(Z202=$Z$91,AA202*AG202,0)</f>
        <v>0</v>
      </c>
      <c r="BX202" s="174">
        <f>IF(Z202=$Z$86,AA202*AG202,0)</f>
        <v>0</v>
      </c>
      <c r="BY202" s="174">
        <f>IF(Z202=$Z$87,AA202*AG202,0)</f>
        <v>0</v>
      </c>
      <c r="BZ202" s="174">
        <f>IF(Z202=$Z$88,AA202*AG202,0)</f>
        <v>0</v>
      </c>
      <c r="CA202" s="174">
        <f>IF(Z202=$Z$89,AA202*AG202,0)</f>
        <v>0</v>
      </c>
      <c r="CB202" s="174">
        <f>IF(Z202=$Z$90,AA202*AG202,0)</f>
        <v>0</v>
      </c>
      <c r="CC202" s="175">
        <f>IFERROR(IF(L202=$L$49,AG202*AH202*(1+AI202)*(1-AK202)*(1-AL202),0),0)</f>
        <v>2753.9578500000002</v>
      </c>
      <c r="CD202" s="203">
        <f>IF(I202=$CD$97,1,IF(I202=$CD$100,2,IF(K202=$K$66,1,IF(K202=$K$69,1,3))))</f>
        <v>1</v>
      </c>
      <c r="CE202" s="203">
        <f t="shared" si="14"/>
        <v>1.07</v>
      </c>
      <c r="CF202" s="204">
        <f t="shared" si="33"/>
        <v>1.2353999999999998</v>
      </c>
      <c r="CG202" s="203">
        <f t="shared" si="15"/>
        <v>1.42</v>
      </c>
      <c r="CH202" s="204">
        <f t="shared" si="34"/>
        <v>1.5478000000000001</v>
      </c>
      <c r="CI202" s="203">
        <f t="shared" si="16"/>
        <v>1.7</v>
      </c>
      <c r="CJ202" s="205">
        <f t="shared" si="38"/>
        <v>1.0486</v>
      </c>
      <c r="CK202" s="205">
        <f t="shared" si="39"/>
        <v>1.148922</v>
      </c>
      <c r="CL202" s="205">
        <f t="shared" si="40"/>
        <v>1.3915999999999999</v>
      </c>
      <c r="CM202" s="205">
        <f t="shared" si="41"/>
        <v>1.501366</v>
      </c>
      <c r="CN202" s="206">
        <f t="shared" si="42"/>
        <v>1.6319999999999999</v>
      </c>
      <c r="CO202" s="204">
        <f t="shared" si="44"/>
        <v>1.006656</v>
      </c>
      <c r="CP202" s="207">
        <f t="shared" si="35"/>
        <v>0</v>
      </c>
      <c r="CQ202" s="208">
        <f t="shared" si="36"/>
        <v>0</v>
      </c>
      <c r="CR202" s="209">
        <f t="shared" si="37"/>
        <v>0</v>
      </c>
      <c r="CS202" s="49"/>
      <c r="CT202" s="49"/>
      <c r="CU202" s="49"/>
      <c r="CV202" s="49"/>
      <c r="CW202" s="49"/>
      <c r="CX202" s="49"/>
      <c r="CY202" s="49"/>
      <c r="CZ202" s="49"/>
      <c r="DA202" s="49"/>
      <c r="DB202" s="49"/>
      <c r="DC202" s="49"/>
      <c r="DD202" s="49"/>
      <c r="DE202" s="49"/>
      <c r="DF202" s="49"/>
      <c r="DG202" s="49"/>
      <c r="DH202" s="49"/>
      <c r="DI202" s="49"/>
      <c r="DJ202" s="49"/>
      <c r="DK202" s="49"/>
      <c r="DL202" s="49"/>
      <c r="DM202" s="49"/>
      <c r="DN202" s="49"/>
      <c r="DO202" s="49"/>
      <c r="DP202" s="49"/>
      <c r="DQ202" s="49"/>
      <c r="DR202" s="49"/>
      <c r="DS202" s="49"/>
      <c r="DT202" s="49"/>
      <c r="DU202" s="49"/>
      <c r="DV202" s="49"/>
      <c r="DW202" s="49"/>
      <c r="DX202" s="49"/>
      <c r="DY202" s="49"/>
      <c r="DZ202" s="49"/>
      <c r="EA202" s="49"/>
      <c r="EB202" s="49"/>
      <c r="EC202" s="49"/>
      <c r="ED202" s="49"/>
      <c r="EE202" s="49"/>
      <c r="EF202" s="49"/>
      <c r="EG202" s="49"/>
      <c r="EH202" s="49"/>
      <c r="EI202" s="49"/>
      <c r="EJ202" s="49"/>
      <c r="EK202" s="49"/>
      <c r="EL202" s="49"/>
      <c r="EM202" s="49"/>
      <c r="EN202" s="49"/>
      <c r="EO202" s="49"/>
      <c r="EP202" s="49"/>
      <c r="EQ202" s="49"/>
      <c r="ER202" s="49"/>
      <c r="ES202" s="49"/>
      <c r="ET202" s="49"/>
      <c r="EU202" s="49"/>
      <c r="EV202" s="49"/>
      <c r="EW202" s="49"/>
      <c r="EX202" s="49"/>
      <c r="EY202" s="49"/>
      <c r="EZ202" s="49"/>
      <c r="FA202" s="49"/>
    </row>
    <row r="203" spans="1:157" s="210" customFormat="1" ht="38.25" x14ac:dyDescent="0.25">
      <c r="A203" s="113">
        <f>IF(AND('[1]Cockpit Retorno'!$E$67=Sim,Mestre!M203=Mestre!$M$98),0,1)</f>
        <v>1</v>
      </c>
      <c r="B203" s="113">
        <f>IF(AND('[1]Cockpit Retorno'!$E$67=Sim,Mestre!L203=Mestre!$L$48),0,1)</f>
        <v>1</v>
      </c>
      <c r="C203" s="113">
        <f>IF(AND('[1]Cockpit Retorno'!$E$67=Sim,Mestre!M203=Mestre!$M$97),0,1)</f>
        <v>1</v>
      </c>
      <c r="D203" s="148" t="s">
        <v>7</v>
      </c>
      <c r="E203" s="115"/>
      <c r="F203" s="116" t="s">
        <v>107</v>
      </c>
      <c r="G203" s="149"/>
      <c r="H203" s="150" t="s">
        <v>7</v>
      </c>
      <c r="I203" s="151" t="str">
        <f t="shared" si="26"/>
        <v>Mercadorias</v>
      </c>
      <c r="J203" s="150" t="s">
        <v>15</v>
      </c>
      <c r="K203" s="152" t="s">
        <v>7</v>
      </c>
      <c r="L203" s="153" t="s">
        <v>21</v>
      </c>
      <c r="M203" s="154" t="s">
        <v>290</v>
      </c>
      <c r="N203" s="155" t="s">
        <v>342</v>
      </c>
      <c r="O203" s="155" t="s">
        <v>343</v>
      </c>
      <c r="P203" s="155" t="s">
        <v>43</v>
      </c>
      <c r="Q203" s="155" t="s">
        <v>43</v>
      </c>
      <c r="R203" s="155" t="s">
        <v>43</v>
      </c>
      <c r="S203" s="156" t="s">
        <v>43</v>
      </c>
      <c r="T203" s="156" t="s">
        <v>43</v>
      </c>
      <c r="U203" s="150" t="s">
        <v>43</v>
      </c>
      <c r="V203" s="150" t="s">
        <v>43</v>
      </c>
      <c r="W203" s="150" t="s">
        <v>43</v>
      </c>
      <c r="X203" s="157" t="s">
        <v>353</v>
      </c>
      <c r="Y203" s="150"/>
      <c r="Z203" s="150" t="s">
        <v>43</v>
      </c>
      <c r="AA203" s="158">
        <v>0</v>
      </c>
      <c r="AB203" s="155" t="s">
        <v>43</v>
      </c>
      <c r="AC203" s="150" t="s">
        <v>43</v>
      </c>
      <c r="AD203" s="155" t="s">
        <v>43</v>
      </c>
      <c r="AE203" s="155"/>
      <c r="AF203" s="150" t="s">
        <v>43</v>
      </c>
      <c r="AG203" s="159">
        <v>35</v>
      </c>
      <c r="AH203" s="159">
        <v>111.3582</v>
      </c>
      <c r="AI203" s="202">
        <v>0</v>
      </c>
      <c r="AJ203" s="161">
        <v>7.0000000000000007E-2</v>
      </c>
      <c r="AK203" s="162">
        <v>0.05</v>
      </c>
      <c r="AL203" s="163"/>
      <c r="AM203" s="164">
        <f>(((IF(L203=$L$101,1,IF(L203=$L$47,1,0))*(AH203*(1-AK203)))*AG203)*(1-AL203))</f>
        <v>0</v>
      </c>
      <c r="AN203" s="165">
        <f>IF(K203=$K$50,AM203,IF(K203=$K$53,AM203,IF(K203=$K$54,AM203,IF(K203=$K$55,AM203,IF(K203=$K$56,AM203,IF(K203=$K$57,AM203,IF(K203=$K$58,AM203,IF(K203=$K$65,AM203,IF(K203=$K$66,AM203,IF(K203=$K$67,AM203,IF(K203=$K$68,AM203,IF(K203=$K$69,AM203,IF(K203=$K$51,AM203,(AM203*(1+AI203)))))))))))))))</f>
        <v>0</v>
      </c>
      <c r="AO203" s="166">
        <v>1.4</v>
      </c>
      <c r="AP203" s="160">
        <f t="shared" si="27"/>
        <v>0</v>
      </c>
      <c r="AQ203" s="167">
        <f t="shared" si="43"/>
        <v>0</v>
      </c>
      <c r="AR203" s="160">
        <f t="shared" si="28"/>
        <v>0</v>
      </c>
      <c r="AS203" s="168">
        <f t="shared" si="29"/>
        <v>0</v>
      </c>
      <c r="AT203" s="169" t="str">
        <f>K203</f>
        <v>MI</v>
      </c>
      <c r="AU203" s="169" t="str">
        <f>I203</f>
        <v>Mercadorias</v>
      </c>
      <c r="AV203" s="170"/>
      <c r="AW203" s="171">
        <f>IF(K203=$K$50,0,IF(K203=$K$53,0,IF(K203=$K$54,0,IF(K203=$K$55,0,IF(K203=$K$56,0,IF(K203=$K$57,0,IF(K203=$K$58,0,IF(K203=$K$65,0,IF(K203=$K$66,0,IF(K203=$K$67,0,IF(K203=$K$68,0,IF(K203=$K$69,0,IF(K203=$K$51,0,1))))))))))))*AM203*AI203)</f>
        <v>0</v>
      </c>
      <c r="AX203" s="172">
        <f>IF(K203=$K$50,0,IF(K203=$K$53,0,IF(K203=$K$54,0,IF(K203=$K$55,0,IF(K203=$K$56,0,IF(K203=$K$57,0,IF(K203=$K$58,0,IF(K203=$K$65,0,IF(K203=$K$66,0,IF(K203=$K$67,0,IF(K203=$K$68,0,IF(K203=$K$69,0,IF(K203=$K$51,0,1))))))))))))*AM203*AJ203*$AX$94)</f>
        <v>0</v>
      </c>
      <c r="AY203" s="172">
        <f>IF(K203=$K$53,0,IF(K203=$K$54,0,IF(K203=$K$55,0,IF(K203=$K$56,0,IF(K203=$K$58,0,IF(K203=$K$50,0,IF(K203=$K$65,0,IF(K203=$K$57,0,IF(K203=$K$51,0,AM203*$AY$102)))))))))</f>
        <v>0</v>
      </c>
      <c r="AZ203" s="172">
        <f>IF(K203=$K$53,0,IF(K203=$K$54,0,IF(K203=$K$55,0,IF(K203=$K$56,0,IF(K203=$K$58,0,IF(K203=$K$50,0,IF(K203=$K$65,0,IF(K203=$K$57,0,IF(K203=$K$51,0,AM203*$AZ$102)))))))))</f>
        <v>0</v>
      </c>
      <c r="BA203" s="172">
        <f t="shared" si="30"/>
        <v>0</v>
      </c>
      <c r="BB203" s="173">
        <f>IF($BA$97=1,AQ203*$BB$102,IF(K203=$K$50,0,IF(K203=$K$53,0,IF(K203=$K$54,0,IF(K203=$K$55,0,IF(K203=$K$56,0,IF(K203=$K$57,0,IF(K203=$K$58,0,IF(K203=$K$65,0,IF(K203=$K$66,0,IF(K203=$K$67,0,IF(K203=$K$68,0,IF(K203=$K$69,0,IF(K203=$K$51,0,1)))))))))))*AQ203*$BB$102)))</f>
        <v>0</v>
      </c>
      <c r="BC203" s="172">
        <f t="shared" si="31"/>
        <v>0</v>
      </c>
      <c r="BD203" s="172">
        <f t="shared" si="32"/>
        <v>0</v>
      </c>
      <c r="BE203" s="172">
        <f>IF($BE$95=I203,$BE$97,IF(I203=$BE$96,$BE$97,1))*($BE$102*AQ203)*$AZ$97</f>
        <v>0</v>
      </c>
      <c r="BF203" s="172">
        <f>IF('[1]Cockpit Retorno'!$C$65=Sim,Mestre!BA203,SUM(BB203:BE203)+(IF(K203=$K$56,AQ203*MOE_IRRF_LR,0)))</f>
        <v>0</v>
      </c>
      <c r="BG203" s="174">
        <f>IF(AA203&gt;0,0,IF(Z203=$Z$82,AG203*1,(IF(Z203=$Z$81,AG203*1,0))))</f>
        <v>0</v>
      </c>
      <c r="BH203" s="174">
        <f>IF(AA203&gt;0,0,IF(Z203=$Z$83,AG203*1,IF(Z203=$Z$81,AG203*1,0)))</f>
        <v>0</v>
      </c>
      <c r="BI203" s="174">
        <f>IF(AA203&gt;0,0,IF(Z203=$Z$84,AG203*1,IF(Z203=$Z$93,AG203*2,IF(Z203=$Z$100,AG203,IF(Z203=$Z$81,AG203*2,IF(Z203=$Z$80,AG203*1,IF(Z203=$Z$79,AG203*3,IF(Z203=$Z$78,AG203*2,0))))))))</f>
        <v>0</v>
      </c>
      <c r="BJ203" s="174">
        <f>IF(AA203&gt;0,0,IF(Z203=$Z$85,AG203,IF(Z203=$Z$93,AG203,IF(Z203=$Z$100,AG203,IF(Z203=$Z$81,AG203*1,IF(Z203=$Z$80,AG203*2,IF(Z203=$Z$79,AG203*2,IF(Z203=$Z$78,AG203*2,0))))))))</f>
        <v>0</v>
      </c>
      <c r="BK203" s="174">
        <f>IF(AA203&gt;0,0,IF(Z203=$Z$92,AG203,0))</f>
        <v>0</v>
      </c>
      <c r="BL203" s="174">
        <f>IF(AA203&gt;0,0,IF(Z203=$Z$91,AG203,0))</f>
        <v>0</v>
      </c>
      <c r="BM203" s="174">
        <f>IF(AA203&gt;0,0,IF(Z203=$Z$86,AG203,0))</f>
        <v>0</v>
      </c>
      <c r="BN203" s="174">
        <f>IF(AA203&gt;0,0,IF(Z203=$Z$87,AG203,0))</f>
        <v>0</v>
      </c>
      <c r="BO203" s="174">
        <f>IF(AA203&gt;0,0,IF(Z203=$Z$88,AG203,0))</f>
        <v>0</v>
      </c>
      <c r="BP203" s="174">
        <f>IF(AA203&gt;0,0,IF(Z203=$Z$89,AG203,0))</f>
        <v>0</v>
      </c>
      <c r="BQ203" s="174">
        <f>IF(AA203&gt;0,0,IF(Z203=$Z$90,AG203,0))</f>
        <v>0</v>
      </c>
      <c r="BR203" s="174">
        <f>IF(Z203=$Z$82,AA203*AG203,0)</f>
        <v>0</v>
      </c>
      <c r="BS203" s="174">
        <f>IF(Z203=$Z$83,AA203*AG203,0)</f>
        <v>0</v>
      </c>
      <c r="BT203" s="174">
        <f>IF(AA203&lt;1,0,IF(Z203=$Z$84,AA203*AG203,IF(Z203=$Z$93,"ERRO",IF(Z203=$Z$100,"ERRO",0))))</f>
        <v>0</v>
      </c>
      <c r="BU203" s="174">
        <f>IF(AA203&lt;1,0,IF(Z203=$Z$85,AA203*AG203,IF(Z203=$Z$93,"ERRO",IF(Z203=$Z$100,"ERRO",0))))</f>
        <v>0</v>
      </c>
      <c r="BV203" s="174">
        <f>IF(Z203=$Z$92,AA203*AG203,0)</f>
        <v>0</v>
      </c>
      <c r="BW203" s="174">
        <f>IF(Z203=$Z$91,AA203*AG203,0)</f>
        <v>0</v>
      </c>
      <c r="BX203" s="174">
        <f>IF(Z203=$Z$86,AA203*AG203,0)</f>
        <v>0</v>
      </c>
      <c r="BY203" s="174">
        <f>IF(Z203=$Z$87,AA203*AG203,0)</f>
        <v>0</v>
      </c>
      <c r="BZ203" s="174">
        <f>IF(Z203=$Z$88,AA203*AG203,0)</f>
        <v>0</v>
      </c>
      <c r="CA203" s="174">
        <f>IF(Z203=$Z$89,AA203*AG203,0)</f>
        <v>0</v>
      </c>
      <c r="CB203" s="174">
        <f>IF(Z203=$Z$90,AA203*AG203,0)</f>
        <v>0</v>
      </c>
      <c r="CC203" s="175">
        <f>IFERROR(IF(L203=$L$49,AG203*AH203*(1+AI203)*(1-AK203)*(1-AL203),0),0)</f>
        <v>3702.6601499999997</v>
      </c>
      <c r="CD203" s="203">
        <f>IF(I203=$CD$97,1,IF(I203=$CD$100,2,IF(K203=$K$66,1,IF(K203=$K$69,1,3))))</f>
        <v>1</v>
      </c>
      <c r="CE203" s="203">
        <f t="shared" si="14"/>
        <v>1.07</v>
      </c>
      <c r="CF203" s="204">
        <f t="shared" si="33"/>
        <v>1.2353999999999998</v>
      </c>
      <c r="CG203" s="203">
        <f t="shared" si="15"/>
        <v>1.42</v>
      </c>
      <c r="CH203" s="204">
        <f t="shared" si="34"/>
        <v>1.5478000000000001</v>
      </c>
      <c r="CI203" s="203">
        <f t="shared" si="16"/>
        <v>1.7</v>
      </c>
      <c r="CJ203" s="205">
        <f t="shared" si="38"/>
        <v>1.0486</v>
      </c>
      <c r="CK203" s="205">
        <f t="shared" si="39"/>
        <v>1.148922</v>
      </c>
      <c r="CL203" s="205">
        <f t="shared" si="40"/>
        <v>1.3915999999999999</v>
      </c>
      <c r="CM203" s="205">
        <f t="shared" si="41"/>
        <v>1.501366</v>
      </c>
      <c r="CN203" s="206">
        <f t="shared" si="42"/>
        <v>1.6319999999999999</v>
      </c>
      <c r="CO203" s="204">
        <f t="shared" si="44"/>
        <v>1.006656</v>
      </c>
      <c r="CP203" s="207">
        <f t="shared" si="35"/>
        <v>0</v>
      </c>
      <c r="CQ203" s="208">
        <f t="shared" si="36"/>
        <v>0</v>
      </c>
      <c r="CR203" s="209">
        <f t="shared" si="37"/>
        <v>0</v>
      </c>
      <c r="CS203" s="49"/>
      <c r="CT203" s="49"/>
      <c r="CU203" s="49"/>
      <c r="CV203" s="49"/>
      <c r="CW203" s="49"/>
      <c r="CX203" s="49"/>
      <c r="CY203" s="49"/>
      <c r="CZ203" s="49"/>
      <c r="DA203" s="49"/>
      <c r="DB203" s="49"/>
      <c r="DC203" s="49"/>
      <c r="DD203" s="49"/>
      <c r="DE203" s="49"/>
      <c r="DF203" s="49"/>
      <c r="DG203" s="49"/>
      <c r="DH203" s="49"/>
      <c r="DI203" s="49"/>
      <c r="DJ203" s="49"/>
      <c r="DK203" s="49"/>
      <c r="DL203" s="49"/>
      <c r="DM203" s="49"/>
      <c r="DN203" s="49"/>
      <c r="DO203" s="49"/>
      <c r="DP203" s="49"/>
      <c r="DQ203" s="49"/>
      <c r="DR203" s="49"/>
      <c r="DS203" s="49"/>
      <c r="DT203" s="49"/>
      <c r="DU203" s="49"/>
      <c r="DV203" s="49"/>
      <c r="DW203" s="49"/>
      <c r="DX203" s="49"/>
      <c r="DY203" s="49"/>
      <c r="DZ203" s="49"/>
      <c r="EA203" s="49"/>
      <c r="EB203" s="49"/>
      <c r="EC203" s="49"/>
      <c r="ED203" s="49"/>
      <c r="EE203" s="49"/>
      <c r="EF203" s="49"/>
      <c r="EG203" s="49"/>
      <c r="EH203" s="49"/>
      <c r="EI203" s="49"/>
      <c r="EJ203" s="49"/>
      <c r="EK203" s="49"/>
      <c r="EL203" s="49"/>
      <c r="EM203" s="49"/>
      <c r="EN203" s="49"/>
      <c r="EO203" s="49"/>
      <c r="EP203" s="49"/>
      <c r="EQ203" s="49"/>
      <c r="ER203" s="49"/>
      <c r="ES203" s="49"/>
      <c r="ET203" s="49"/>
      <c r="EU203" s="49"/>
      <c r="EV203" s="49"/>
      <c r="EW203" s="49"/>
      <c r="EX203" s="49"/>
      <c r="EY203" s="49"/>
      <c r="EZ203" s="49"/>
      <c r="FA203" s="49"/>
    </row>
    <row r="204" spans="1:157" s="210" customFormat="1" ht="25.5" x14ac:dyDescent="0.25">
      <c r="A204" s="113">
        <f>IF(AND('[1]Cockpit Retorno'!$E$67=Sim,Mestre!M204=Mestre!$M$98),0,1)</f>
        <v>1</v>
      </c>
      <c r="B204" s="113">
        <f>IF(AND('[1]Cockpit Retorno'!$E$67=Sim,Mestre!L204=Mestre!$L$48),0,1)</f>
        <v>1</v>
      </c>
      <c r="C204" s="113">
        <f>IF(AND('[1]Cockpit Retorno'!$E$67=Sim,Mestre!M204=Mestre!$M$97),0,1)</f>
        <v>1</v>
      </c>
      <c r="D204" s="148" t="s">
        <v>7</v>
      </c>
      <c r="E204" s="115"/>
      <c r="F204" s="116" t="s">
        <v>107</v>
      </c>
      <c r="G204" s="149"/>
      <c r="H204" s="150" t="s">
        <v>7</v>
      </c>
      <c r="I204" s="151" t="str">
        <f t="shared" si="26"/>
        <v>Mercadorias</v>
      </c>
      <c r="J204" s="150" t="s">
        <v>15</v>
      </c>
      <c r="K204" s="152" t="s">
        <v>7</v>
      </c>
      <c r="L204" s="153" t="s">
        <v>21</v>
      </c>
      <c r="M204" s="154" t="s">
        <v>290</v>
      </c>
      <c r="N204" s="155" t="s">
        <v>342</v>
      </c>
      <c r="O204" s="155" t="s">
        <v>343</v>
      </c>
      <c r="P204" s="155" t="s">
        <v>43</v>
      </c>
      <c r="Q204" s="155" t="s">
        <v>43</v>
      </c>
      <c r="R204" s="155" t="s">
        <v>43</v>
      </c>
      <c r="S204" s="156" t="s">
        <v>43</v>
      </c>
      <c r="T204" s="156" t="s">
        <v>43</v>
      </c>
      <c r="U204" s="150" t="s">
        <v>43</v>
      </c>
      <c r="V204" s="150" t="s">
        <v>43</v>
      </c>
      <c r="W204" s="150" t="s">
        <v>43</v>
      </c>
      <c r="X204" s="157" t="s">
        <v>354</v>
      </c>
      <c r="Y204" s="150"/>
      <c r="Z204" s="150" t="s">
        <v>43</v>
      </c>
      <c r="AA204" s="158">
        <v>0</v>
      </c>
      <c r="AB204" s="155" t="s">
        <v>43</v>
      </c>
      <c r="AC204" s="150" t="s">
        <v>43</v>
      </c>
      <c r="AD204" s="155" t="s">
        <v>43</v>
      </c>
      <c r="AE204" s="155"/>
      <c r="AF204" s="150" t="s">
        <v>43</v>
      </c>
      <c r="AG204" s="159">
        <v>930</v>
      </c>
      <c r="AH204" s="159">
        <v>8.8443000000000005</v>
      </c>
      <c r="AI204" s="202">
        <v>0</v>
      </c>
      <c r="AJ204" s="161">
        <v>7.0000000000000007E-2</v>
      </c>
      <c r="AK204" s="162">
        <v>0.05</v>
      </c>
      <c r="AL204" s="163"/>
      <c r="AM204" s="164">
        <f>(((IF(L204=$L$101,1,IF(L204=$L$47,1,0))*(AH204*(1-AK204)))*AG204)*(1-AL204))</f>
        <v>0</v>
      </c>
      <c r="AN204" s="165">
        <f>IF(K204=$K$50,AM204,IF(K204=$K$53,AM204,IF(K204=$K$54,AM204,IF(K204=$K$55,AM204,IF(K204=$K$56,AM204,IF(K204=$K$57,AM204,IF(K204=$K$58,AM204,IF(K204=$K$65,AM204,IF(K204=$K$66,AM204,IF(K204=$K$67,AM204,IF(K204=$K$68,AM204,IF(K204=$K$69,AM204,IF(K204=$K$51,AM204,(AM204*(1+AI204)))))))))))))))</f>
        <v>0</v>
      </c>
      <c r="AO204" s="166">
        <v>1.4</v>
      </c>
      <c r="AP204" s="160">
        <f t="shared" si="27"/>
        <v>0</v>
      </c>
      <c r="AQ204" s="167">
        <f t="shared" si="43"/>
        <v>0</v>
      </c>
      <c r="AR204" s="160">
        <f t="shared" si="28"/>
        <v>0</v>
      </c>
      <c r="AS204" s="168">
        <f t="shared" si="29"/>
        <v>0</v>
      </c>
      <c r="AT204" s="169" t="str">
        <f>K204</f>
        <v>MI</v>
      </c>
      <c r="AU204" s="169" t="str">
        <f>I204</f>
        <v>Mercadorias</v>
      </c>
      <c r="AV204" s="170"/>
      <c r="AW204" s="171">
        <f>IF(K204=$K$50,0,IF(K204=$K$53,0,IF(K204=$K$54,0,IF(K204=$K$55,0,IF(K204=$K$56,0,IF(K204=$K$57,0,IF(K204=$K$58,0,IF(K204=$K$65,0,IF(K204=$K$66,0,IF(K204=$K$67,0,IF(K204=$K$68,0,IF(K204=$K$69,0,IF(K204=$K$51,0,1))))))))))))*AM204*AI204)</f>
        <v>0</v>
      </c>
      <c r="AX204" s="172">
        <f>IF(K204=$K$50,0,IF(K204=$K$53,0,IF(K204=$K$54,0,IF(K204=$K$55,0,IF(K204=$K$56,0,IF(K204=$K$57,0,IF(K204=$K$58,0,IF(K204=$K$65,0,IF(K204=$K$66,0,IF(K204=$K$67,0,IF(K204=$K$68,0,IF(K204=$K$69,0,IF(K204=$K$51,0,1))))))))))))*AM204*AJ204*$AX$94)</f>
        <v>0</v>
      </c>
      <c r="AY204" s="172">
        <f>IF(K204=$K$53,0,IF(K204=$K$54,0,IF(K204=$K$55,0,IF(K204=$K$56,0,IF(K204=$K$58,0,IF(K204=$K$50,0,IF(K204=$K$65,0,IF(K204=$K$57,0,IF(K204=$K$51,0,AM204*$AY$102)))))))))</f>
        <v>0</v>
      </c>
      <c r="AZ204" s="172">
        <f>IF(K204=$K$53,0,IF(K204=$K$54,0,IF(K204=$K$55,0,IF(K204=$K$56,0,IF(K204=$K$58,0,IF(K204=$K$50,0,IF(K204=$K$65,0,IF(K204=$K$57,0,IF(K204=$K$51,0,AM204*$AZ$102)))))))))</f>
        <v>0</v>
      </c>
      <c r="BA204" s="172">
        <f t="shared" si="30"/>
        <v>0</v>
      </c>
      <c r="BB204" s="173">
        <f>IF($BA$97=1,AQ204*$BB$102,IF(K204=$K$50,0,IF(K204=$K$53,0,IF(K204=$K$54,0,IF(K204=$K$55,0,IF(K204=$K$56,0,IF(K204=$K$57,0,IF(K204=$K$58,0,IF(K204=$K$65,0,IF(K204=$K$66,0,IF(K204=$K$67,0,IF(K204=$K$68,0,IF(K204=$K$69,0,IF(K204=$K$51,0,1)))))))))))*AQ204*$BB$102)))</f>
        <v>0</v>
      </c>
      <c r="BC204" s="172">
        <f t="shared" si="31"/>
        <v>0</v>
      </c>
      <c r="BD204" s="172">
        <f t="shared" si="32"/>
        <v>0</v>
      </c>
      <c r="BE204" s="172">
        <f>IF($BE$95=I204,$BE$97,IF(I204=$BE$96,$BE$97,1))*($BE$102*AQ204)*$AZ$97</f>
        <v>0</v>
      </c>
      <c r="BF204" s="172">
        <f>IF('[1]Cockpit Retorno'!$C$65=Sim,Mestre!BA204,SUM(BB204:BE204)+(IF(K204=$K$56,AQ204*MOE_IRRF_LR,0)))</f>
        <v>0</v>
      </c>
      <c r="BG204" s="174">
        <f>IF(AA204&gt;0,0,IF(Z204=$Z$82,AG204*1,(IF(Z204=$Z$81,AG204*1,0))))</f>
        <v>0</v>
      </c>
      <c r="BH204" s="174">
        <f>IF(AA204&gt;0,0,IF(Z204=$Z$83,AG204*1,IF(Z204=$Z$81,AG204*1,0)))</f>
        <v>0</v>
      </c>
      <c r="BI204" s="174">
        <f>IF(AA204&gt;0,0,IF(Z204=$Z$84,AG204*1,IF(Z204=$Z$93,AG204*2,IF(Z204=$Z$100,AG204,IF(Z204=$Z$81,AG204*2,IF(Z204=$Z$80,AG204*1,IF(Z204=$Z$79,AG204*3,IF(Z204=$Z$78,AG204*2,0))))))))</f>
        <v>0</v>
      </c>
      <c r="BJ204" s="174">
        <f>IF(AA204&gt;0,0,IF(Z204=$Z$85,AG204,IF(Z204=$Z$93,AG204,IF(Z204=$Z$100,AG204,IF(Z204=$Z$81,AG204*1,IF(Z204=$Z$80,AG204*2,IF(Z204=$Z$79,AG204*2,IF(Z204=$Z$78,AG204*2,0))))))))</f>
        <v>0</v>
      </c>
      <c r="BK204" s="174">
        <f>IF(AA204&gt;0,0,IF(Z204=$Z$92,AG204,0))</f>
        <v>0</v>
      </c>
      <c r="BL204" s="174">
        <f>IF(AA204&gt;0,0,IF(Z204=$Z$91,AG204,0))</f>
        <v>0</v>
      </c>
      <c r="BM204" s="174">
        <f>IF(AA204&gt;0,0,IF(Z204=$Z$86,AG204,0))</f>
        <v>0</v>
      </c>
      <c r="BN204" s="174">
        <f>IF(AA204&gt;0,0,IF(Z204=$Z$87,AG204,0))</f>
        <v>0</v>
      </c>
      <c r="BO204" s="174">
        <f>IF(AA204&gt;0,0,IF(Z204=$Z$88,AG204,0))</f>
        <v>0</v>
      </c>
      <c r="BP204" s="174">
        <f>IF(AA204&gt;0,0,IF(Z204=$Z$89,AG204,0))</f>
        <v>0</v>
      </c>
      <c r="BQ204" s="174">
        <f>IF(AA204&gt;0,0,IF(Z204=$Z$90,AG204,0))</f>
        <v>0</v>
      </c>
      <c r="BR204" s="174">
        <f>IF(Z204=$Z$82,AA204*AG204,0)</f>
        <v>0</v>
      </c>
      <c r="BS204" s="174">
        <f>IF(Z204=$Z$83,AA204*AG204,0)</f>
        <v>0</v>
      </c>
      <c r="BT204" s="174">
        <f>IF(AA204&lt;1,0,IF(Z204=$Z$84,AA204*AG204,IF(Z204=$Z$93,"ERRO",IF(Z204=$Z$100,"ERRO",0))))</f>
        <v>0</v>
      </c>
      <c r="BU204" s="174">
        <f>IF(AA204&lt;1,0,IF(Z204=$Z$85,AA204*AG204,IF(Z204=$Z$93,"ERRO",IF(Z204=$Z$100,"ERRO",0))))</f>
        <v>0</v>
      </c>
      <c r="BV204" s="174">
        <f>IF(Z204=$Z$92,AA204*AG204,0)</f>
        <v>0</v>
      </c>
      <c r="BW204" s="174">
        <f>IF(Z204=$Z$91,AA204*AG204,0)</f>
        <v>0</v>
      </c>
      <c r="BX204" s="174">
        <f>IF(Z204=$Z$86,AA204*AG204,0)</f>
        <v>0</v>
      </c>
      <c r="BY204" s="174">
        <f>IF(Z204=$Z$87,AA204*AG204,0)</f>
        <v>0</v>
      </c>
      <c r="BZ204" s="174">
        <f>IF(Z204=$Z$88,AA204*AG204,0)</f>
        <v>0</v>
      </c>
      <c r="CA204" s="174">
        <f>IF(Z204=$Z$89,AA204*AG204,0)</f>
        <v>0</v>
      </c>
      <c r="CB204" s="174">
        <f>IF(Z204=$Z$90,AA204*AG204,0)</f>
        <v>0</v>
      </c>
      <c r="CC204" s="175">
        <f>IFERROR(IF(L204=$L$49,AG204*AH204*(1+AI204)*(1-AK204)*(1-AL204),0),0)</f>
        <v>7813.93905</v>
      </c>
      <c r="CD204" s="203">
        <f>IF(I204=$CD$97,1,IF(I204=$CD$100,2,IF(K204=$K$66,1,IF(K204=$K$69,1,3))))</f>
        <v>1</v>
      </c>
      <c r="CE204" s="203">
        <f t="shared" si="14"/>
        <v>1.07</v>
      </c>
      <c r="CF204" s="204">
        <f t="shared" si="33"/>
        <v>1.2353999999999998</v>
      </c>
      <c r="CG204" s="203">
        <f t="shared" si="15"/>
        <v>1.42</v>
      </c>
      <c r="CH204" s="204">
        <f t="shared" si="34"/>
        <v>1.5478000000000001</v>
      </c>
      <c r="CI204" s="203">
        <f t="shared" si="16"/>
        <v>1.7</v>
      </c>
      <c r="CJ204" s="205">
        <f t="shared" si="38"/>
        <v>1.0486</v>
      </c>
      <c r="CK204" s="205">
        <f t="shared" si="39"/>
        <v>1.148922</v>
      </c>
      <c r="CL204" s="205">
        <f t="shared" si="40"/>
        <v>1.3915999999999999</v>
      </c>
      <c r="CM204" s="205">
        <f t="shared" si="41"/>
        <v>1.501366</v>
      </c>
      <c r="CN204" s="206">
        <f t="shared" si="42"/>
        <v>1.6319999999999999</v>
      </c>
      <c r="CO204" s="204">
        <f t="shared" si="44"/>
        <v>1.006656</v>
      </c>
      <c r="CP204" s="207">
        <f t="shared" si="35"/>
        <v>0</v>
      </c>
      <c r="CQ204" s="208">
        <f t="shared" si="36"/>
        <v>0</v>
      </c>
      <c r="CR204" s="209">
        <f t="shared" si="37"/>
        <v>0</v>
      </c>
      <c r="CS204" s="49"/>
      <c r="CT204" s="49"/>
      <c r="CU204" s="49"/>
      <c r="CV204" s="49"/>
      <c r="CW204" s="49"/>
      <c r="CX204" s="49"/>
      <c r="CY204" s="49"/>
      <c r="CZ204" s="49"/>
      <c r="DA204" s="49"/>
      <c r="DB204" s="49"/>
      <c r="DC204" s="49"/>
      <c r="DD204" s="49"/>
      <c r="DE204" s="49"/>
      <c r="DF204" s="49"/>
      <c r="DG204" s="49"/>
      <c r="DH204" s="49"/>
      <c r="DI204" s="49"/>
      <c r="DJ204" s="49"/>
      <c r="DK204" s="49"/>
      <c r="DL204" s="49"/>
      <c r="DM204" s="49"/>
      <c r="DN204" s="49"/>
      <c r="DO204" s="49"/>
      <c r="DP204" s="49"/>
      <c r="DQ204" s="49"/>
      <c r="DR204" s="49"/>
      <c r="DS204" s="49"/>
      <c r="DT204" s="49"/>
      <c r="DU204" s="49"/>
      <c r="DV204" s="49"/>
      <c r="DW204" s="49"/>
      <c r="DX204" s="49"/>
      <c r="DY204" s="49"/>
      <c r="DZ204" s="49"/>
      <c r="EA204" s="49"/>
      <c r="EB204" s="49"/>
      <c r="EC204" s="49"/>
      <c r="ED204" s="49"/>
      <c r="EE204" s="49"/>
      <c r="EF204" s="49"/>
      <c r="EG204" s="49"/>
      <c r="EH204" s="49"/>
      <c r="EI204" s="49"/>
      <c r="EJ204" s="49"/>
      <c r="EK204" s="49"/>
      <c r="EL204" s="49"/>
      <c r="EM204" s="49"/>
      <c r="EN204" s="49"/>
      <c r="EO204" s="49"/>
      <c r="EP204" s="49"/>
      <c r="EQ204" s="49"/>
      <c r="ER204" s="49"/>
      <c r="ES204" s="49"/>
      <c r="ET204" s="49"/>
      <c r="EU204" s="49"/>
      <c r="EV204" s="49"/>
      <c r="EW204" s="49"/>
      <c r="EX204" s="49"/>
      <c r="EY204" s="49"/>
      <c r="EZ204" s="49"/>
      <c r="FA204" s="49"/>
    </row>
    <row r="205" spans="1:157" s="210" customFormat="1" ht="25.5" x14ac:dyDescent="0.25">
      <c r="A205" s="113">
        <f>IF(AND('[1]Cockpit Retorno'!$E$67=Sim,Mestre!M205=Mestre!$M$98),0,1)</f>
        <v>1</v>
      </c>
      <c r="B205" s="113">
        <f>IF(AND('[1]Cockpit Retorno'!$E$67=Sim,Mestre!L205=Mestre!$L$48),0,1)</f>
        <v>1</v>
      </c>
      <c r="C205" s="113">
        <f>IF(AND('[1]Cockpit Retorno'!$E$67=Sim,Mestre!M205=Mestre!$M$97),0,1)</f>
        <v>1</v>
      </c>
      <c r="D205" s="148" t="s">
        <v>7</v>
      </c>
      <c r="E205" s="115"/>
      <c r="F205" s="116" t="s">
        <v>107</v>
      </c>
      <c r="G205" s="149"/>
      <c r="H205" s="150" t="s">
        <v>7</v>
      </c>
      <c r="I205" s="151" t="str">
        <f t="shared" si="26"/>
        <v>Mercadorias</v>
      </c>
      <c r="J205" s="150" t="s">
        <v>15</v>
      </c>
      <c r="K205" s="152" t="s">
        <v>7</v>
      </c>
      <c r="L205" s="153" t="s">
        <v>21</v>
      </c>
      <c r="M205" s="154" t="s">
        <v>290</v>
      </c>
      <c r="N205" s="155" t="s">
        <v>342</v>
      </c>
      <c r="O205" s="155" t="s">
        <v>343</v>
      </c>
      <c r="P205" s="155" t="s">
        <v>43</v>
      </c>
      <c r="Q205" s="155" t="s">
        <v>43</v>
      </c>
      <c r="R205" s="155" t="s">
        <v>43</v>
      </c>
      <c r="S205" s="156" t="s">
        <v>43</v>
      </c>
      <c r="T205" s="156" t="s">
        <v>43</v>
      </c>
      <c r="U205" s="150" t="s">
        <v>43</v>
      </c>
      <c r="V205" s="150" t="s">
        <v>43</v>
      </c>
      <c r="W205" s="150" t="s">
        <v>43</v>
      </c>
      <c r="X205" s="157" t="s">
        <v>355</v>
      </c>
      <c r="Y205" s="150"/>
      <c r="Z205" s="150" t="s">
        <v>43</v>
      </c>
      <c r="AA205" s="158">
        <v>0</v>
      </c>
      <c r="AB205" s="155" t="s">
        <v>43</v>
      </c>
      <c r="AC205" s="150" t="s">
        <v>43</v>
      </c>
      <c r="AD205" s="155" t="s">
        <v>43</v>
      </c>
      <c r="AE205" s="155"/>
      <c r="AF205" s="150" t="s">
        <v>43</v>
      </c>
      <c r="AG205" s="159">
        <v>80</v>
      </c>
      <c r="AH205" s="159">
        <v>8.8443000000000005</v>
      </c>
      <c r="AI205" s="202">
        <v>0</v>
      </c>
      <c r="AJ205" s="161">
        <v>7.0000000000000007E-2</v>
      </c>
      <c r="AK205" s="162">
        <v>0.05</v>
      </c>
      <c r="AL205" s="163"/>
      <c r="AM205" s="164">
        <f>(((IF(L205=$L$101,1,IF(L205=$L$47,1,0))*(AH205*(1-AK205)))*AG205)*(1-AL205))</f>
        <v>0</v>
      </c>
      <c r="AN205" s="165">
        <f>IF(K205=$K$50,AM205,IF(K205=$K$53,AM205,IF(K205=$K$54,AM205,IF(K205=$K$55,AM205,IF(K205=$K$56,AM205,IF(K205=$K$57,AM205,IF(K205=$K$58,AM205,IF(K205=$K$65,AM205,IF(K205=$K$66,AM205,IF(K205=$K$67,AM205,IF(K205=$K$68,AM205,IF(K205=$K$69,AM205,IF(K205=$K$51,AM205,(AM205*(1+AI205)))))))))))))))</f>
        <v>0</v>
      </c>
      <c r="AO205" s="166">
        <v>1.4</v>
      </c>
      <c r="AP205" s="160">
        <f t="shared" si="27"/>
        <v>0</v>
      </c>
      <c r="AQ205" s="167">
        <f t="shared" si="43"/>
        <v>0</v>
      </c>
      <c r="AR205" s="160">
        <f t="shared" si="28"/>
        <v>0</v>
      </c>
      <c r="AS205" s="168">
        <f t="shared" si="29"/>
        <v>0</v>
      </c>
      <c r="AT205" s="169" t="str">
        <f>K205</f>
        <v>MI</v>
      </c>
      <c r="AU205" s="169" t="str">
        <f>I205</f>
        <v>Mercadorias</v>
      </c>
      <c r="AV205" s="170"/>
      <c r="AW205" s="171">
        <f>IF(K205=$K$50,0,IF(K205=$K$53,0,IF(K205=$K$54,0,IF(K205=$K$55,0,IF(K205=$K$56,0,IF(K205=$K$57,0,IF(K205=$K$58,0,IF(K205=$K$65,0,IF(K205=$K$66,0,IF(K205=$K$67,0,IF(K205=$K$68,0,IF(K205=$K$69,0,IF(K205=$K$51,0,1))))))))))))*AM205*AI205)</f>
        <v>0</v>
      </c>
      <c r="AX205" s="172">
        <f>IF(K205=$K$50,0,IF(K205=$K$53,0,IF(K205=$K$54,0,IF(K205=$K$55,0,IF(K205=$K$56,0,IF(K205=$K$57,0,IF(K205=$K$58,0,IF(K205=$K$65,0,IF(K205=$K$66,0,IF(K205=$K$67,0,IF(K205=$K$68,0,IF(K205=$K$69,0,IF(K205=$K$51,0,1))))))))))))*AM205*AJ205*$AX$94)</f>
        <v>0</v>
      </c>
      <c r="AY205" s="172">
        <f>IF(K205=$K$53,0,IF(K205=$K$54,0,IF(K205=$K$55,0,IF(K205=$K$56,0,IF(K205=$K$58,0,IF(K205=$K$50,0,IF(K205=$K$65,0,IF(K205=$K$57,0,IF(K205=$K$51,0,AM205*$AY$102)))))))))</f>
        <v>0</v>
      </c>
      <c r="AZ205" s="172">
        <f>IF(K205=$K$53,0,IF(K205=$K$54,0,IF(K205=$K$55,0,IF(K205=$K$56,0,IF(K205=$K$58,0,IF(K205=$K$50,0,IF(K205=$K$65,0,IF(K205=$K$57,0,IF(K205=$K$51,0,AM205*$AZ$102)))))))))</f>
        <v>0</v>
      </c>
      <c r="BA205" s="172">
        <f t="shared" si="30"/>
        <v>0</v>
      </c>
      <c r="BB205" s="173">
        <f>IF($BA$97=1,AQ205*$BB$102,IF(K205=$K$50,0,IF(K205=$K$53,0,IF(K205=$K$54,0,IF(K205=$K$55,0,IF(K205=$K$56,0,IF(K205=$K$57,0,IF(K205=$K$58,0,IF(K205=$K$65,0,IF(K205=$K$66,0,IF(K205=$K$67,0,IF(K205=$K$68,0,IF(K205=$K$69,0,IF(K205=$K$51,0,1)))))))))))*AQ205*$BB$102)))</f>
        <v>0</v>
      </c>
      <c r="BC205" s="172">
        <f t="shared" si="31"/>
        <v>0</v>
      </c>
      <c r="BD205" s="172">
        <f t="shared" si="32"/>
        <v>0</v>
      </c>
      <c r="BE205" s="172">
        <f>IF($BE$95=I205,$BE$97,IF(I205=$BE$96,$BE$97,1))*($BE$102*AQ205)*$AZ$97</f>
        <v>0</v>
      </c>
      <c r="BF205" s="172">
        <f>IF('[1]Cockpit Retorno'!$C$65=Sim,Mestre!BA205,SUM(BB205:BE205)+(IF(K205=$K$56,AQ205*MOE_IRRF_LR,0)))</f>
        <v>0</v>
      </c>
      <c r="BG205" s="174">
        <f>IF(AA205&gt;0,0,IF(Z205=$Z$82,AG205*1,(IF(Z205=$Z$81,AG205*1,0))))</f>
        <v>0</v>
      </c>
      <c r="BH205" s="174">
        <f>IF(AA205&gt;0,0,IF(Z205=$Z$83,AG205*1,IF(Z205=$Z$81,AG205*1,0)))</f>
        <v>0</v>
      </c>
      <c r="BI205" s="174">
        <f>IF(AA205&gt;0,0,IF(Z205=$Z$84,AG205*1,IF(Z205=$Z$93,AG205*2,IF(Z205=$Z$100,AG205,IF(Z205=$Z$81,AG205*2,IF(Z205=$Z$80,AG205*1,IF(Z205=$Z$79,AG205*3,IF(Z205=$Z$78,AG205*2,0))))))))</f>
        <v>0</v>
      </c>
      <c r="BJ205" s="174">
        <f>IF(AA205&gt;0,0,IF(Z205=$Z$85,AG205,IF(Z205=$Z$93,AG205,IF(Z205=$Z$100,AG205,IF(Z205=$Z$81,AG205*1,IF(Z205=$Z$80,AG205*2,IF(Z205=$Z$79,AG205*2,IF(Z205=$Z$78,AG205*2,0))))))))</f>
        <v>0</v>
      </c>
      <c r="BK205" s="174">
        <f>IF(AA205&gt;0,0,IF(Z205=$Z$92,AG205,0))</f>
        <v>0</v>
      </c>
      <c r="BL205" s="174">
        <f>IF(AA205&gt;0,0,IF(Z205=$Z$91,AG205,0))</f>
        <v>0</v>
      </c>
      <c r="BM205" s="174">
        <f>IF(AA205&gt;0,0,IF(Z205=$Z$86,AG205,0))</f>
        <v>0</v>
      </c>
      <c r="BN205" s="174">
        <f>IF(AA205&gt;0,0,IF(Z205=$Z$87,AG205,0))</f>
        <v>0</v>
      </c>
      <c r="BO205" s="174">
        <f>IF(AA205&gt;0,0,IF(Z205=$Z$88,AG205,0))</f>
        <v>0</v>
      </c>
      <c r="BP205" s="174">
        <f>IF(AA205&gt;0,0,IF(Z205=$Z$89,AG205,0))</f>
        <v>0</v>
      </c>
      <c r="BQ205" s="174">
        <f>IF(AA205&gt;0,0,IF(Z205=$Z$90,AG205,0))</f>
        <v>0</v>
      </c>
      <c r="BR205" s="174">
        <f>IF(Z205=$Z$82,AA205*AG205,0)</f>
        <v>0</v>
      </c>
      <c r="BS205" s="174">
        <f>IF(Z205=$Z$83,AA205*AG205,0)</f>
        <v>0</v>
      </c>
      <c r="BT205" s="174">
        <f>IF(AA205&lt;1,0,IF(Z205=$Z$84,AA205*AG205,IF(Z205=$Z$93,"ERRO",IF(Z205=$Z$100,"ERRO",0))))</f>
        <v>0</v>
      </c>
      <c r="BU205" s="174">
        <f>IF(AA205&lt;1,0,IF(Z205=$Z$85,AA205*AG205,IF(Z205=$Z$93,"ERRO",IF(Z205=$Z$100,"ERRO",0))))</f>
        <v>0</v>
      </c>
      <c r="BV205" s="174">
        <f>IF(Z205=$Z$92,AA205*AG205,0)</f>
        <v>0</v>
      </c>
      <c r="BW205" s="174">
        <f>IF(Z205=$Z$91,AA205*AG205,0)</f>
        <v>0</v>
      </c>
      <c r="BX205" s="174">
        <f>IF(Z205=$Z$86,AA205*AG205,0)</f>
        <v>0</v>
      </c>
      <c r="BY205" s="174">
        <f>IF(Z205=$Z$87,AA205*AG205,0)</f>
        <v>0</v>
      </c>
      <c r="BZ205" s="174">
        <f>IF(Z205=$Z$88,AA205*AG205,0)</f>
        <v>0</v>
      </c>
      <c r="CA205" s="174">
        <f>IF(Z205=$Z$89,AA205*AG205,0)</f>
        <v>0</v>
      </c>
      <c r="CB205" s="174">
        <f>IF(Z205=$Z$90,AA205*AG205,0)</f>
        <v>0</v>
      </c>
      <c r="CC205" s="175">
        <f>IFERROR(IF(L205=$L$49,AG205*AH205*(1+AI205)*(1-AK205)*(1-AL205),0),0)</f>
        <v>672.16680000000008</v>
      </c>
      <c r="CD205" s="203">
        <f>IF(I205=$CD$97,1,IF(I205=$CD$100,2,IF(K205=$K$66,1,IF(K205=$K$69,1,3))))</f>
        <v>1</v>
      </c>
      <c r="CE205" s="203">
        <f t="shared" si="14"/>
        <v>1.07</v>
      </c>
      <c r="CF205" s="204">
        <f t="shared" si="33"/>
        <v>1.2353999999999998</v>
      </c>
      <c r="CG205" s="203">
        <f t="shared" si="15"/>
        <v>1.42</v>
      </c>
      <c r="CH205" s="204">
        <f t="shared" si="34"/>
        <v>1.5478000000000001</v>
      </c>
      <c r="CI205" s="203">
        <f t="shared" si="16"/>
        <v>1.7</v>
      </c>
      <c r="CJ205" s="205">
        <f t="shared" si="38"/>
        <v>1.0486</v>
      </c>
      <c r="CK205" s="205">
        <f t="shared" si="39"/>
        <v>1.148922</v>
      </c>
      <c r="CL205" s="205">
        <f t="shared" si="40"/>
        <v>1.3915999999999999</v>
      </c>
      <c r="CM205" s="205">
        <f t="shared" si="41"/>
        <v>1.501366</v>
      </c>
      <c r="CN205" s="206">
        <f t="shared" si="42"/>
        <v>1.6319999999999999</v>
      </c>
      <c r="CO205" s="204">
        <f t="shared" si="44"/>
        <v>1.006656</v>
      </c>
      <c r="CP205" s="207">
        <f t="shared" si="35"/>
        <v>0</v>
      </c>
      <c r="CQ205" s="208">
        <f t="shared" si="36"/>
        <v>0</v>
      </c>
      <c r="CR205" s="209">
        <f t="shared" si="37"/>
        <v>0</v>
      </c>
      <c r="CS205" s="49"/>
      <c r="CT205" s="49"/>
      <c r="CU205" s="49"/>
      <c r="CV205" s="49"/>
      <c r="CW205" s="49"/>
      <c r="CX205" s="49"/>
      <c r="CY205" s="49"/>
      <c r="CZ205" s="49"/>
      <c r="DA205" s="49"/>
      <c r="DB205" s="49"/>
      <c r="DC205" s="49"/>
      <c r="DD205" s="49"/>
      <c r="DE205" s="49"/>
      <c r="DF205" s="49"/>
      <c r="DG205" s="49"/>
      <c r="DH205" s="49"/>
      <c r="DI205" s="49"/>
      <c r="DJ205" s="49"/>
      <c r="DK205" s="49"/>
      <c r="DL205" s="49"/>
      <c r="DM205" s="49"/>
      <c r="DN205" s="49"/>
      <c r="DO205" s="49"/>
      <c r="DP205" s="49"/>
      <c r="DQ205" s="49"/>
      <c r="DR205" s="49"/>
      <c r="DS205" s="49"/>
      <c r="DT205" s="49"/>
      <c r="DU205" s="49"/>
      <c r="DV205" s="49"/>
      <c r="DW205" s="49"/>
      <c r="DX205" s="49"/>
      <c r="DY205" s="49"/>
      <c r="DZ205" s="49"/>
      <c r="EA205" s="49"/>
      <c r="EB205" s="49"/>
      <c r="EC205" s="49"/>
      <c r="ED205" s="49"/>
      <c r="EE205" s="49"/>
      <c r="EF205" s="49"/>
      <c r="EG205" s="49"/>
      <c r="EH205" s="49"/>
      <c r="EI205" s="49"/>
      <c r="EJ205" s="49"/>
      <c r="EK205" s="49"/>
      <c r="EL205" s="49"/>
      <c r="EM205" s="49"/>
      <c r="EN205" s="49"/>
      <c r="EO205" s="49"/>
      <c r="EP205" s="49"/>
      <c r="EQ205" s="49"/>
      <c r="ER205" s="49"/>
      <c r="ES205" s="49"/>
      <c r="ET205" s="49"/>
      <c r="EU205" s="49"/>
      <c r="EV205" s="49"/>
      <c r="EW205" s="49"/>
      <c r="EX205" s="49"/>
      <c r="EY205" s="49"/>
      <c r="EZ205" s="49"/>
      <c r="FA205" s="49"/>
    </row>
    <row r="206" spans="1:157" s="210" customFormat="1" ht="25.5" x14ac:dyDescent="0.25">
      <c r="A206" s="113">
        <f>IF(AND('[1]Cockpit Retorno'!$E$67=Sim,Mestre!M206=Mestre!$M$98),0,1)</f>
        <v>1</v>
      </c>
      <c r="B206" s="113">
        <f>IF(AND('[1]Cockpit Retorno'!$E$67=Sim,Mestre!L206=Mestre!$L$48),0,1)</f>
        <v>1</v>
      </c>
      <c r="C206" s="113">
        <f>IF(AND('[1]Cockpit Retorno'!$E$67=Sim,Mestre!M206=Mestre!$M$97),0,1)</f>
        <v>1</v>
      </c>
      <c r="D206" s="148" t="s">
        <v>7</v>
      </c>
      <c r="E206" s="115"/>
      <c r="F206" s="116" t="s">
        <v>107</v>
      </c>
      <c r="G206" s="149">
        <v>18</v>
      </c>
      <c r="H206" s="150" t="s">
        <v>7</v>
      </c>
      <c r="I206" s="151" t="str">
        <f t="shared" si="26"/>
        <v>Mercadorias</v>
      </c>
      <c r="J206" s="150" t="s">
        <v>15</v>
      </c>
      <c r="K206" s="152" t="s">
        <v>7</v>
      </c>
      <c r="L206" s="153" t="s">
        <v>21</v>
      </c>
      <c r="M206" s="154" t="s">
        <v>290</v>
      </c>
      <c r="N206" s="155" t="s">
        <v>342</v>
      </c>
      <c r="O206" s="155" t="s">
        <v>343</v>
      </c>
      <c r="P206" s="155" t="s">
        <v>43</v>
      </c>
      <c r="Q206" s="155" t="s">
        <v>43</v>
      </c>
      <c r="R206" s="155" t="s">
        <v>43</v>
      </c>
      <c r="S206" s="156" t="s">
        <v>43</v>
      </c>
      <c r="T206" s="156" t="s">
        <v>43</v>
      </c>
      <c r="U206" s="150" t="s">
        <v>43</v>
      </c>
      <c r="V206" s="150" t="s">
        <v>43</v>
      </c>
      <c r="W206" s="150" t="s">
        <v>43</v>
      </c>
      <c r="X206" s="157" t="s">
        <v>356</v>
      </c>
      <c r="Y206" s="150"/>
      <c r="Z206" s="150" t="s">
        <v>43</v>
      </c>
      <c r="AA206" s="158">
        <v>0</v>
      </c>
      <c r="AB206" s="155" t="s">
        <v>43</v>
      </c>
      <c r="AC206" s="150" t="s">
        <v>43</v>
      </c>
      <c r="AD206" s="155" t="s">
        <v>43</v>
      </c>
      <c r="AE206" s="155"/>
      <c r="AF206" s="150" t="s">
        <v>43</v>
      </c>
      <c r="AG206" s="159">
        <v>652</v>
      </c>
      <c r="AH206" s="159">
        <v>67.211100000000002</v>
      </c>
      <c r="AI206" s="202">
        <v>0</v>
      </c>
      <c r="AJ206" s="161">
        <v>7.0000000000000007E-2</v>
      </c>
      <c r="AK206" s="162">
        <v>0.05</v>
      </c>
      <c r="AL206" s="163"/>
      <c r="AM206" s="164">
        <f>(((IF(L206=$L$101,1,IF(L206=$L$47,1,0))*(AH206*(1-AK206)))*AG206)*(1-AL206))</f>
        <v>0</v>
      </c>
      <c r="AN206" s="165">
        <f>IF(K206=$K$50,AM206,IF(K206=$K$53,AM206,IF(K206=$K$54,AM206,IF(K206=$K$55,AM206,IF(K206=$K$56,AM206,IF(K206=$K$57,AM206,IF(K206=$K$58,AM206,IF(K206=$K$65,AM206,IF(K206=$K$66,AM206,IF(K206=$K$67,AM206,IF(K206=$K$68,AM206,IF(K206=$K$69,AM206,IF(K206=$K$51,AM206,(AM206*(1+AI206)))))))))))))))</f>
        <v>0</v>
      </c>
      <c r="AO206" s="166">
        <v>1.4</v>
      </c>
      <c r="AP206" s="160">
        <f t="shared" si="27"/>
        <v>0</v>
      </c>
      <c r="AQ206" s="167">
        <f t="shared" si="43"/>
        <v>0</v>
      </c>
      <c r="AR206" s="160">
        <f t="shared" si="28"/>
        <v>0</v>
      </c>
      <c r="AS206" s="168">
        <f t="shared" si="29"/>
        <v>0</v>
      </c>
      <c r="AT206" s="169" t="str">
        <f>K206</f>
        <v>MI</v>
      </c>
      <c r="AU206" s="169" t="str">
        <f>I206</f>
        <v>Mercadorias</v>
      </c>
      <c r="AV206" s="170"/>
      <c r="AW206" s="171">
        <f>IF(K206=$K$50,0,IF(K206=$K$53,0,IF(K206=$K$54,0,IF(K206=$K$55,0,IF(K206=$K$56,0,IF(K206=$K$57,0,IF(K206=$K$58,0,IF(K206=$K$65,0,IF(K206=$K$66,0,IF(K206=$K$67,0,IF(K206=$K$68,0,IF(K206=$K$69,0,IF(K206=$K$51,0,1))))))))))))*AM206*AI206)</f>
        <v>0</v>
      </c>
      <c r="AX206" s="172">
        <f>IF(K206=$K$50,0,IF(K206=$K$53,0,IF(K206=$K$54,0,IF(K206=$K$55,0,IF(K206=$K$56,0,IF(K206=$K$57,0,IF(K206=$K$58,0,IF(K206=$K$65,0,IF(K206=$K$66,0,IF(K206=$K$67,0,IF(K206=$K$68,0,IF(K206=$K$69,0,IF(K206=$K$51,0,1))))))))))))*AM206*AJ206*$AX$94)</f>
        <v>0</v>
      </c>
      <c r="AY206" s="172">
        <f>IF(K206=$K$53,0,IF(K206=$K$54,0,IF(K206=$K$55,0,IF(K206=$K$56,0,IF(K206=$K$58,0,IF(K206=$K$50,0,IF(K206=$K$65,0,IF(K206=$K$57,0,IF(K206=$K$51,0,AM206*$AY$102)))))))))</f>
        <v>0</v>
      </c>
      <c r="AZ206" s="172">
        <f>IF(K206=$K$53,0,IF(K206=$K$54,0,IF(K206=$K$55,0,IF(K206=$K$56,0,IF(K206=$K$58,0,IF(K206=$K$50,0,IF(K206=$K$65,0,IF(K206=$K$57,0,IF(K206=$K$51,0,AM206*$AZ$102)))))))))</f>
        <v>0</v>
      </c>
      <c r="BA206" s="172">
        <f t="shared" si="30"/>
        <v>0</v>
      </c>
      <c r="BB206" s="173">
        <f>IF($BA$97=1,AQ206*$BB$102,IF(K206=$K$50,0,IF(K206=$K$53,0,IF(K206=$K$54,0,IF(K206=$K$55,0,IF(K206=$K$56,0,IF(K206=$K$57,0,IF(K206=$K$58,0,IF(K206=$K$65,0,IF(K206=$K$66,0,IF(K206=$K$67,0,IF(K206=$K$68,0,IF(K206=$K$69,0,IF(K206=$K$51,0,1)))))))))))*AQ206*$BB$102)))</f>
        <v>0</v>
      </c>
      <c r="BC206" s="172">
        <f t="shared" si="31"/>
        <v>0</v>
      </c>
      <c r="BD206" s="172">
        <f t="shared" si="32"/>
        <v>0</v>
      </c>
      <c r="BE206" s="172">
        <f>IF($BE$95=I206,$BE$97,IF(I206=$BE$96,$BE$97,1))*($BE$102*AQ206)*$AZ$97</f>
        <v>0</v>
      </c>
      <c r="BF206" s="172">
        <f>IF('[1]Cockpit Retorno'!$C$65=Sim,Mestre!BA206,SUM(BB206:BE206)+(IF(K206=$K$56,AQ206*MOE_IRRF_LR,0)))</f>
        <v>0</v>
      </c>
      <c r="BG206" s="174">
        <f>IF(AA206&gt;0,0,IF(Z206=$Z$82,AG206*1,(IF(Z206=$Z$81,AG206*1,0))))</f>
        <v>0</v>
      </c>
      <c r="BH206" s="174">
        <f>IF(AA206&gt;0,0,IF(Z206=$Z$83,AG206*1,IF(Z206=$Z$81,AG206*1,0)))</f>
        <v>0</v>
      </c>
      <c r="BI206" s="174">
        <f>IF(AA206&gt;0,0,IF(Z206=$Z$84,AG206*1,IF(Z206=$Z$93,AG206*2,IF(Z206=$Z$100,AG206,IF(Z206=$Z$81,AG206*2,IF(Z206=$Z$80,AG206*1,IF(Z206=$Z$79,AG206*3,IF(Z206=$Z$78,AG206*2,0))))))))</f>
        <v>0</v>
      </c>
      <c r="BJ206" s="174">
        <f>IF(AA206&gt;0,0,IF(Z206=$Z$85,AG206,IF(Z206=$Z$93,AG206,IF(Z206=$Z$100,AG206,IF(Z206=$Z$81,AG206*1,IF(Z206=$Z$80,AG206*2,IF(Z206=$Z$79,AG206*2,IF(Z206=$Z$78,AG206*2,0))))))))</f>
        <v>0</v>
      </c>
      <c r="BK206" s="174">
        <f>IF(AA206&gt;0,0,IF(Z206=$Z$92,AG206,0))</f>
        <v>0</v>
      </c>
      <c r="BL206" s="174">
        <f>IF(AA206&gt;0,0,IF(Z206=$Z$91,AG206,0))</f>
        <v>0</v>
      </c>
      <c r="BM206" s="174">
        <f>IF(AA206&gt;0,0,IF(Z206=$Z$86,AG206,0))</f>
        <v>0</v>
      </c>
      <c r="BN206" s="174">
        <f>IF(AA206&gt;0,0,IF(Z206=$Z$87,AG206,0))</f>
        <v>0</v>
      </c>
      <c r="BO206" s="174">
        <f>IF(AA206&gt;0,0,IF(Z206=$Z$88,AG206,0))</f>
        <v>0</v>
      </c>
      <c r="BP206" s="174">
        <f>IF(AA206&gt;0,0,IF(Z206=$Z$89,AG206,0))</f>
        <v>0</v>
      </c>
      <c r="BQ206" s="174">
        <f>IF(AA206&gt;0,0,IF(Z206=$Z$90,AG206,0))</f>
        <v>0</v>
      </c>
      <c r="BR206" s="174">
        <f>IF(Z206=$Z$82,AA206*AG206,0)</f>
        <v>0</v>
      </c>
      <c r="BS206" s="174">
        <f>IF(Z206=$Z$83,AA206*AG206,0)</f>
        <v>0</v>
      </c>
      <c r="BT206" s="174">
        <f>IF(AA206&lt;1,0,IF(Z206=$Z$84,AA206*AG206,IF(Z206=$Z$93,"ERRO",IF(Z206=$Z$100,"ERRO",0))))</f>
        <v>0</v>
      </c>
      <c r="BU206" s="174">
        <f>IF(AA206&lt;1,0,IF(Z206=$Z$85,AA206*AG206,IF(Z206=$Z$93,"ERRO",IF(Z206=$Z$100,"ERRO",0))))</f>
        <v>0</v>
      </c>
      <c r="BV206" s="174">
        <f>IF(Z206=$Z$92,AA206*AG206,0)</f>
        <v>0</v>
      </c>
      <c r="BW206" s="174">
        <f>IF(Z206=$Z$91,AA206*AG206,0)</f>
        <v>0</v>
      </c>
      <c r="BX206" s="174">
        <f>IF(Z206=$Z$86,AA206*AG206,0)</f>
        <v>0</v>
      </c>
      <c r="BY206" s="174">
        <f>IF(Z206=$Z$87,AA206*AG206,0)</f>
        <v>0</v>
      </c>
      <c r="BZ206" s="174">
        <f>IF(Z206=$Z$88,AA206*AG206,0)</f>
        <v>0</v>
      </c>
      <c r="CA206" s="174">
        <f>IF(Z206=$Z$89,AA206*AG206,0)</f>
        <v>0</v>
      </c>
      <c r="CB206" s="174">
        <f>IF(Z206=$Z$90,AA206*AG206,0)</f>
        <v>0</v>
      </c>
      <c r="CC206" s="175">
        <f>IFERROR(IF(L206=$L$49,AG206*AH206*(1+AI206)*(1-AK206)*(1-AL206),0),0)</f>
        <v>41630.555339999999</v>
      </c>
      <c r="CD206" s="203">
        <f>IF(I206=$CD$97,1,IF(I206=$CD$100,2,IF(K206=$K$66,1,IF(K206=$K$69,1,3))))</f>
        <v>1</v>
      </c>
      <c r="CE206" s="203">
        <f t="shared" si="14"/>
        <v>1.07</v>
      </c>
      <c r="CF206" s="204">
        <f t="shared" si="33"/>
        <v>1.2353999999999998</v>
      </c>
      <c r="CG206" s="203">
        <f t="shared" si="15"/>
        <v>1.42</v>
      </c>
      <c r="CH206" s="204">
        <f t="shared" si="34"/>
        <v>1.5478000000000001</v>
      </c>
      <c r="CI206" s="203">
        <f t="shared" si="16"/>
        <v>1.7</v>
      </c>
      <c r="CJ206" s="205">
        <f t="shared" si="38"/>
        <v>1.0486</v>
      </c>
      <c r="CK206" s="205">
        <f t="shared" si="39"/>
        <v>1.148922</v>
      </c>
      <c r="CL206" s="205">
        <f t="shared" si="40"/>
        <v>1.3915999999999999</v>
      </c>
      <c r="CM206" s="205">
        <f t="shared" si="41"/>
        <v>1.501366</v>
      </c>
      <c r="CN206" s="206">
        <f t="shared" si="42"/>
        <v>1.6319999999999999</v>
      </c>
      <c r="CO206" s="204">
        <f t="shared" si="44"/>
        <v>1.006656</v>
      </c>
      <c r="CP206" s="207">
        <f t="shared" si="35"/>
        <v>0</v>
      </c>
      <c r="CQ206" s="208">
        <f t="shared" si="36"/>
        <v>0</v>
      </c>
      <c r="CR206" s="209">
        <f t="shared" si="37"/>
        <v>0</v>
      </c>
      <c r="CS206" s="49"/>
      <c r="CT206" s="49"/>
      <c r="CU206" s="49"/>
      <c r="CV206" s="49"/>
      <c r="CW206" s="49"/>
      <c r="CX206" s="49"/>
      <c r="CY206" s="49"/>
      <c r="CZ206" s="49"/>
      <c r="DA206" s="49"/>
      <c r="DB206" s="49"/>
      <c r="DC206" s="49"/>
      <c r="DD206" s="49"/>
      <c r="DE206" s="49"/>
      <c r="DF206" s="49"/>
      <c r="DG206" s="49"/>
      <c r="DH206" s="49"/>
      <c r="DI206" s="49"/>
      <c r="DJ206" s="49"/>
      <c r="DK206" s="49"/>
      <c r="DL206" s="49"/>
      <c r="DM206" s="49"/>
      <c r="DN206" s="49"/>
      <c r="DO206" s="49"/>
      <c r="DP206" s="49"/>
      <c r="DQ206" s="49"/>
      <c r="DR206" s="49"/>
      <c r="DS206" s="49"/>
      <c r="DT206" s="49"/>
      <c r="DU206" s="49"/>
      <c r="DV206" s="49"/>
      <c r="DW206" s="49"/>
      <c r="DX206" s="49"/>
      <c r="DY206" s="49"/>
      <c r="DZ206" s="49"/>
      <c r="EA206" s="49"/>
      <c r="EB206" s="49"/>
      <c r="EC206" s="49"/>
      <c r="ED206" s="49"/>
      <c r="EE206" s="49"/>
      <c r="EF206" s="49"/>
      <c r="EG206" s="49"/>
      <c r="EH206" s="49"/>
      <c r="EI206" s="49"/>
      <c r="EJ206" s="49"/>
      <c r="EK206" s="49"/>
      <c r="EL206" s="49"/>
      <c r="EM206" s="49"/>
      <c r="EN206" s="49"/>
      <c r="EO206" s="49"/>
      <c r="EP206" s="49"/>
      <c r="EQ206" s="49"/>
      <c r="ER206" s="49"/>
      <c r="ES206" s="49"/>
      <c r="ET206" s="49"/>
      <c r="EU206" s="49"/>
      <c r="EV206" s="49"/>
      <c r="EW206" s="49"/>
      <c r="EX206" s="49"/>
      <c r="EY206" s="49"/>
      <c r="EZ206" s="49"/>
      <c r="FA206" s="49"/>
    </row>
    <row r="207" spans="1:157" s="210" customFormat="1" ht="25.5" x14ac:dyDescent="0.25">
      <c r="A207" s="113">
        <f>IF(AND('[1]Cockpit Retorno'!$E$67=Sim,Mestre!M207=Mestre!$M$98),0,1)</f>
        <v>1</v>
      </c>
      <c r="B207" s="113">
        <f>IF(AND('[1]Cockpit Retorno'!$E$67=Sim,Mestre!L207=Mestre!$L$48),0,1)</f>
        <v>1</v>
      </c>
      <c r="C207" s="113">
        <f>IF(AND('[1]Cockpit Retorno'!$E$67=Sim,Mestre!M207=Mestre!$M$97),0,1)</f>
        <v>1</v>
      </c>
      <c r="D207" s="148" t="s">
        <v>7</v>
      </c>
      <c r="E207" s="115"/>
      <c r="F207" s="116" t="s">
        <v>107</v>
      </c>
      <c r="G207" s="149">
        <v>18</v>
      </c>
      <c r="H207" s="150" t="s">
        <v>7</v>
      </c>
      <c r="I207" s="151" t="str">
        <f t="shared" si="26"/>
        <v>Mercadorias</v>
      </c>
      <c r="J207" s="150" t="s">
        <v>15</v>
      </c>
      <c r="K207" s="152" t="s">
        <v>7</v>
      </c>
      <c r="L207" s="153" t="s">
        <v>21</v>
      </c>
      <c r="M207" s="154" t="s">
        <v>290</v>
      </c>
      <c r="N207" s="155" t="s">
        <v>342</v>
      </c>
      <c r="O207" s="155" t="s">
        <v>343</v>
      </c>
      <c r="P207" s="155" t="s">
        <v>43</v>
      </c>
      <c r="Q207" s="155" t="s">
        <v>43</v>
      </c>
      <c r="R207" s="155" t="s">
        <v>43</v>
      </c>
      <c r="S207" s="156" t="s">
        <v>43</v>
      </c>
      <c r="T207" s="156" t="s">
        <v>43</v>
      </c>
      <c r="U207" s="150" t="s">
        <v>43</v>
      </c>
      <c r="V207" s="150" t="s">
        <v>43</v>
      </c>
      <c r="W207" s="150" t="s">
        <v>43</v>
      </c>
      <c r="X207" s="157" t="s">
        <v>357</v>
      </c>
      <c r="Y207" s="150"/>
      <c r="Z207" s="150" t="s">
        <v>43</v>
      </c>
      <c r="AA207" s="158">
        <v>0</v>
      </c>
      <c r="AB207" s="155" t="s">
        <v>43</v>
      </c>
      <c r="AC207" s="150" t="s">
        <v>43</v>
      </c>
      <c r="AD207" s="155" t="s">
        <v>43</v>
      </c>
      <c r="AE207" s="155"/>
      <c r="AF207" s="150" t="s">
        <v>43</v>
      </c>
      <c r="AG207" s="159">
        <v>42</v>
      </c>
      <c r="AH207" s="159">
        <v>24.942600000000002</v>
      </c>
      <c r="AI207" s="202">
        <v>0</v>
      </c>
      <c r="AJ207" s="161">
        <v>7.0000000000000007E-2</v>
      </c>
      <c r="AK207" s="162">
        <v>0.05</v>
      </c>
      <c r="AL207" s="163"/>
      <c r="AM207" s="164">
        <f>(((IF(L207=$L$101,1,IF(L207=$L$47,1,0))*(AH207*(1-AK207)))*AG207)*(1-AL207))</f>
        <v>0</v>
      </c>
      <c r="AN207" s="165">
        <f>IF(K207=$K$50,AM207,IF(K207=$K$53,AM207,IF(K207=$K$54,AM207,IF(K207=$K$55,AM207,IF(K207=$K$56,AM207,IF(K207=$K$57,AM207,IF(K207=$K$58,AM207,IF(K207=$K$65,AM207,IF(K207=$K$66,AM207,IF(K207=$K$67,AM207,IF(K207=$K$68,AM207,IF(K207=$K$69,AM207,IF(K207=$K$51,AM207,(AM207*(1+AI207)))))))))))))))</f>
        <v>0</v>
      </c>
      <c r="AO207" s="166">
        <v>1.4</v>
      </c>
      <c r="AP207" s="160">
        <f t="shared" si="27"/>
        <v>0</v>
      </c>
      <c r="AQ207" s="167">
        <f t="shared" si="43"/>
        <v>0</v>
      </c>
      <c r="AR207" s="160">
        <f t="shared" si="28"/>
        <v>0</v>
      </c>
      <c r="AS207" s="168">
        <f t="shared" si="29"/>
        <v>0</v>
      </c>
      <c r="AT207" s="169" t="str">
        <f>K207</f>
        <v>MI</v>
      </c>
      <c r="AU207" s="169" t="str">
        <f>I207</f>
        <v>Mercadorias</v>
      </c>
      <c r="AV207" s="170"/>
      <c r="AW207" s="171">
        <f>IF(K207=$K$50,0,IF(K207=$K$53,0,IF(K207=$K$54,0,IF(K207=$K$55,0,IF(K207=$K$56,0,IF(K207=$K$57,0,IF(K207=$K$58,0,IF(K207=$K$65,0,IF(K207=$K$66,0,IF(K207=$K$67,0,IF(K207=$K$68,0,IF(K207=$K$69,0,IF(K207=$K$51,0,1))))))))))))*AM207*AI207)</f>
        <v>0</v>
      </c>
      <c r="AX207" s="172">
        <f>IF(K207=$K$50,0,IF(K207=$K$53,0,IF(K207=$K$54,0,IF(K207=$K$55,0,IF(K207=$K$56,0,IF(K207=$K$57,0,IF(K207=$K$58,0,IF(K207=$K$65,0,IF(K207=$K$66,0,IF(K207=$K$67,0,IF(K207=$K$68,0,IF(K207=$K$69,0,IF(K207=$K$51,0,1))))))))))))*AM207*AJ207*$AX$94)</f>
        <v>0</v>
      </c>
      <c r="AY207" s="172">
        <f>IF(K207=$K$53,0,IF(K207=$K$54,0,IF(K207=$K$55,0,IF(K207=$K$56,0,IF(K207=$K$58,0,IF(K207=$K$50,0,IF(K207=$K$65,0,IF(K207=$K$57,0,IF(K207=$K$51,0,AM207*$AY$102)))))))))</f>
        <v>0</v>
      </c>
      <c r="AZ207" s="172">
        <f>IF(K207=$K$53,0,IF(K207=$K$54,0,IF(K207=$K$55,0,IF(K207=$K$56,0,IF(K207=$K$58,0,IF(K207=$K$50,0,IF(K207=$K$65,0,IF(K207=$K$57,0,IF(K207=$K$51,0,AM207*$AZ$102)))))))))</f>
        <v>0</v>
      </c>
      <c r="BA207" s="172">
        <f t="shared" si="30"/>
        <v>0</v>
      </c>
      <c r="BB207" s="173">
        <f>IF($BA$97=1,AQ207*$BB$102,IF(K207=$K$50,0,IF(K207=$K$53,0,IF(K207=$K$54,0,IF(K207=$K$55,0,IF(K207=$K$56,0,IF(K207=$K$57,0,IF(K207=$K$58,0,IF(K207=$K$65,0,IF(K207=$K$66,0,IF(K207=$K$67,0,IF(K207=$K$68,0,IF(K207=$K$69,0,IF(K207=$K$51,0,1)))))))))))*AQ207*$BB$102)))</f>
        <v>0</v>
      </c>
      <c r="BC207" s="172">
        <f t="shared" si="31"/>
        <v>0</v>
      </c>
      <c r="BD207" s="172">
        <f t="shared" si="32"/>
        <v>0</v>
      </c>
      <c r="BE207" s="172">
        <f>IF($BE$95=I207,$BE$97,IF(I207=$BE$96,$BE$97,1))*($BE$102*AQ207)*$AZ$97</f>
        <v>0</v>
      </c>
      <c r="BF207" s="172">
        <f>IF('[1]Cockpit Retorno'!$C$65=Sim,Mestre!BA207,SUM(BB207:BE207)+(IF(K207=$K$56,AQ207*MOE_IRRF_LR,0)))</f>
        <v>0</v>
      </c>
      <c r="BG207" s="174">
        <f>IF(AA207&gt;0,0,IF(Z207=$Z$82,AG207*1,(IF(Z207=$Z$81,AG207*1,0))))</f>
        <v>0</v>
      </c>
      <c r="BH207" s="174">
        <f>IF(AA207&gt;0,0,IF(Z207=$Z$83,AG207*1,IF(Z207=$Z$81,AG207*1,0)))</f>
        <v>0</v>
      </c>
      <c r="BI207" s="174">
        <f>IF(AA207&gt;0,0,IF(Z207=$Z$84,AG207*1,IF(Z207=$Z$93,AG207*2,IF(Z207=$Z$100,AG207,IF(Z207=$Z$81,AG207*2,IF(Z207=$Z$80,AG207*1,IF(Z207=$Z$79,AG207*3,IF(Z207=$Z$78,AG207*2,0))))))))</f>
        <v>0</v>
      </c>
      <c r="BJ207" s="174">
        <f>IF(AA207&gt;0,0,IF(Z207=$Z$85,AG207,IF(Z207=$Z$93,AG207,IF(Z207=$Z$100,AG207,IF(Z207=$Z$81,AG207*1,IF(Z207=$Z$80,AG207*2,IF(Z207=$Z$79,AG207*2,IF(Z207=$Z$78,AG207*2,0))))))))</f>
        <v>0</v>
      </c>
      <c r="BK207" s="174">
        <f>IF(AA207&gt;0,0,IF(Z207=$Z$92,AG207,0))</f>
        <v>0</v>
      </c>
      <c r="BL207" s="174">
        <f>IF(AA207&gt;0,0,IF(Z207=$Z$91,AG207,0))</f>
        <v>0</v>
      </c>
      <c r="BM207" s="174">
        <f>IF(AA207&gt;0,0,IF(Z207=$Z$86,AG207,0))</f>
        <v>0</v>
      </c>
      <c r="BN207" s="174">
        <f>IF(AA207&gt;0,0,IF(Z207=$Z$87,AG207,0))</f>
        <v>0</v>
      </c>
      <c r="BO207" s="174">
        <f>IF(AA207&gt;0,0,IF(Z207=$Z$88,AG207,0))</f>
        <v>0</v>
      </c>
      <c r="BP207" s="174">
        <f>IF(AA207&gt;0,0,IF(Z207=$Z$89,AG207,0))</f>
        <v>0</v>
      </c>
      <c r="BQ207" s="174">
        <f>IF(AA207&gt;0,0,IF(Z207=$Z$90,AG207,0))</f>
        <v>0</v>
      </c>
      <c r="BR207" s="174">
        <f>IF(Z207=$Z$82,AA207*AG207,0)</f>
        <v>0</v>
      </c>
      <c r="BS207" s="174">
        <f>IF(Z207=$Z$83,AA207*AG207,0)</f>
        <v>0</v>
      </c>
      <c r="BT207" s="174">
        <f>IF(AA207&lt;1,0,IF(Z207=$Z$84,AA207*AG207,IF(Z207=$Z$93,"ERRO",IF(Z207=$Z$100,"ERRO",0))))</f>
        <v>0</v>
      </c>
      <c r="BU207" s="174">
        <f>IF(AA207&lt;1,0,IF(Z207=$Z$85,AA207*AG207,IF(Z207=$Z$93,"ERRO",IF(Z207=$Z$100,"ERRO",0))))</f>
        <v>0</v>
      </c>
      <c r="BV207" s="174">
        <f>IF(Z207=$Z$92,AA207*AG207,0)</f>
        <v>0</v>
      </c>
      <c r="BW207" s="174">
        <f>IF(Z207=$Z$91,AA207*AG207,0)</f>
        <v>0</v>
      </c>
      <c r="BX207" s="174">
        <f>IF(Z207=$Z$86,AA207*AG207,0)</f>
        <v>0</v>
      </c>
      <c r="BY207" s="174">
        <f>IF(Z207=$Z$87,AA207*AG207,0)</f>
        <v>0</v>
      </c>
      <c r="BZ207" s="174">
        <f>IF(Z207=$Z$88,AA207*AG207,0)</f>
        <v>0</v>
      </c>
      <c r="CA207" s="174">
        <f>IF(Z207=$Z$89,AA207*AG207,0)</f>
        <v>0</v>
      </c>
      <c r="CB207" s="174">
        <f>IF(Z207=$Z$90,AA207*AG207,0)</f>
        <v>0</v>
      </c>
      <c r="CC207" s="175">
        <f>IFERROR(IF(L207=$L$49,AG207*AH207*(1+AI207)*(1-AK207)*(1-AL207),0),0)</f>
        <v>995.20974000000001</v>
      </c>
      <c r="CD207" s="203">
        <f>IF(I207=$CD$97,1,IF(I207=$CD$100,2,IF(K207=$K$66,1,IF(K207=$K$69,1,3))))</f>
        <v>1</v>
      </c>
      <c r="CE207" s="203">
        <f t="shared" si="14"/>
        <v>1.07</v>
      </c>
      <c r="CF207" s="204">
        <f t="shared" si="33"/>
        <v>1.2353999999999998</v>
      </c>
      <c r="CG207" s="203">
        <f t="shared" si="15"/>
        <v>1.42</v>
      </c>
      <c r="CH207" s="204">
        <f t="shared" si="34"/>
        <v>1.5478000000000001</v>
      </c>
      <c r="CI207" s="203">
        <f t="shared" si="16"/>
        <v>1.7</v>
      </c>
      <c r="CJ207" s="205">
        <f t="shared" si="38"/>
        <v>1.0486</v>
      </c>
      <c r="CK207" s="205">
        <f t="shared" si="39"/>
        <v>1.148922</v>
      </c>
      <c r="CL207" s="205">
        <f t="shared" si="40"/>
        <v>1.3915999999999999</v>
      </c>
      <c r="CM207" s="205">
        <f t="shared" si="41"/>
        <v>1.501366</v>
      </c>
      <c r="CN207" s="206">
        <f t="shared" si="42"/>
        <v>1.6319999999999999</v>
      </c>
      <c r="CO207" s="204">
        <f t="shared" si="44"/>
        <v>1.006656</v>
      </c>
      <c r="CP207" s="207">
        <f t="shared" si="35"/>
        <v>0</v>
      </c>
      <c r="CQ207" s="208">
        <f t="shared" si="36"/>
        <v>0</v>
      </c>
      <c r="CR207" s="209">
        <f t="shared" si="37"/>
        <v>0</v>
      </c>
      <c r="CS207" s="49"/>
      <c r="CT207" s="49"/>
      <c r="CU207" s="49"/>
      <c r="CV207" s="49"/>
      <c r="CW207" s="49"/>
      <c r="CX207" s="49"/>
      <c r="CY207" s="49"/>
      <c r="CZ207" s="49"/>
      <c r="DA207" s="49"/>
      <c r="DB207" s="49"/>
      <c r="DC207" s="49"/>
      <c r="DD207" s="49"/>
      <c r="DE207" s="49"/>
      <c r="DF207" s="49"/>
      <c r="DG207" s="49"/>
      <c r="DH207" s="49"/>
      <c r="DI207" s="49"/>
      <c r="DJ207" s="49"/>
      <c r="DK207" s="49"/>
      <c r="DL207" s="49"/>
      <c r="DM207" s="49"/>
      <c r="DN207" s="49"/>
      <c r="DO207" s="49"/>
      <c r="DP207" s="49"/>
      <c r="DQ207" s="49"/>
      <c r="DR207" s="49"/>
      <c r="DS207" s="49"/>
      <c r="DT207" s="49"/>
      <c r="DU207" s="49"/>
      <c r="DV207" s="49"/>
      <c r="DW207" s="49"/>
      <c r="DX207" s="49"/>
      <c r="DY207" s="49"/>
      <c r="DZ207" s="49"/>
      <c r="EA207" s="49"/>
      <c r="EB207" s="49"/>
      <c r="EC207" s="49"/>
      <c r="ED207" s="49"/>
      <c r="EE207" s="49"/>
      <c r="EF207" s="49"/>
      <c r="EG207" s="49"/>
      <c r="EH207" s="49"/>
      <c r="EI207" s="49"/>
      <c r="EJ207" s="49"/>
      <c r="EK207" s="49"/>
      <c r="EL207" s="49"/>
      <c r="EM207" s="49"/>
      <c r="EN207" s="49"/>
      <c r="EO207" s="49"/>
      <c r="EP207" s="49"/>
      <c r="EQ207" s="49"/>
      <c r="ER207" s="49"/>
      <c r="ES207" s="49"/>
      <c r="ET207" s="49"/>
      <c r="EU207" s="49"/>
      <c r="EV207" s="49"/>
      <c r="EW207" s="49"/>
      <c r="EX207" s="49"/>
      <c r="EY207" s="49"/>
      <c r="EZ207" s="49"/>
      <c r="FA207" s="49"/>
    </row>
    <row r="208" spans="1:157" s="210" customFormat="1" x14ac:dyDescent="0.25">
      <c r="A208" s="113">
        <f>IF(AND('[1]Cockpit Retorno'!$E$67=Sim,Mestre!M208=Mestre!$M$98),0,1)</f>
        <v>1</v>
      </c>
      <c r="B208" s="113">
        <f>IF(AND('[1]Cockpit Retorno'!$E$67=Sim,Mestre!L208=Mestre!$L$48),0,1)</f>
        <v>1</v>
      </c>
      <c r="C208" s="113">
        <f>IF(AND('[1]Cockpit Retorno'!$E$67=Sim,Mestre!M208=Mestre!$M$97),0,1)</f>
        <v>1</v>
      </c>
      <c r="D208" s="148" t="s">
        <v>7</v>
      </c>
      <c r="E208" s="115"/>
      <c r="F208" s="116" t="s">
        <v>107</v>
      </c>
      <c r="G208" s="149"/>
      <c r="H208" s="150" t="s">
        <v>7</v>
      </c>
      <c r="I208" s="151" t="str">
        <f t="shared" si="26"/>
        <v>Mercadorias</v>
      </c>
      <c r="J208" s="150" t="s">
        <v>15</v>
      </c>
      <c r="K208" s="152" t="s">
        <v>7</v>
      </c>
      <c r="L208" s="153" t="s">
        <v>21</v>
      </c>
      <c r="M208" s="154" t="s">
        <v>290</v>
      </c>
      <c r="N208" s="155" t="s">
        <v>342</v>
      </c>
      <c r="O208" s="155" t="s">
        <v>343</v>
      </c>
      <c r="P208" s="155" t="s">
        <v>43</v>
      </c>
      <c r="Q208" s="155" t="s">
        <v>43</v>
      </c>
      <c r="R208" s="155" t="s">
        <v>43</v>
      </c>
      <c r="S208" s="156" t="s">
        <v>43</v>
      </c>
      <c r="T208" s="156" t="s">
        <v>43</v>
      </c>
      <c r="U208" s="150" t="s">
        <v>43</v>
      </c>
      <c r="V208" s="150" t="s">
        <v>43</v>
      </c>
      <c r="W208" s="150" t="s">
        <v>43</v>
      </c>
      <c r="X208" s="157" t="s">
        <v>358</v>
      </c>
      <c r="Y208" s="156">
        <f>($AG$194+$AG$195)*16</f>
        <v>11104</v>
      </c>
      <c r="Z208" s="150" t="s">
        <v>43</v>
      </c>
      <c r="AA208" s="158">
        <v>0</v>
      </c>
      <c r="AB208" s="155" t="s">
        <v>43</v>
      </c>
      <c r="AC208" s="150" t="s">
        <v>43</v>
      </c>
      <c r="AD208" s="155" t="s">
        <v>43</v>
      </c>
      <c r="AE208" s="155"/>
      <c r="AF208" s="150" t="s">
        <v>43</v>
      </c>
      <c r="AG208" s="159">
        <f>Y208*1.2</f>
        <v>13324.8</v>
      </c>
      <c r="AH208" s="159">
        <v>0.22320000000000001</v>
      </c>
      <c r="AI208" s="202">
        <v>0</v>
      </c>
      <c r="AJ208" s="161">
        <v>7.0000000000000007E-2</v>
      </c>
      <c r="AK208" s="162">
        <v>0.05</v>
      </c>
      <c r="AL208" s="163"/>
      <c r="AM208" s="164">
        <f>(((IF(L208=$L$101,1,IF(L208=$L$47,1,0))*(AH208*(1-AK208)))*AG208)*(1-AL208))</f>
        <v>0</v>
      </c>
      <c r="AN208" s="165">
        <f>IF(K208=$K$50,AM208,IF(K208=$K$53,AM208,IF(K208=$K$54,AM208,IF(K208=$K$55,AM208,IF(K208=$K$56,AM208,IF(K208=$K$57,AM208,IF(K208=$K$58,AM208,IF(K208=$K$65,AM208,IF(K208=$K$66,AM208,IF(K208=$K$67,AM208,IF(K208=$K$68,AM208,IF(K208=$K$69,AM208,IF(K208=$K$51,AM208,(AM208*(1+AI208)))))))))))))))</f>
        <v>0</v>
      </c>
      <c r="AO208" s="166">
        <v>1.4</v>
      </c>
      <c r="AP208" s="160">
        <f t="shared" si="27"/>
        <v>0</v>
      </c>
      <c r="AQ208" s="167">
        <f t="shared" si="43"/>
        <v>0</v>
      </c>
      <c r="AR208" s="160">
        <f t="shared" si="28"/>
        <v>0</v>
      </c>
      <c r="AS208" s="168">
        <f t="shared" si="29"/>
        <v>0</v>
      </c>
      <c r="AT208" s="169" t="str">
        <f>K208</f>
        <v>MI</v>
      </c>
      <c r="AU208" s="169" t="str">
        <f>I208</f>
        <v>Mercadorias</v>
      </c>
      <c r="AV208" s="170"/>
      <c r="AW208" s="171">
        <f>IF(K208=$K$50,0,IF(K208=$K$53,0,IF(K208=$K$54,0,IF(K208=$K$55,0,IF(K208=$K$56,0,IF(K208=$K$57,0,IF(K208=$K$58,0,IF(K208=$K$65,0,IF(K208=$K$66,0,IF(K208=$K$67,0,IF(K208=$K$68,0,IF(K208=$K$69,0,IF(K208=$K$51,0,1))))))))))))*AM208*AI208)</f>
        <v>0</v>
      </c>
      <c r="AX208" s="172">
        <f>IF(K208=$K$50,0,IF(K208=$K$53,0,IF(K208=$K$54,0,IF(K208=$K$55,0,IF(K208=$K$56,0,IF(K208=$K$57,0,IF(K208=$K$58,0,IF(K208=$K$65,0,IF(K208=$K$66,0,IF(K208=$K$67,0,IF(K208=$K$68,0,IF(K208=$K$69,0,IF(K208=$K$51,0,1))))))))))))*AM208*AJ208*$AX$94)</f>
        <v>0</v>
      </c>
      <c r="AY208" s="172">
        <f>IF(K208=$K$53,0,IF(K208=$K$54,0,IF(K208=$K$55,0,IF(K208=$K$56,0,IF(K208=$K$58,0,IF(K208=$K$50,0,IF(K208=$K$65,0,IF(K208=$K$57,0,IF(K208=$K$51,0,AM208*$AY$102)))))))))</f>
        <v>0</v>
      </c>
      <c r="AZ208" s="172">
        <f>IF(K208=$K$53,0,IF(K208=$K$54,0,IF(K208=$K$55,0,IF(K208=$K$56,0,IF(K208=$K$58,0,IF(K208=$K$50,0,IF(K208=$K$65,0,IF(K208=$K$57,0,IF(K208=$K$51,0,AM208*$AZ$102)))))))))</f>
        <v>0</v>
      </c>
      <c r="BA208" s="172">
        <f t="shared" si="30"/>
        <v>0</v>
      </c>
      <c r="BB208" s="173">
        <f>IF($BA$97=1,AQ208*$BB$102,IF(K208=$K$50,0,IF(K208=$K$53,0,IF(K208=$K$54,0,IF(K208=$K$55,0,IF(K208=$K$56,0,IF(K208=$K$57,0,IF(K208=$K$58,0,IF(K208=$K$65,0,IF(K208=$K$66,0,IF(K208=$K$67,0,IF(K208=$K$68,0,IF(K208=$K$69,0,IF(K208=$K$51,0,1)))))))))))*AQ208*$BB$102)))</f>
        <v>0</v>
      </c>
      <c r="BC208" s="172">
        <f t="shared" si="31"/>
        <v>0</v>
      </c>
      <c r="BD208" s="172">
        <f t="shared" si="32"/>
        <v>0</v>
      </c>
      <c r="BE208" s="172">
        <f>IF($BE$95=I208,$BE$97,IF(I208=$BE$96,$BE$97,1))*($BE$102*AQ208)*$AZ$97</f>
        <v>0</v>
      </c>
      <c r="BF208" s="172">
        <f>IF('[1]Cockpit Retorno'!$C$65=Sim,Mestre!BA208,SUM(BB208:BE208)+(IF(K208=$K$56,AQ208*MOE_IRRF_LR,0)))</f>
        <v>0</v>
      </c>
      <c r="BG208" s="174">
        <f>IF(AA208&gt;0,0,IF(Z208=$Z$82,AG208*1,(IF(Z208=$Z$81,AG208*1,0))))</f>
        <v>0</v>
      </c>
      <c r="BH208" s="174">
        <f>IF(AA208&gt;0,0,IF(Z208=$Z$83,AG208*1,IF(Z208=$Z$81,AG208*1,0)))</f>
        <v>0</v>
      </c>
      <c r="BI208" s="174">
        <f>IF(AA208&gt;0,0,IF(Z208=$Z$84,AG208*1,IF(Z208=$Z$93,AG208*2,IF(Z208=$Z$100,AG208,IF(Z208=$Z$81,AG208*2,IF(Z208=$Z$80,AG208*1,IF(Z208=$Z$79,AG208*3,IF(Z208=$Z$78,AG208*2,0))))))))</f>
        <v>0</v>
      </c>
      <c r="BJ208" s="174">
        <f>IF(AA208&gt;0,0,IF(Z208=$Z$85,AG208,IF(Z208=$Z$93,AG208,IF(Z208=$Z$100,AG208,IF(Z208=$Z$81,AG208*1,IF(Z208=$Z$80,AG208*2,IF(Z208=$Z$79,AG208*2,IF(Z208=$Z$78,AG208*2,0))))))))</f>
        <v>0</v>
      </c>
      <c r="BK208" s="174">
        <f>IF(AA208&gt;0,0,IF(Z208=$Z$92,AG208,0))</f>
        <v>0</v>
      </c>
      <c r="BL208" s="174">
        <f>IF(AA208&gt;0,0,IF(Z208=$Z$91,AG208,0))</f>
        <v>0</v>
      </c>
      <c r="BM208" s="174">
        <f>IF(AA208&gt;0,0,IF(Z208=$Z$86,AG208,0))</f>
        <v>0</v>
      </c>
      <c r="BN208" s="174">
        <f>IF(AA208&gt;0,0,IF(Z208=$Z$87,AG208,0))</f>
        <v>0</v>
      </c>
      <c r="BO208" s="174">
        <f>IF(AA208&gt;0,0,IF(Z208=$Z$88,AG208,0))</f>
        <v>0</v>
      </c>
      <c r="BP208" s="174">
        <f>IF(AA208&gt;0,0,IF(Z208=$Z$89,AG208,0))</f>
        <v>0</v>
      </c>
      <c r="BQ208" s="174">
        <f>IF(AA208&gt;0,0,IF(Z208=$Z$90,AG208,0))</f>
        <v>0</v>
      </c>
      <c r="BR208" s="174">
        <f>IF(Z208=$Z$82,AA208*AG208,0)</f>
        <v>0</v>
      </c>
      <c r="BS208" s="174">
        <f>IF(Z208=$Z$83,AA208*AG208,0)</f>
        <v>0</v>
      </c>
      <c r="BT208" s="174">
        <f>IF(AA208&lt;1,0,IF(Z208=$Z$84,AA208*AG208,IF(Z208=$Z$93,"ERRO",IF(Z208=$Z$100,"ERRO",0))))</f>
        <v>0</v>
      </c>
      <c r="BU208" s="174">
        <f>IF(AA208&lt;1,0,IF(Z208=$Z$85,AA208*AG208,IF(Z208=$Z$93,"ERRO",IF(Z208=$Z$100,"ERRO",0))))</f>
        <v>0</v>
      </c>
      <c r="BV208" s="174">
        <f>IF(Z208=$Z$92,AA208*AG208,0)</f>
        <v>0</v>
      </c>
      <c r="BW208" s="174">
        <f>IF(Z208=$Z$91,AA208*AG208,0)</f>
        <v>0</v>
      </c>
      <c r="BX208" s="174">
        <f>IF(Z208=$Z$86,AA208*AG208,0)</f>
        <v>0</v>
      </c>
      <c r="BY208" s="174">
        <f>IF(Z208=$Z$87,AA208*AG208,0)</f>
        <v>0</v>
      </c>
      <c r="BZ208" s="174">
        <f>IF(Z208=$Z$88,AA208*AG208,0)</f>
        <v>0</v>
      </c>
      <c r="CA208" s="174">
        <f>IF(Z208=$Z$89,AA208*AG208,0)</f>
        <v>0</v>
      </c>
      <c r="CB208" s="174">
        <f>IF(Z208=$Z$90,AA208*AG208,0)</f>
        <v>0</v>
      </c>
      <c r="CC208" s="175">
        <f>IFERROR(IF(L208=$L$49,AG208*AH208*(1+AI208)*(1-AK208)*(1-AL208),0),0)</f>
        <v>2825.3905919999997</v>
      </c>
      <c r="CD208" s="203">
        <f>IF(I208=$CD$97,1,IF(I208=$CD$100,2,IF(K208=$K$66,1,IF(K208=$K$69,1,3))))</f>
        <v>1</v>
      </c>
      <c r="CE208" s="203">
        <f t="shared" si="14"/>
        <v>1.07</v>
      </c>
      <c r="CF208" s="204">
        <f t="shared" si="33"/>
        <v>1.2353999999999998</v>
      </c>
      <c r="CG208" s="203">
        <f t="shared" si="15"/>
        <v>1.42</v>
      </c>
      <c r="CH208" s="204">
        <f t="shared" si="34"/>
        <v>1.5478000000000001</v>
      </c>
      <c r="CI208" s="203">
        <f t="shared" si="16"/>
        <v>1.7</v>
      </c>
      <c r="CJ208" s="205">
        <f t="shared" si="38"/>
        <v>1.0486</v>
      </c>
      <c r="CK208" s="205">
        <f t="shared" si="39"/>
        <v>1.148922</v>
      </c>
      <c r="CL208" s="205">
        <f t="shared" si="40"/>
        <v>1.3915999999999999</v>
      </c>
      <c r="CM208" s="205">
        <f t="shared" si="41"/>
        <v>1.501366</v>
      </c>
      <c r="CN208" s="206">
        <f t="shared" si="42"/>
        <v>1.6319999999999999</v>
      </c>
      <c r="CO208" s="204">
        <f t="shared" si="44"/>
        <v>1.006656</v>
      </c>
      <c r="CP208" s="207">
        <f t="shared" si="35"/>
        <v>0</v>
      </c>
      <c r="CQ208" s="208">
        <f t="shared" si="36"/>
        <v>0</v>
      </c>
      <c r="CR208" s="209">
        <f t="shared" si="37"/>
        <v>0</v>
      </c>
      <c r="CS208" s="49"/>
      <c r="CT208" s="49"/>
      <c r="CU208" s="49"/>
      <c r="CV208" s="49"/>
      <c r="CW208" s="49"/>
      <c r="CX208" s="49"/>
      <c r="CY208" s="49"/>
      <c r="CZ208" s="49"/>
      <c r="DA208" s="49"/>
      <c r="DB208" s="49"/>
      <c r="DC208" s="49"/>
      <c r="DD208" s="49"/>
      <c r="DE208" s="49"/>
      <c r="DF208" s="49"/>
      <c r="DG208" s="49"/>
      <c r="DH208" s="49"/>
      <c r="DI208" s="49"/>
      <c r="DJ208" s="49"/>
      <c r="DK208" s="49"/>
      <c r="DL208" s="49"/>
      <c r="DM208" s="49"/>
      <c r="DN208" s="49"/>
      <c r="DO208" s="49"/>
      <c r="DP208" s="49"/>
      <c r="DQ208" s="49"/>
      <c r="DR208" s="49"/>
      <c r="DS208" s="49"/>
      <c r="DT208" s="49"/>
      <c r="DU208" s="49"/>
      <c r="DV208" s="49"/>
      <c r="DW208" s="49"/>
      <c r="DX208" s="49"/>
      <c r="DY208" s="49"/>
      <c r="DZ208" s="49"/>
      <c r="EA208" s="49"/>
      <c r="EB208" s="49"/>
      <c r="EC208" s="49"/>
      <c r="ED208" s="49"/>
      <c r="EE208" s="49"/>
      <c r="EF208" s="49"/>
      <c r="EG208" s="49"/>
      <c r="EH208" s="49"/>
      <c r="EI208" s="49"/>
      <c r="EJ208" s="49"/>
      <c r="EK208" s="49"/>
      <c r="EL208" s="49"/>
      <c r="EM208" s="49"/>
      <c r="EN208" s="49"/>
      <c r="EO208" s="49"/>
      <c r="EP208" s="49"/>
      <c r="EQ208" s="49"/>
      <c r="ER208" s="49"/>
      <c r="ES208" s="49"/>
      <c r="ET208" s="49"/>
      <c r="EU208" s="49"/>
      <c r="EV208" s="49"/>
      <c r="EW208" s="49"/>
      <c r="EX208" s="49"/>
      <c r="EY208" s="49"/>
      <c r="EZ208" s="49"/>
      <c r="FA208" s="49"/>
    </row>
    <row r="209" spans="1:157" s="210" customFormat="1" x14ac:dyDescent="0.25">
      <c r="A209" s="113">
        <f>IF(AND('[1]Cockpit Retorno'!$E$67=Sim,Mestre!M209=Mestre!$M$98),0,1)</f>
        <v>1</v>
      </c>
      <c r="B209" s="113">
        <f>IF(AND('[1]Cockpit Retorno'!$E$67=Sim,Mestre!L209=Mestre!$L$48),0,1)</f>
        <v>1</v>
      </c>
      <c r="C209" s="113">
        <f>IF(AND('[1]Cockpit Retorno'!$E$67=Sim,Mestre!M209=Mestre!$M$97),0,1)</f>
        <v>1</v>
      </c>
      <c r="D209" s="148" t="s">
        <v>7</v>
      </c>
      <c r="E209" s="115"/>
      <c r="F209" s="116" t="s">
        <v>107</v>
      </c>
      <c r="G209" s="149"/>
      <c r="H209" s="150" t="s">
        <v>7</v>
      </c>
      <c r="I209" s="151" t="str">
        <f t="shared" si="26"/>
        <v>Mercadorias</v>
      </c>
      <c r="J209" s="150" t="s">
        <v>15</v>
      </c>
      <c r="K209" s="152" t="s">
        <v>7</v>
      </c>
      <c r="L209" s="153" t="s">
        <v>21</v>
      </c>
      <c r="M209" s="154" t="s">
        <v>290</v>
      </c>
      <c r="N209" s="155" t="s">
        <v>342</v>
      </c>
      <c r="O209" s="155" t="s">
        <v>343</v>
      </c>
      <c r="P209" s="155" t="s">
        <v>43</v>
      </c>
      <c r="Q209" s="155" t="s">
        <v>43</v>
      </c>
      <c r="R209" s="155" t="s">
        <v>43</v>
      </c>
      <c r="S209" s="156" t="s">
        <v>43</v>
      </c>
      <c r="T209" s="156" t="s">
        <v>43</v>
      </c>
      <c r="U209" s="150" t="s">
        <v>43</v>
      </c>
      <c r="V209" s="150" t="s">
        <v>43</v>
      </c>
      <c r="W209" s="150" t="s">
        <v>43</v>
      </c>
      <c r="X209" s="157" t="s">
        <v>359</v>
      </c>
      <c r="Y209" s="156">
        <f>($AG$194+$AG$195)*16</f>
        <v>11104</v>
      </c>
      <c r="Z209" s="150" t="s">
        <v>43</v>
      </c>
      <c r="AA209" s="158">
        <v>0</v>
      </c>
      <c r="AB209" s="155" t="s">
        <v>43</v>
      </c>
      <c r="AC209" s="150" t="s">
        <v>43</v>
      </c>
      <c r="AD209" s="155" t="s">
        <v>43</v>
      </c>
      <c r="AE209" s="155"/>
      <c r="AF209" s="150" t="s">
        <v>43</v>
      </c>
      <c r="AG209" s="159">
        <f>Y209*1.2</f>
        <v>13324.8</v>
      </c>
      <c r="AH209" s="159">
        <v>6.5100000000000005E-2</v>
      </c>
      <c r="AI209" s="202">
        <v>0</v>
      </c>
      <c r="AJ209" s="161">
        <v>7.0000000000000007E-2</v>
      </c>
      <c r="AK209" s="162">
        <v>0.05</v>
      </c>
      <c r="AL209" s="163"/>
      <c r="AM209" s="164">
        <f>(((IF(L209=$L$101,1,IF(L209=$L$47,1,0))*(AH209*(1-AK209)))*AG209)*(1-AL209))</f>
        <v>0</v>
      </c>
      <c r="AN209" s="165">
        <f>IF(K209=$K$50,AM209,IF(K209=$K$53,AM209,IF(K209=$K$54,AM209,IF(K209=$K$55,AM209,IF(K209=$K$56,AM209,IF(K209=$K$57,AM209,IF(K209=$K$58,AM209,IF(K209=$K$65,AM209,IF(K209=$K$66,AM209,IF(K209=$K$67,AM209,IF(K209=$K$68,AM209,IF(K209=$K$69,AM209,IF(K209=$K$51,AM209,(AM209*(1+AI209)))))))))))))))</f>
        <v>0</v>
      </c>
      <c r="AO209" s="166">
        <v>1.4</v>
      </c>
      <c r="AP209" s="160">
        <f t="shared" si="27"/>
        <v>0</v>
      </c>
      <c r="AQ209" s="167">
        <f t="shared" si="43"/>
        <v>0</v>
      </c>
      <c r="AR209" s="160">
        <f t="shared" si="28"/>
        <v>0</v>
      </c>
      <c r="AS209" s="168">
        <f t="shared" si="29"/>
        <v>0</v>
      </c>
      <c r="AT209" s="169" t="str">
        <f>K209</f>
        <v>MI</v>
      </c>
      <c r="AU209" s="169" t="str">
        <f>I209</f>
        <v>Mercadorias</v>
      </c>
      <c r="AV209" s="170"/>
      <c r="AW209" s="171">
        <f>IF(K209=$K$50,0,IF(K209=$K$53,0,IF(K209=$K$54,0,IF(K209=$K$55,0,IF(K209=$K$56,0,IF(K209=$K$57,0,IF(K209=$K$58,0,IF(K209=$K$65,0,IF(K209=$K$66,0,IF(K209=$K$67,0,IF(K209=$K$68,0,IF(K209=$K$69,0,IF(K209=$K$51,0,1))))))))))))*AM209*AI209)</f>
        <v>0</v>
      </c>
      <c r="AX209" s="172">
        <f>IF(K209=$K$50,0,IF(K209=$K$53,0,IF(K209=$K$54,0,IF(K209=$K$55,0,IF(K209=$K$56,0,IF(K209=$K$57,0,IF(K209=$K$58,0,IF(K209=$K$65,0,IF(K209=$K$66,0,IF(K209=$K$67,0,IF(K209=$K$68,0,IF(K209=$K$69,0,IF(K209=$K$51,0,1))))))))))))*AM209*AJ209*$AX$94)</f>
        <v>0</v>
      </c>
      <c r="AY209" s="172">
        <f>IF(K209=$K$53,0,IF(K209=$K$54,0,IF(K209=$K$55,0,IF(K209=$K$56,0,IF(K209=$K$58,0,IF(K209=$K$50,0,IF(K209=$K$65,0,IF(K209=$K$57,0,IF(K209=$K$51,0,AM209*$AY$102)))))))))</f>
        <v>0</v>
      </c>
      <c r="AZ209" s="172">
        <f>IF(K209=$K$53,0,IF(K209=$K$54,0,IF(K209=$K$55,0,IF(K209=$K$56,0,IF(K209=$K$58,0,IF(K209=$K$50,0,IF(K209=$K$65,0,IF(K209=$K$57,0,IF(K209=$K$51,0,AM209*$AZ$102)))))))))</f>
        <v>0</v>
      </c>
      <c r="BA209" s="172">
        <f t="shared" si="30"/>
        <v>0</v>
      </c>
      <c r="BB209" s="173">
        <f>IF($BA$97=1,AQ209*$BB$102,IF(K209=$K$50,0,IF(K209=$K$53,0,IF(K209=$K$54,0,IF(K209=$K$55,0,IF(K209=$K$56,0,IF(K209=$K$57,0,IF(K209=$K$58,0,IF(K209=$K$65,0,IF(K209=$K$66,0,IF(K209=$K$67,0,IF(K209=$K$68,0,IF(K209=$K$69,0,IF(K209=$K$51,0,1)))))))))))*AQ209*$BB$102)))</f>
        <v>0</v>
      </c>
      <c r="BC209" s="172">
        <f t="shared" si="31"/>
        <v>0</v>
      </c>
      <c r="BD209" s="172">
        <f t="shared" si="32"/>
        <v>0</v>
      </c>
      <c r="BE209" s="172">
        <f>IF($BE$95=I209,$BE$97,IF(I209=$BE$96,$BE$97,1))*($BE$102*AQ209)*$AZ$97</f>
        <v>0</v>
      </c>
      <c r="BF209" s="172">
        <f>IF('[1]Cockpit Retorno'!$C$65=Sim,Mestre!BA209,SUM(BB209:BE209)+(IF(K209=$K$56,AQ209*MOE_IRRF_LR,0)))</f>
        <v>0</v>
      </c>
      <c r="BG209" s="174">
        <f>IF(AA209&gt;0,0,IF(Z209=$Z$82,AG209*1,(IF(Z209=$Z$81,AG209*1,0))))</f>
        <v>0</v>
      </c>
      <c r="BH209" s="174">
        <f>IF(AA209&gt;0,0,IF(Z209=$Z$83,AG209*1,IF(Z209=$Z$81,AG209*1,0)))</f>
        <v>0</v>
      </c>
      <c r="BI209" s="174">
        <f>IF(AA209&gt;0,0,IF(Z209=$Z$84,AG209*1,IF(Z209=$Z$93,AG209*2,IF(Z209=$Z$100,AG209,IF(Z209=$Z$81,AG209*2,IF(Z209=$Z$80,AG209*1,IF(Z209=$Z$79,AG209*3,IF(Z209=$Z$78,AG209*2,0))))))))</f>
        <v>0</v>
      </c>
      <c r="BJ209" s="174">
        <f>IF(AA209&gt;0,0,IF(Z209=$Z$85,AG209,IF(Z209=$Z$93,AG209,IF(Z209=$Z$100,AG209,IF(Z209=$Z$81,AG209*1,IF(Z209=$Z$80,AG209*2,IF(Z209=$Z$79,AG209*2,IF(Z209=$Z$78,AG209*2,0))))))))</f>
        <v>0</v>
      </c>
      <c r="BK209" s="174">
        <f>IF(AA209&gt;0,0,IF(Z209=$Z$92,AG209,0))</f>
        <v>0</v>
      </c>
      <c r="BL209" s="174">
        <f>IF(AA209&gt;0,0,IF(Z209=$Z$91,AG209,0))</f>
        <v>0</v>
      </c>
      <c r="BM209" s="174">
        <f>IF(AA209&gt;0,0,IF(Z209=$Z$86,AG209,0))</f>
        <v>0</v>
      </c>
      <c r="BN209" s="174">
        <f>IF(AA209&gt;0,0,IF(Z209=$Z$87,AG209,0))</f>
        <v>0</v>
      </c>
      <c r="BO209" s="174">
        <f>IF(AA209&gt;0,0,IF(Z209=$Z$88,AG209,0))</f>
        <v>0</v>
      </c>
      <c r="BP209" s="174">
        <f>IF(AA209&gt;0,0,IF(Z209=$Z$89,AG209,0))</f>
        <v>0</v>
      </c>
      <c r="BQ209" s="174">
        <f>IF(AA209&gt;0,0,IF(Z209=$Z$90,AG209,0))</f>
        <v>0</v>
      </c>
      <c r="BR209" s="174">
        <f>IF(Z209=$Z$82,AA209*AG209,0)</f>
        <v>0</v>
      </c>
      <c r="BS209" s="174">
        <f>IF(Z209=$Z$83,AA209*AG209,0)</f>
        <v>0</v>
      </c>
      <c r="BT209" s="174">
        <f>IF(AA209&lt;1,0,IF(Z209=$Z$84,AA209*AG209,IF(Z209=$Z$93,"ERRO",IF(Z209=$Z$100,"ERRO",0))))</f>
        <v>0</v>
      </c>
      <c r="BU209" s="174">
        <f>IF(AA209&lt;1,0,IF(Z209=$Z$85,AA209*AG209,IF(Z209=$Z$93,"ERRO",IF(Z209=$Z$100,"ERRO",0))))</f>
        <v>0</v>
      </c>
      <c r="BV209" s="174">
        <f>IF(Z209=$Z$92,AA209*AG209,0)</f>
        <v>0</v>
      </c>
      <c r="BW209" s="174">
        <f>IF(Z209=$Z$91,AA209*AG209,0)</f>
        <v>0</v>
      </c>
      <c r="BX209" s="174">
        <f>IF(Z209=$Z$86,AA209*AG209,0)</f>
        <v>0</v>
      </c>
      <c r="BY209" s="174">
        <f>IF(Z209=$Z$87,AA209*AG209,0)</f>
        <v>0</v>
      </c>
      <c r="BZ209" s="174">
        <f>IF(Z209=$Z$88,AA209*AG209,0)</f>
        <v>0</v>
      </c>
      <c r="CA209" s="174">
        <f>IF(Z209=$Z$89,AA209*AG209,0)</f>
        <v>0</v>
      </c>
      <c r="CB209" s="174">
        <f>IF(Z209=$Z$90,AA209*AG209,0)</f>
        <v>0</v>
      </c>
      <c r="CC209" s="175">
        <f>IFERROR(IF(L209=$L$49,AG209*AH209*(1+AI209)*(1-AK209)*(1-AL209),0),0)</f>
        <v>824.07225599999992</v>
      </c>
      <c r="CD209" s="203">
        <f>IF(I209=$CD$97,1,IF(I209=$CD$100,2,IF(K209=$K$66,1,IF(K209=$K$69,1,3))))</f>
        <v>1</v>
      </c>
      <c r="CE209" s="203">
        <f t="shared" si="14"/>
        <v>1.07</v>
      </c>
      <c r="CF209" s="204">
        <f t="shared" si="33"/>
        <v>1.2353999999999998</v>
      </c>
      <c r="CG209" s="203">
        <f t="shared" si="15"/>
        <v>1.42</v>
      </c>
      <c r="CH209" s="204">
        <f t="shared" si="34"/>
        <v>1.5478000000000001</v>
      </c>
      <c r="CI209" s="203">
        <f t="shared" si="16"/>
        <v>1.7</v>
      </c>
      <c r="CJ209" s="205">
        <f t="shared" si="38"/>
        <v>1.0486</v>
      </c>
      <c r="CK209" s="205">
        <f t="shared" si="39"/>
        <v>1.148922</v>
      </c>
      <c r="CL209" s="205">
        <f t="shared" si="40"/>
        <v>1.3915999999999999</v>
      </c>
      <c r="CM209" s="205">
        <f t="shared" si="41"/>
        <v>1.501366</v>
      </c>
      <c r="CN209" s="206">
        <f t="shared" si="42"/>
        <v>1.6319999999999999</v>
      </c>
      <c r="CO209" s="204">
        <f t="shared" si="44"/>
        <v>1.006656</v>
      </c>
      <c r="CP209" s="207">
        <f t="shared" si="35"/>
        <v>0</v>
      </c>
      <c r="CQ209" s="208">
        <f t="shared" si="36"/>
        <v>0</v>
      </c>
      <c r="CR209" s="209">
        <f t="shared" si="37"/>
        <v>0</v>
      </c>
      <c r="CS209" s="49"/>
      <c r="CT209" s="49"/>
      <c r="CU209" s="49"/>
      <c r="CV209" s="49"/>
      <c r="CW209" s="49"/>
      <c r="CX209" s="49"/>
      <c r="CY209" s="49"/>
      <c r="CZ209" s="49"/>
      <c r="DA209" s="49"/>
      <c r="DB209" s="49"/>
      <c r="DC209" s="49"/>
      <c r="DD209" s="49"/>
      <c r="DE209" s="49"/>
      <c r="DF209" s="49"/>
      <c r="DG209" s="49"/>
      <c r="DH209" s="49"/>
      <c r="DI209" s="49"/>
      <c r="DJ209" s="49"/>
      <c r="DK209" s="49"/>
      <c r="DL209" s="49"/>
      <c r="DM209" s="49"/>
      <c r="DN209" s="49"/>
      <c r="DO209" s="49"/>
      <c r="DP209" s="49"/>
      <c r="DQ209" s="49"/>
      <c r="DR209" s="49"/>
      <c r="DS209" s="49"/>
      <c r="DT209" s="49"/>
      <c r="DU209" s="49"/>
      <c r="DV209" s="49"/>
      <c r="DW209" s="49"/>
      <c r="DX209" s="49"/>
      <c r="DY209" s="49"/>
      <c r="DZ209" s="49"/>
      <c r="EA209" s="49"/>
      <c r="EB209" s="49"/>
      <c r="EC209" s="49"/>
      <c r="ED209" s="49"/>
      <c r="EE209" s="49"/>
      <c r="EF209" s="49"/>
      <c r="EG209" s="49"/>
      <c r="EH209" s="49"/>
      <c r="EI209" s="49"/>
      <c r="EJ209" s="49"/>
      <c r="EK209" s="49"/>
      <c r="EL209" s="49"/>
      <c r="EM209" s="49"/>
      <c r="EN209" s="49"/>
      <c r="EO209" s="49"/>
      <c r="EP209" s="49"/>
      <c r="EQ209" s="49"/>
      <c r="ER209" s="49"/>
      <c r="ES209" s="49"/>
      <c r="ET209" s="49"/>
      <c r="EU209" s="49"/>
      <c r="EV209" s="49"/>
      <c r="EW209" s="49"/>
      <c r="EX209" s="49"/>
      <c r="EY209" s="49"/>
      <c r="EZ209" s="49"/>
      <c r="FA209" s="49"/>
    </row>
    <row r="210" spans="1:157" s="210" customFormat="1" x14ac:dyDescent="0.25">
      <c r="A210" s="113">
        <f>IF(AND('[1]Cockpit Retorno'!$E$67=Sim,Mestre!M210=Mestre!$M$98),0,1)</f>
        <v>1</v>
      </c>
      <c r="B210" s="113">
        <f>IF(AND('[1]Cockpit Retorno'!$E$67=Sim,Mestre!L210=Mestre!$L$48),0,1)</f>
        <v>1</v>
      </c>
      <c r="C210" s="113">
        <f>IF(AND('[1]Cockpit Retorno'!$E$67=Sim,Mestre!M210=Mestre!$M$97),0,1)</f>
        <v>1</v>
      </c>
      <c r="D210" s="148" t="s">
        <v>7</v>
      </c>
      <c r="E210" s="115"/>
      <c r="F210" s="116" t="s">
        <v>107</v>
      </c>
      <c r="G210" s="149"/>
      <c r="H210" s="150" t="s">
        <v>7</v>
      </c>
      <c r="I210" s="151" t="str">
        <f t="shared" si="26"/>
        <v>Mercadorias</v>
      </c>
      <c r="J210" s="150" t="s">
        <v>15</v>
      </c>
      <c r="K210" s="152" t="s">
        <v>7</v>
      </c>
      <c r="L210" s="153" t="s">
        <v>21</v>
      </c>
      <c r="M210" s="154" t="s">
        <v>290</v>
      </c>
      <c r="N210" s="155" t="s">
        <v>342</v>
      </c>
      <c r="O210" s="155" t="s">
        <v>343</v>
      </c>
      <c r="P210" s="155" t="s">
        <v>43</v>
      </c>
      <c r="Q210" s="155" t="s">
        <v>43</v>
      </c>
      <c r="R210" s="155" t="s">
        <v>43</v>
      </c>
      <c r="S210" s="156" t="s">
        <v>43</v>
      </c>
      <c r="T210" s="156" t="s">
        <v>43</v>
      </c>
      <c r="U210" s="150" t="s">
        <v>43</v>
      </c>
      <c r="V210" s="150" t="s">
        <v>43</v>
      </c>
      <c r="W210" s="150" t="s">
        <v>43</v>
      </c>
      <c r="X210" s="157" t="s">
        <v>360</v>
      </c>
      <c r="Y210" s="156">
        <f>($AG$194+$AG$195)*16</f>
        <v>11104</v>
      </c>
      <c r="Z210" s="150" t="s">
        <v>43</v>
      </c>
      <c r="AA210" s="158">
        <v>0</v>
      </c>
      <c r="AB210" s="155" t="s">
        <v>43</v>
      </c>
      <c r="AC210" s="150" t="s">
        <v>43</v>
      </c>
      <c r="AD210" s="155" t="s">
        <v>43</v>
      </c>
      <c r="AE210" s="155"/>
      <c r="AF210" s="150" t="s">
        <v>43</v>
      </c>
      <c r="AG210" s="159">
        <f>Y210*1.2</f>
        <v>13324.8</v>
      </c>
      <c r="AH210" s="159">
        <v>6.5100000000000005E-2</v>
      </c>
      <c r="AI210" s="202">
        <v>0</v>
      </c>
      <c r="AJ210" s="161">
        <v>7.0000000000000007E-2</v>
      </c>
      <c r="AK210" s="162">
        <v>0.05</v>
      </c>
      <c r="AL210" s="163"/>
      <c r="AM210" s="164">
        <f>(((IF(L210=$L$101,1,IF(L210=$L$47,1,0))*(AH210*(1-AK210)))*AG210)*(1-AL210))</f>
        <v>0</v>
      </c>
      <c r="AN210" s="165">
        <f>IF(K210=$K$50,AM210,IF(K210=$K$53,AM210,IF(K210=$K$54,AM210,IF(K210=$K$55,AM210,IF(K210=$K$56,AM210,IF(K210=$K$57,AM210,IF(K210=$K$58,AM210,IF(K210=$K$65,AM210,IF(K210=$K$66,AM210,IF(K210=$K$67,AM210,IF(K210=$K$68,AM210,IF(K210=$K$69,AM210,IF(K210=$K$51,AM210,(AM210*(1+AI210)))))))))))))))</f>
        <v>0</v>
      </c>
      <c r="AO210" s="166">
        <v>1.4</v>
      </c>
      <c r="AP210" s="160">
        <f t="shared" si="27"/>
        <v>0</v>
      </c>
      <c r="AQ210" s="167">
        <f t="shared" si="43"/>
        <v>0</v>
      </c>
      <c r="AR210" s="160">
        <f t="shared" si="28"/>
        <v>0</v>
      </c>
      <c r="AS210" s="168">
        <f t="shared" si="29"/>
        <v>0</v>
      </c>
      <c r="AT210" s="169" t="str">
        <f>K210</f>
        <v>MI</v>
      </c>
      <c r="AU210" s="169" t="str">
        <f>I210</f>
        <v>Mercadorias</v>
      </c>
      <c r="AV210" s="170"/>
      <c r="AW210" s="171">
        <f>IF(K210=$K$50,0,IF(K210=$K$53,0,IF(K210=$K$54,0,IF(K210=$K$55,0,IF(K210=$K$56,0,IF(K210=$K$57,0,IF(K210=$K$58,0,IF(K210=$K$65,0,IF(K210=$K$66,0,IF(K210=$K$67,0,IF(K210=$K$68,0,IF(K210=$K$69,0,IF(K210=$K$51,0,1))))))))))))*AM210*AI210)</f>
        <v>0</v>
      </c>
      <c r="AX210" s="172">
        <f>IF(K210=$K$50,0,IF(K210=$K$53,0,IF(K210=$K$54,0,IF(K210=$K$55,0,IF(K210=$K$56,0,IF(K210=$K$57,0,IF(K210=$K$58,0,IF(K210=$K$65,0,IF(K210=$K$66,0,IF(K210=$K$67,0,IF(K210=$K$68,0,IF(K210=$K$69,0,IF(K210=$K$51,0,1))))))))))))*AM210*AJ210*$AX$94)</f>
        <v>0</v>
      </c>
      <c r="AY210" s="172">
        <f>IF(K210=$K$53,0,IF(K210=$K$54,0,IF(K210=$K$55,0,IF(K210=$K$56,0,IF(K210=$K$58,0,IF(K210=$K$50,0,IF(K210=$K$65,0,IF(K210=$K$57,0,IF(K210=$K$51,0,AM210*$AY$102)))))))))</f>
        <v>0</v>
      </c>
      <c r="AZ210" s="172">
        <f>IF(K210=$K$53,0,IF(K210=$K$54,0,IF(K210=$K$55,0,IF(K210=$K$56,0,IF(K210=$K$58,0,IF(K210=$K$50,0,IF(K210=$K$65,0,IF(K210=$K$57,0,IF(K210=$K$51,0,AM210*$AZ$102)))))))))</f>
        <v>0</v>
      </c>
      <c r="BA210" s="172">
        <f t="shared" si="30"/>
        <v>0</v>
      </c>
      <c r="BB210" s="173">
        <f>IF($BA$97=1,AQ210*$BB$102,IF(K210=$K$50,0,IF(K210=$K$53,0,IF(K210=$K$54,0,IF(K210=$K$55,0,IF(K210=$K$56,0,IF(K210=$K$57,0,IF(K210=$K$58,0,IF(K210=$K$65,0,IF(K210=$K$66,0,IF(K210=$K$67,0,IF(K210=$K$68,0,IF(K210=$K$69,0,IF(K210=$K$51,0,1)))))))))))*AQ210*$BB$102)))</f>
        <v>0</v>
      </c>
      <c r="BC210" s="172">
        <f t="shared" si="31"/>
        <v>0</v>
      </c>
      <c r="BD210" s="172">
        <f t="shared" si="32"/>
        <v>0</v>
      </c>
      <c r="BE210" s="172">
        <f>IF($BE$95=I210,$BE$97,IF(I210=$BE$96,$BE$97,1))*($BE$102*AQ210)*$AZ$97</f>
        <v>0</v>
      </c>
      <c r="BF210" s="172">
        <f>IF('[1]Cockpit Retorno'!$C$65=Sim,Mestre!BA210,SUM(BB210:BE210)+(IF(K210=$K$56,AQ210*MOE_IRRF_LR,0)))</f>
        <v>0</v>
      </c>
      <c r="BG210" s="174">
        <f>IF(AA210&gt;0,0,IF(Z210=$Z$82,AG210*1,(IF(Z210=$Z$81,AG210*1,0))))</f>
        <v>0</v>
      </c>
      <c r="BH210" s="174">
        <f>IF(AA210&gt;0,0,IF(Z210=$Z$83,AG210*1,IF(Z210=$Z$81,AG210*1,0)))</f>
        <v>0</v>
      </c>
      <c r="BI210" s="174">
        <f>IF(AA210&gt;0,0,IF(Z210=$Z$84,AG210*1,IF(Z210=$Z$93,AG210*2,IF(Z210=$Z$100,AG210,IF(Z210=$Z$81,AG210*2,IF(Z210=$Z$80,AG210*1,IF(Z210=$Z$79,AG210*3,IF(Z210=$Z$78,AG210*2,0))))))))</f>
        <v>0</v>
      </c>
      <c r="BJ210" s="174">
        <f>IF(AA210&gt;0,0,IF(Z210=$Z$85,AG210,IF(Z210=$Z$93,AG210,IF(Z210=$Z$100,AG210,IF(Z210=$Z$81,AG210*1,IF(Z210=$Z$80,AG210*2,IF(Z210=$Z$79,AG210*2,IF(Z210=$Z$78,AG210*2,0))))))))</f>
        <v>0</v>
      </c>
      <c r="BK210" s="174">
        <f>IF(AA210&gt;0,0,IF(Z210=$Z$92,AG210,0))</f>
        <v>0</v>
      </c>
      <c r="BL210" s="174">
        <f>IF(AA210&gt;0,0,IF(Z210=$Z$91,AG210,0))</f>
        <v>0</v>
      </c>
      <c r="BM210" s="174">
        <f>IF(AA210&gt;0,0,IF(Z210=$Z$86,AG210,0))</f>
        <v>0</v>
      </c>
      <c r="BN210" s="174">
        <f>IF(AA210&gt;0,0,IF(Z210=$Z$87,AG210,0))</f>
        <v>0</v>
      </c>
      <c r="BO210" s="174">
        <f>IF(AA210&gt;0,0,IF(Z210=$Z$88,AG210,0))</f>
        <v>0</v>
      </c>
      <c r="BP210" s="174">
        <f>IF(AA210&gt;0,0,IF(Z210=$Z$89,AG210,0))</f>
        <v>0</v>
      </c>
      <c r="BQ210" s="174">
        <f>IF(AA210&gt;0,0,IF(Z210=$Z$90,AG210,0))</f>
        <v>0</v>
      </c>
      <c r="BR210" s="174">
        <f>IF(Z210=$Z$82,AA210*AG210,0)</f>
        <v>0</v>
      </c>
      <c r="BS210" s="174">
        <f>IF(Z210=$Z$83,AA210*AG210,0)</f>
        <v>0</v>
      </c>
      <c r="BT210" s="174">
        <f>IF(AA210&lt;1,0,IF(Z210=$Z$84,AA210*AG210,IF(Z210=$Z$93,"ERRO",IF(Z210=$Z$100,"ERRO",0))))</f>
        <v>0</v>
      </c>
      <c r="BU210" s="174">
        <f>IF(AA210&lt;1,0,IF(Z210=$Z$85,AA210*AG210,IF(Z210=$Z$93,"ERRO",IF(Z210=$Z$100,"ERRO",0))))</f>
        <v>0</v>
      </c>
      <c r="BV210" s="174">
        <f>IF(Z210=$Z$92,AA210*AG210,0)</f>
        <v>0</v>
      </c>
      <c r="BW210" s="174">
        <f>IF(Z210=$Z$91,AA210*AG210,0)</f>
        <v>0</v>
      </c>
      <c r="BX210" s="174">
        <f>IF(Z210=$Z$86,AA210*AG210,0)</f>
        <v>0</v>
      </c>
      <c r="BY210" s="174">
        <f>IF(Z210=$Z$87,AA210*AG210,0)</f>
        <v>0</v>
      </c>
      <c r="BZ210" s="174">
        <f>IF(Z210=$Z$88,AA210*AG210,0)</f>
        <v>0</v>
      </c>
      <c r="CA210" s="174">
        <f>IF(Z210=$Z$89,AA210*AG210,0)</f>
        <v>0</v>
      </c>
      <c r="CB210" s="174">
        <f>IF(Z210=$Z$90,AA210*AG210,0)</f>
        <v>0</v>
      </c>
      <c r="CC210" s="175">
        <f>IFERROR(IF(L210=$L$49,AG210*AH210*(1+AI210)*(1-AK210)*(1-AL210),0),0)</f>
        <v>824.07225599999992</v>
      </c>
      <c r="CD210" s="203">
        <f>IF(I210=$CD$97,1,IF(I210=$CD$100,2,IF(K210=$K$66,1,IF(K210=$K$69,1,3))))</f>
        <v>1</v>
      </c>
      <c r="CE210" s="203">
        <f t="shared" si="14"/>
        <v>1.07</v>
      </c>
      <c r="CF210" s="204">
        <f t="shared" si="33"/>
        <v>1.2353999999999998</v>
      </c>
      <c r="CG210" s="203">
        <f t="shared" si="15"/>
        <v>1.42</v>
      </c>
      <c r="CH210" s="204">
        <f t="shared" si="34"/>
        <v>1.5478000000000001</v>
      </c>
      <c r="CI210" s="203">
        <f t="shared" si="16"/>
        <v>1.7</v>
      </c>
      <c r="CJ210" s="205">
        <f t="shared" si="38"/>
        <v>1.0486</v>
      </c>
      <c r="CK210" s="205">
        <f t="shared" si="39"/>
        <v>1.148922</v>
      </c>
      <c r="CL210" s="205">
        <f t="shared" si="40"/>
        <v>1.3915999999999999</v>
      </c>
      <c r="CM210" s="205">
        <f t="shared" si="41"/>
        <v>1.501366</v>
      </c>
      <c r="CN210" s="206">
        <f t="shared" si="42"/>
        <v>1.6319999999999999</v>
      </c>
      <c r="CO210" s="204">
        <f t="shared" si="44"/>
        <v>1.006656</v>
      </c>
      <c r="CP210" s="207">
        <f t="shared" si="35"/>
        <v>0</v>
      </c>
      <c r="CQ210" s="208">
        <f t="shared" si="36"/>
        <v>0</v>
      </c>
      <c r="CR210" s="209">
        <f t="shared" si="37"/>
        <v>0</v>
      </c>
      <c r="CS210" s="49"/>
      <c r="CT210" s="49"/>
      <c r="CU210" s="49"/>
      <c r="CV210" s="49"/>
      <c r="CW210" s="49"/>
      <c r="CX210" s="49"/>
      <c r="CY210" s="49"/>
      <c r="CZ210" s="49"/>
      <c r="DA210" s="49"/>
      <c r="DB210" s="49"/>
      <c r="DC210" s="49"/>
      <c r="DD210" s="49"/>
      <c r="DE210" s="49"/>
      <c r="DF210" s="49"/>
      <c r="DG210" s="49"/>
      <c r="DH210" s="49"/>
      <c r="DI210" s="49"/>
      <c r="DJ210" s="49"/>
      <c r="DK210" s="49"/>
      <c r="DL210" s="49"/>
      <c r="DM210" s="49"/>
      <c r="DN210" s="49"/>
      <c r="DO210" s="49"/>
      <c r="DP210" s="49"/>
      <c r="DQ210" s="49"/>
      <c r="DR210" s="49"/>
      <c r="DS210" s="49"/>
      <c r="DT210" s="49"/>
      <c r="DU210" s="49"/>
      <c r="DV210" s="49"/>
      <c r="DW210" s="49"/>
      <c r="DX210" s="49"/>
      <c r="DY210" s="49"/>
      <c r="DZ210" s="49"/>
      <c r="EA210" s="49"/>
      <c r="EB210" s="49"/>
      <c r="EC210" s="49"/>
      <c r="ED210" s="49"/>
      <c r="EE210" s="49"/>
      <c r="EF210" s="49"/>
      <c r="EG210" s="49"/>
      <c r="EH210" s="49"/>
      <c r="EI210" s="49"/>
      <c r="EJ210" s="49"/>
      <c r="EK210" s="49"/>
      <c r="EL210" s="49"/>
      <c r="EM210" s="49"/>
      <c r="EN210" s="49"/>
      <c r="EO210" s="49"/>
      <c r="EP210" s="49"/>
      <c r="EQ210" s="49"/>
      <c r="ER210" s="49"/>
      <c r="ES210" s="49"/>
      <c r="ET210" s="49"/>
      <c r="EU210" s="49"/>
      <c r="EV210" s="49"/>
      <c r="EW210" s="49"/>
      <c r="EX210" s="49"/>
      <c r="EY210" s="49"/>
      <c r="EZ210" s="49"/>
      <c r="FA210" s="49"/>
    </row>
    <row r="211" spans="1:157" s="210" customFormat="1" ht="38.25" x14ac:dyDescent="0.25">
      <c r="A211" s="113">
        <f>IF(AND('[1]Cockpit Retorno'!$E$67=Sim,Mestre!M211=Mestre!$M$98),0,1)</f>
        <v>1</v>
      </c>
      <c r="B211" s="113">
        <f>IF(AND('[1]Cockpit Retorno'!$E$67=Sim,Mestre!L211=Mestre!$L$48),0,1)</f>
        <v>1</v>
      </c>
      <c r="C211" s="113">
        <f>IF(AND('[1]Cockpit Retorno'!$E$67=Sim,Mestre!M211=Mestre!$M$97),0,1)</f>
        <v>1</v>
      </c>
      <c r="D211" s="148" t="s">
        <v>7</v>
      </c>
      <c r="E211" s="115"/>
      <c r="F211" s="116" t="s">
        <v>107</v>
      </c>
      <c r="G211" s="149">
        <v>2</v>
      </c>
      <c r="H211" s="150" t="s">
        <v>7</v>
      </c>
      <c r="I211" s="151" t="str">
        <f t="shared" si="26"/>
        <v>Mercadorias</v>
      </c>
      <c r="J211" s="150" t="s">
        <v>15</v>
      </c>
      <c r="K211" s="152" t="s">
        <v>7</v>
      </c>
      <c r="L211" s="153" t="s">
        <v>28</v>
      </c>
      <c r="M211" s="154" t="s">
        <v>361</v>
      </c>
      <c r="N211" s="155" t="s">
        <v>362</v>
      </c>
      <c r="O211" s="155" t="s">
        <v>363</v>
      </c>
      <c r="P211" s="155" t="s">
        <v>43</v>
      </c>
      <c r="Q211" s="155" t="s">
        <v>43</v>
      </c>
      <c r="R211" s="155" t="s">
        <v>43</v>
      </c>
      <c r="S211" s="156" t="s">
        <v>43</v>
      </c>
      <c r="T211" s="156" t="s">
        <v>43</v>
      </c>
      <c r="U211" s="150" t="s">
        <v>43</v>
      </c>
      <c r="V211" s="150" t="s">
        <v>43</v>
      </c>
      <c r="W211" s="150" t="s">
        <v>43</v>
      </c>
      <c r="X211" s="157" t="s">
        <v>364</v>
      </c>
      <c r="Y211" s="150">
        <v>36270</v>
      </c>
      <c r="Z211" s="150" t="s">
        <v>43</v>
      </c>
      <c r="AA211" s="158">
        <v>0</v>
      </c>
      <c r="AB211" s="155" t="s">
        <v>43</v>
      </c>
      <c r="AC211" s="150" t="s">
        <v>43</v>
      </c>
      <c r="AD211" s="155" t="s">
        <v>43</v>
      </c>
      <c r="AE211" s="155"/>
      <c r="AF211" s="150" t="s">
        <v>43</v>
      </c>
      <c r="AG211" s="159">
        <f>150*1.4*8.06</f>
        <v>1692.6000000000001</v>
      </c>
      <c r="AH211" s="159">
        <v>7.3470000000000004</v>
      </c>
      <c r="AI211" s="202">
        <v>0</v>
      </c>
      <c r="AJ211" s="161">
        <v>0.12</v>
      </c>
      <c r="AK211" s="162"/>
      <c r="AL211" s="163"/>
      <c r="AM211" s="164">
        <f>(((IF(L211=$L$101,1,IF(L211=$L$47,1,0))*(AH211*(1-AK211)))*AG211)*(1-AL211))</f>
        <v>0</v>
      </c>
      <c r="AN211" s="165">
        <f>IF(K211=$K$50,AM211,IF(K211=$K$53,AM211,IF(K211=$K$54,AM211,IF(K211=$K$55,AM211,IF(K211=$K$56,AM211,IF(K211=$K$57,AM211,IF(K211=$K$58,AM211,IF(K211=$K$65,AM211,IF(K211=$K$66,AM211,IF(K211=$K$67,AM211,IF(K211=$K$68,AM211,IF(K211=$K$69,AM211,IF(K211=$K$51,AM211,(AM211*(1+AI211)))))))))))))))</f>
        <v>0</v>
      </c>
      <c r="AO211" s="166">
        <v>1.4</v>
      </c>
      <c r="AP211" s="160">
        <f t="shared" si="27"/>
        <v>0</v>
      </c>
      <c r="AQ211" s="167">
        <f t="shared" si="43"/>
        <v>0</v>
      </c>
      <c r="AR211" s="160">
        <f t="shared" si="28"/>
        <v>0</v>
      </c>
      <c r="AS211" s="168">
        <f t="shared" si="29"/>
        <v>0</v>
      </c>
      <c r="AT211" s="169" t="str">
        <f>K211</f>
        <v>MI</v>
      </c>
      <c r="AU211" s="169" t="str">
        <f>I211</f>
        <v>Mercadorias</v>
      </c>
      <c r="AV211" s="170"/>
      <c r="AW211" s="171">
        <f>IF(K211=$K$50,0,IF(K211=$K$53,0,IF(K211=$K$54,0,IF(K211=$K$55,0,IF(K211=$K$56,0,IF(K211=$K$57,0,IF(K211=$K$58,0,IF(K211=$K$65,0,IF(K211=$K$66,0,IF(K211=$K$67,0,IF(K211=$K$68,0,IF(K211=$K$69,0,IF(K211=$K$51,0,1))))))))))))*AM211*AI211)</f>
        <v>0</v>
      </c>
      <c r="AX211" s="172">
        <f>IF(K211=$K$50,0,IF(K211=$K$53,0,IF(K211=$K$54,0,IF(K211=$K$55,0,IF(K211=$K$56,0,IF(K211=$K$57,0,IF(K211=$K$58,0,IF(K211=$K$65,0,IF(K211=$K$66,0,IF(K211=$K$67,0,IF(K211=$K$68,0,IF(K211=$K$69,0,IF(K211=$K$51,0,1))))))))))))*AM211*AJ211*$AX$94)</f>
        <v>0</v>
      </c>
      <c r="AY211" s="172">
        <f>IF(K211=$K$53,0,IF(K211=$K$54,0,IF(K211=$K$55,0,IF(K211=$K$56,0,IF(K211=$K$58,0,IF(K211=$K$50,0,IF(K211=$K$65,0,IF(K211=$K$57,0,IF(K211=$K$51,0,AM211*$AY$102)))))))))</f>
        <v>0</v>
      </c>
      <c r="AZ211" s="172">
        <f>IF(K211=$K$53,0,IF(K211=$K$54,0,IF(K211=$K$55,0,IF(K211=$K$56,0,IF(K211=$K$58,0,IF(K211=$K$50,0,IF(K211=$K$65,0,IF(K211=$K$57,0,IF(K211=$K$51,0,AM211*$AZ$102)))))))))</f>
        <v>0</v>
      </c>
      <c r="BA211" s="172">
        <f t="shared" si="30"/>
        <v>0</v>
      </c>
      <c r="BB211" s="173">
        <f>IF($BA$97=1,AQ211*$BB$102,IF(K211=$K$50,0,IF(K211=$K$53,0,IF(K211=$K$54,0,IF(K211=$K$55,0,IF(K211=$K$56,0,IF(K211=$K$57,0,IF(K211=$K$58,0,IF(K211=$K$65,0,IF(K211=$K$66,0,IF(K211=$K$67,0,IF(K211=$K$68,0,IF(K211=$K$69,0,IF(K211=$K$51,0,1)))))))))))*AQ211*$BB$102)))</f>
        <v>0</v>
      </c>
      <c r="BC211" s="172">
        <f t="shared" si="31"/>
        <v>0</v>
      </c>
      <c r="BD211" s="172">
        <f t="shared" si="32"/>
        <v>0</v>
      </c>
      <c r="BE211" s="172">
        <f>IF($BE$95=I211,$BE$97,IF(I211=$BE$96,$BE$97,1))*($BE$102*AQ211)*$AZ$97</f>
        <v>0</v>
      </c>
      <c r="BF211" s="172">
        <f>IF('[1]Cockpit Retorno'!$C$65=Sim,Mestre!BA211,SUM(BB211:BE211)+(IF(K211=$K$56,AQ211*MOE_IRRF_LR,0)))</f>
        <v>0</v>
      </c>
      <c r="BG211" s="174">
        <f>IF(AA211&gt;0,0,IF(Z211=$Z$82,AG211*1,(IF(Z211=$Z$81,AG211*1,0))))</f>
        <v>0</v>
      </c>
      <c r="BH211" s="174">
        <f>IF(AA211&gt;0,0,IF(Z211=$Z$83,AG211*1,IF(Z211=$Z$81,AG211*1,0)))</f>
        <v>0</v>
      </c>
      <c r="BI211" s="174">
        <f>IF(AA211&gt;0,0,IF(Z211=$Z$84,AG211*1,IF(Z211=$Z$93,AG211*2,IF(Z211=$Z$100,AG211,IF(Z211=$Z$81,AG211*2,IF(Z211=$Z$80,AG211*1,IF(Z211=$Z$79,AG211*3,IF(Z211=$Z$78,AG211*2,0))))))))</f>
        <v>0</v>
      </c>
      <c r="BJ211" s="174">
        <f>IF(AA211&gt;0,0,IF(Z211=$Z$85,AG211,IF(Z211=$Z$93,AG211,IF(Z211=$Z$100,AG211,IF(Z211=$Z$81,AG211*1,IF(Z211=$Z$80,AG211*2,IF(Z211=$Z$79,AG211*2,IF(Z211=$Z$78,AG211*2,0))))))))</f>
        <v>0</v>
      </c>
      <c r="BK211" s="174">
        <f>IF(AA211&gt;0,0,IF(Z211=$Z$92,AG211,0))</f>
        <v>0</v>
      </c>
      <c r="BL211" s="174">
        <f>IF(AA211&gt;0,0,IF(Z211=$Z$91,AG211,0))</f>
        <v>0</v>
      </c>
      <c r="BM211" s="174">
        <f>IF(AA211&gt;0,0,IF(Z211=$Z$86,AG211,0))</f>
        <v>0</v>
      </c>
      <c r="BN211" s="174">
        <f>IF(AA211&gt;0,0,IF(Z211=$Z$87,AG211,0))</f>
        <v>0</v>
      </c>
      <c r="BO211" s="174">
        <f>IF(AA211&gt;0,0,IF(Z211=$Z$88,AG211,0))</f>
        <v>0</v>
      </c>
      <c r="BP211" s="174">
        <f>IF(AA211&gt;0,0,IF(Z211=$Z$89,AG211,0))</f>
        <v>0</v>
      </c>
      <c r="BQ211" s="174">
        <f>IF(AA211&gt;0,0,IF(Z211=$Z$90,AG211,0))</f>
        <v>0</v>
      </c>
      <c r="BR211" s="174">
        <f>IF(Z211=$Z$82,AA211*AG211,0)</f>
        <v>0</v>
      </c>
      <c r="BS211" s="174">
        <f>IF(Z211=$Z$83,AA211*AG211,0)</f>
        <v>0</v>
      </c>
      <c r="BT211" s="174">
        <f>IF(AA211&lt;1,0,IF(Z211=$Z$84,AA211*AG211,IF(Z211=$Z$93,"ERRO",IF(Z211=$Z$100,"ERRO",0))))</f>
        <v>0</v>
      </c>
      <c r="BU211" s="174">
        <f>IF(AA211&lt;1,0,IF(Z211=$Z$85,AA211*AG211,IF(Z211=$Z$93,"ERRO",IF(Z211=$Z$100,"ERRO",0))))</f>
        <v>0</v>
      </c>
      <c r="BV211" s="174">
        <f>IF(Z211=$Z$92,AA211*AG211,0)</f>
        <v>0</v>
      </c>
      <c r="BW211" s="174">
        <f>IF(Z211=$Z$91,AA211*AG211,0)</f>
        <v>0</v>
      </c>
      <c r="BX211" s="174">
        <f>IF(Z211=$Z$86,AA211*AG211,0)</f>
        <v>0</v>
      </c>
      <c r="BY211" s="174">
        <f>IF(Z211=$Z$87,AA211*AG211,0)</f>
        <v>0</v>
      </c>
      <c r="BZ211" s="174">
        <f>IF(Z211=$Z$88,AA211*AG211,0)</f>
        <v>0</v>
      </c>
      <c r="CA211" s="174">
        <f>IF(Z211=$Z$89,AA211*AG211,0)</f>
        <v>0</v>
      </c>
      <c r="CB211" s="174">
        <f>IF(Z211=$Z$90,AA211*AG211,0)</f>
        <v>0</v>
      </c>
      <c r="CC211" s="175">
        <f>IFERROR(IF(L211=$L$49,AG211*AH211*(1+AI211)*(1-AK211)*(1-AL211),0),0)</f>
        <v>0</v>
      </c>
      <c r="CD211" s="203">
        <f>IF(I211=$CD$97,1,IF(I211=$CD$100,2,IF(K211=$K$66,1,IF(K211=$K$69,1,3))))</f>
        <v>1</v>
      </c>
      <c r="CE211" s="203">
        <f t="shared" si="14"/>
        <v>1.07</v>
      </c>
      <c r="CF211" s="204">
        <f t="shared" si="33"/>
        <v>1.2353999999999998</v>
      </c>
      <c r="CG211" s="203">
        <f t="shared" si="15"/>
        <v>1.42</v>
      </c>
      <c r="CH211" s="204">
        <f t="shared" si="34"/>
        <v>1.5478000000000001</v>
      </c>
      <c r="CI211" s="203">
        <f t="shared" si="16"/>
        <v>1.7</v>
      </c>
      <c r="CJ211" s="205">
        <f t="shared" si="38"/>
        <v>1.0486</v>
      </c>
      <c r="CK211" s="205">
        <f t="shared" si="39"/>
        <v>1.148922</v>
      </c>
      <c r="CL211" s="205">
        <f t="shared" si="40"/>
        <v>1.3915999999999999</v>
      </c>
      <c r="CM211" s="205">
        <f t="shared" si="41"/>
        <v>1.501366</v>
      </c>
      <c r="CN211" s="206">
        <f t="shared" si="42"/>
        <v>1.6319999999999999</v>
      </c>
      <c r="CO211" s="204">
        <f t="shared" si="44"/>
        <v>1.006656</v>
      </c>
      <c r="CP211" s="207">
        <f t="shared" si="35"/>
        <v>0</v>
      </c>
      <c r="CQ211" s="208">
        <f t="shared" si="36"/>
        <v>0</v>
      </c>
      <c r="CR211" s="209">
        <f t="shared" si="37"/>
        <v>0</v>
      </c>
      <c r="CS211" s="49"/>
      <c r="CT211" s="49"/>
      <c r="CU211" s="49"/>
      <c r="CV211" s="49"/>
      <c r="CW211" s="49"/>
      <c r="CX211" s="49"/>
      <c r="CY211" s="49"/>
      <c r="CZ211" s="49"/>
      <c r="DA211" s="49"/>
      <c r="DB211" s="49"/>
      <c r="DC211" s="49"/>
      <c r="DD211" s="49"/>
      <c r="DE211" s="49"/>
      <c r="DF211" s="49"/>
      <c r="DG211" s="49"/>
      <c r="DH211" s="49"/>
      <c r="DI211" s="49"/>
      <c r="DJ211" s="49"/>
      <c r="DK211" s="49"/>
      <c r="DL211" s="49"/>
      <c r="DM211" s="49"/>
      <c r="DN211" s="49"/>
      <c r="DO211" s="49"/>
      <c r="DP211" s="49"/>
      <c r="DQ211" s="49"/>
      <c r="DR211" s="49"/>
      <c r="DS211" s="49"/>
      <c r="DT211" s="49"/>
      <c r="DU211" s="49"/>
      <c r="DV211" s="49"/>
      <c r="DW211" s="49"/>
      <c r="DX211" s="49"/>
      <c r="DY211" s="49"/>
      <c r="DZ211" s="49"/>
      <c r="EA211" s="49"/>
      <c r="EB211" s="49"/>
      <c r="EC211" s="49"/>
      <c r="ED211" s="49"/>
      <c r="EE211" s="49"/>
      <c r="EF211" s="49"/>
      <c r="EG211" s="49"/>
      <c r="EH211" s="49"/>
      <c r="EI211" s="49"/>
      <c r="EJ211" s="49"/>
      <c r="EK211" s="49"/>
      <c r="EL211" s="49"/>
      <c r="EM211" s="49"/>
      <c r="EN211" s="49"/>
      <c r="EO211" s="49"/>
      <c r="EP211" s="49"/>
      <c r="EQ211" s="49"/>
      <c r="ER211" s="49"/>
      <c r="ES211" s="49"/>
      <c r="ET211" s="49"/>
      <c r="EU211" s="49"/>
      <c r="EV211" s="49"/>
      <c r="EW211" s="49"/>
      <c r="EX211" s="49"/>
      <c r="EY211" s="49"/>
      <c r="EZ211" s="49"/>
      <c r="FA211" s="49"/>
    </row>
    <row r="212" spans="1:157" s="210" customFormat="1" ht="25.5" x14ac:dyDescent="0.25">
      <c r="A212" s="113">
        <f>IF(AND('[1]Cockpit Retorno'!$E$67=Sim,Mestre!M212=Mestre!$M$98),0,1)</f>
        <v>1</v>
      </c>
      <c r="B212" s="113">
        <f>IF(AND('[1]Cockpit Retorno'!$E$67=Sim,Mestre!L212=Mestre!$L$48),0,1)</f>
        <v>1</v>
      </c>
      <c r="C212" s="113">
        <f>IF(AND('[1]Cockpit Retorno'!$E$67=Sim,Mestre!M212=Mestre!$M$97),0,1)</f>
        <v>1</v>
      </c>
      <c r="D212" s="148" t="s">
        <v>7</v>
      </c>
      <c r="E212" s="115"/>
      <c r="F212" s="116" t="s">
        <v>107</v>
      </c>
      <c r="G212" s="149">
        <v>2</v>
      </c>
      <c r="H212" s="150" t="s">
        <v>7</v>
      </c>
      <c r="I212" s="151" t="str">
        <f t="shared" si="26"/>
        <v>Mercadorias</v>
      </c>
      <c r="J212" s="150" t="s">
        <v>15</v>
      </c>
      <c r="K212" s="152" t="s">
        <v>7</v>
      </c>
      <c r="L212" s="153" t="s">
        <v>21</v>
      </c>
      <c r="M212" s="154" t="s">
        <v>361</v>
      </c>
      <c r="N212" s="155" t="s">
        <v>362</v>
      </c>
      <c r="O212" s="155" t="s">
        <v>363</v>
      </c>
      <c r="P212" s="155" t="s">
        <v>43</v>
      </c>
      <c r="Q212" s="155" t="s">
        <v>43</v>
      </c>
      <c r="R212" s="155" t="s">
        <v>43</v>
      </c>
      <c r="S212" s="156" t="s">
        <v>43</v>
      </c>
      <c r="T212" s="156" t="s">
        <v>43</v>
      </c>
      <c r="U212" s="150" t="s">
        <v>43</v>
      </c>
      <c r="V212" s="150" t="s">
        <v>43</v>
      </c>
      <c r="W212" s="150" t="s">
        <v>43</v>
      </c>
      <c r="X212" s="157" t="s">
        <v>365</v>
      </c>
      <c r="Y212" s="150" t="s">
        <v>43</v>
      </c>
      <c r="Z212" s="150" t="s">
        <v>43</v>
      </c>
      <c r="AA212" s="158">
        <v>0</v>
      </c>
      <c r="AB212" s="155" t="s">
        <v>43</v>
      </c>
      <c r="AC212" s="150" t="s">
        <v>43</v>
      </c>
      <c r="AD212" s="155" t="s">
        <v>43</v>
      </c>
      <c r="AE212" s="155"/>
      <c r="AF212" s="150" t="s">
        <v>43</v>
      </c>
      <c r="AG212" s="159">
        <f>30*6*4.9</f>
        <v>882.00000000000011</v>
      </c>
      <c r="AH212" s="159">
        <v>6.2310000000000008</v>
      </c>
      <c r="AI212" s="202">
        <v>0</v>
      </c>
      <c r="AJ212" s="161">
        <v>0.12</v>
      </c>
      <c r="AK212" s="162"/>
      <c r="AL212" s="163"/>
      <c r="AM212" s="164">
        <f>(((IF(L212=$L$101,1,IF(L212=$L$47,1,0))*(AH212*(1-AK212)))*AG212)*(1-AL212))</f>
        <v>0</v>
      </c>
      <c r="AN212" s="165">
        <f>IF(K212=$K$50,AM212,IF(K212=$K$53,AM212,IF(K212=$K$54,AM212,IF(K212=$K$55,AM212,IF(K212=$K$56,AM212,IF(K212=$K$57,AM212,IF(K212=$K$58,AM212,IF(K212=$K$65,AM212,IF(K212=$K$66,AM212,IF(K212=$K$67,AM212,IF(K212=$K$68,AM212,IF(K212=$K$69,AM212,IF(K212=$K$51,AM212,(AM212*(1+AI212)))))))))))))))</f>
        <v>0</v>
      </c>
      <c r="AO212" s="166">
        <v>1.4</v>
      </c>
      <c r="AP212" s="160">
        <f t="shared" si="27"/>
        <v>0</v>
      </c>
      <c r="AQ212" s="167">
        <f t="shared" si="43"/>
        <v>0</v>
      </c>
      <c r="AR212" s="160">
        <f t="shared" si="28"/>
        <v>0</v>
      </c>
      <c r="AS212" s="168">
        <f t="shared" si="29"/>
        <v>0</v>
      </c>
      <c r="AT212" s="169" t="str">
        <f>K212</f>
        <v>MI</v>
      </c>
      <c r="AU212" s="169" t="str">
        <f>I212</f>
        <v>Mercadorias</v>
      </c>
      <c r="AV212" s="170"/>
      <c r="AW212" s="171">
        <f>IF(K212=$K$50,0,IF(K212=$K$53,0,IF(K212=$K$54,0,IF(K212=$K$55,0,IF(K212=$K$56,0,IF(K212=$K$57,0,IF(K212=$K$58,0,IF(K212=$K$65,0,IF(K212=$K$66,0,IF(K212=$K$67,0,IF(K212=$K$68,0,IF(K212=$K$69,0,IF(K212=$K$51,0,1))))))))))))*AM212*AI212)</f>
        <v>0</v>
      </c>
      <c r="AX212" s="172">
        <f>IF(K212=$K$50,0,IF(K212=$K$53,0,IF(K212=$K$54,0,IF(K212=$K$55,0,IF(K212=$K$56,0,IF(K212=$K$57,0,IF(K212=$K$58,0,IF(K212=$K$65,0,IF(K212=$K$66,0,IF(K212=$K$67,0,IF(K212=$K$68,0,IF(K212=$K$69,0,IF(K212=$K$51,0,1))))))))))))*AM212*AJ212*$AX$94)</f>
        <v>0</v>
      </c>
      <c r="AY212" s="172">
        <f>IF(K212=$K$53,0,IF(K212=$K$54,0,IF(K212=$K$55,0,IF(K212=$K$56,0,IF(K212=$K$58,0,IF(K212=$K$50,0,IF(K212=$K$65,0,IF(K212=$K$57,0,IF(K212=$K$51,0,AM212*$AY$102)))))))))</f>
        <v>0</v>
      </c>
      <c r="AZ212" s="172">
        <f>IF(K212=$K$53,0,IF(K212=$K$54,0,IF(K212=$K$55,0,IF(K212=$K$56,0,IF(K212=$K$58,0,IF(K212=$K$50,0,IF(K212=$K$65,0,IF(K212=$K$57,0,IF(K212=$K$51,0,AM212*$AZ$102)))))))))</f>
        <v>0</v>
      </c>
      <c r="BA212" s="172">
        <f t="shared" si="30"/>
        <v>0</v>
      </c>
      <c r="BB212" s="173">
        <f>IF($BA$97=1,AQ212*$BB$102,IF(K212=$K$50,0,IF(K212=$K$53,0,IF(K212=$K$54,0,IF(K212=$K$55,0,IF(K212=$K$56,0,IF(K212=$K$57,0,IF(K212=$K$58,0,IF(K212=$K$65,0,IF(K212=$K$66,0,IF(K212=$K$67,0,IF(K212=$K$68,0,IF(K212=$K$69,0,IF(K212=$K$51,0,1)))))))))))*AQ212*$BB$102)))</f>
        <v>0</v>
      </c>
      <c r="BC212" s="172">
        <f t="shared" si="31"/>
        <v>0</v>
      </c>
      <c r="BD212" s="172">
        <f t="shared" si="32"/>
        <v>0</v>
      </c>
      <c r="BE212" s="172">
        <f>IF($BE$95=I212,$BE$97,IF(I212=$BE$96,$BE$97,1))*($BE$102*AQ212)*$AZ$97</f>
        <v>0</v>
      </c>
      <c r="BF212" s="172">
        <f>IF('[1]Cockpit Retorno'!$C$65=Sim,Mestre!BA212,SUM(BB212:BE212)+(IF(K212=$K$56,AQ212*MOE_IRRF_LR,0)))</f>
        <v>0</v>
      </c>
      <c r="BG212" s="174">
        <f>IF(AA212&gt;0,0,IF(Z212=$Z$82,AG212*1,(IF(Z212=$Z$81,AG212*1,0))))</f>
        <v>0</v>
      </c>
      <c r="BH212" s="174">
        <f>IF(AA212&gt;0,0,IF(Z212=$Z$83,AG212*1,IF(Z212=$Z$81,AG212*1,0)))</f>
        <v>0</v>
      </c>
      <c r="BI212" s="174">
        <f>IF(AA212&gt;0,0,IF(Z212=$Z$84,AG212*1,IF(Z212=$Z$93,AG212*2,IF(Z212=$Z$100,AG212,IF(Z212=$Z$81,AG212*2,IF(Z212=$Z$80,AG212*1,IF(Z212=$Z$79,AG212*3,IF(Z212=$Z$78,AG212*2,0))))))))</f>
        <v>0</v>
      </c>
      <c r="BJ212" s="174">
        <f>IF(AA212&gt;0,0,IF(Z212=$Z$85,AG212,IF(Z212=$Z$93,AG212,IF(Z212=$Z$100,AG212,IF(Z212=$Z$81,AG212*1,IF(Z212=$Z$80,AG212*2,IF(Z212=$Z$79,AG212*2,IF(Z212=$Z$78,AG212*2,0))))))))</f>
        <v>0</v>
      </c>
      <c r="BK212" s="174">
        <f>IF(AA212&gt;0,0,IF(Z212=$Z$92,AG212,0))</f>
        <v>0</v>
      </c>
      <c r="BL212" s="174">
        <f>IF(AA212&gt;0,0,IF(Z212=$Z$91,AG212,0))</f>
        <v>0</v>
      </c>
      <c r="BM212" s="174">
        <f>IF(AA212&gt;0,0,IF(Z212=$Z$86,AG212,0))</f>
        <v>0</v>
      </c>
      <c r="BN212" s="174">
        <f>IF(AA212&gt;0,0,IF(Z212=$Z$87,AG212,0))</f>
        <v>0</v>
      </c>
      <c r="BO212" s="174">
        <f>IF(AA212&gt;0,0,IF(Z212=$Z$88,AG212,0))</f>
        <v>0</v>
      </c>
      <c r="BP212" s="174">
        <f>IF(AA212&gt;0,0,IF(Z212=$Z$89,AG212,0))</f>
        <v>0</v>
      </c>
      <c r="BQ212" s="174">
        <f>IF(AA212&gt;0,0,IF(Z212=$Z$90,AG212,0))</f>
        <v>0</v>
      </c>
      <c r="BR212" s="174">
        <f>IF(Z212=$Z$82,AA212*AG212,0)</f>
        <v>0</v>
      </c>
      <c r="BS212" s="174">
        <f>IF(Z212=$Z$83,AA212*AG212,0)</f>
        <v>0</v>
      </c>
      <c r="BT212" s="174">
        <f>IF(AA212&lt;1,0,IF(Z212=$Z$84,AA212*AG212,IF(Z212=$Z$93,"ERRO",IF(Z212=$Z$100,"ERRO",0))))</f>
        <v>0</v>
      </c>
      <c r="BU212" s="174">
        <f>IF(AA212&lt;1,0,IF(Z212=$Z$85,AA212*AG212,IF(Z212=$Z$93,"ERRO",IF(Z212=$Z$100,"ERRO",0))))</f>
        <v>0</v>
      </c>
      <c r="BV212" s="174">
        <f>IF(Z212=$Z$92,AA212*AG212,0)</f>
        <v>0</v>
      </c>
      <c r="BW212" s="174">
        <f>IF(Z212=$Z$91,AA212*AG212,0)</f>
        <v>0</v>
      </c>
      <c r="BX212" s="174">
        <f>IF(Z212=$Z$86,AA212*AG212,0)</f>
        <v>0</v>
      </c>
      <c r="BY212" s="174">
        <f>IF(Z212=$Z$87,AA212*AG212,0)</f>
        <v>0</v>
      </c>
      <c r="BZ212" s="174">
        <f>IF(Z212=$Z$88,AA212*AG212,0)</f>
        <v>0</v>
      </c>
      <c r="CA212" s="174">
        <f>IF(Z212=$Z$89,AA212*AG212,0)</f>
        <v>0</v>
      </c>
      <c r="CB212" s="174">
        <f>IF(Z212=$Z$90,AA212*AG212,0)</f>
        <v>0</v>
      </c>
      <c r="CC212" s="175">
        <f>IFERROR(IF(L212=$L$49,AG212*AH212*(1+AI212)*(1-AK212)*(1-AL212),0),0)</f>
        <v>5495.7420000000011</v>
      </c>
      <c r="CD212" s="203">
        <f>IF(I212=$CD$97,1,IF(I212=$CD$100,2,IF(K212=$K$66,1,IF(K212=$K$69,1,3))))</f>
        <v>1</v>
      </c>
      <c r="CE212" s="203">
        <f t="shared" si="14"/>
        <v>1.07</v>
      </c>
      <c r="CF212" s="204">
        <f t="shared" si="33"/>
        <v>1.2353999999999998</v>
      </c>
      <c r="CG212" s="203">
        <f t="shared" si="15"/>
        <v>1.42</v>
      </c>
      <c r="CH212" s="204">
        <f t="shared" si="34"/>
        <v>1.5478000000000001</v>
      </c>
      <c r="CI212" s="203">
        <f t="shared" si="16"/>
        <v>1.7</v>
      </c>
      <c r="CJ212" s="205">
        <f t="shared" si="38"/>
        <v>1.0486</v>
      </c>
      <c r="CK212" s="205">
        <f t="shared" si="39"/>
        <v>1.148922</v>
      </c>
      <c r="CL212" s="205">
        <f t="shared" si="40"/>
        <v>1.3915999999999999</v>
      </c>
      <c r="CM212" s="205">
        <f t="shared" si="41"/>
        <v>1.501366</v>
      </c>
      <c r="CN212" s="206">
        <f t="shared" si="42"/>
        <v>1.6319999999999999</v>
      </c>
      <c r="CO212" s="204">
        <f t="shared" si="44"/>
        <v>1.006656</v>
      </c>
      <c r="CP212" s="207">
        <f t="shared" si="35"/>
        <v>0</v>
      </c>
      <c r="CQ212" s="208">
        <f t="shared" si="36"/>
        <v>0</v>
      </c>
      <c r="CR212" s="209">
        <f t="shared" si="37"/>
        <v>0</v>
      </c>
      <c r="CS212" s="49"/>
      <c r="CT212" s="49"/>
      <c r="CU212" s="49"/>
      <c r="CV212" s="49"/>
      <c r="CW212" s="49"/>
      <c r="CX212" s="49"/>
      <c r="CY212" s="49"/>
      <c r="CZ212" s="49"/>
      <c r="DA212" s="49"/>
      <c r="DB212" s="49"/>
      <c r="DC212" s="49"/>
      <c r="DD212" s="49"/>
      <c r="DE212" s="49"/>
      <c r="DF212" s="49"/>
      <c r="DG212" s="49"/>
      <c r="DH212" s="49"/>
      <c r="DI212" s="49"/>
      <c r="DJ212" s="49"/>
      <c r="DK212" s="49"/>
      <c r="DL212" s="49"/>
      <c r="DM212" s="49"/>
      <c r="DN212" s="49"/>
      <c r="DO212" s="49"/>
      <c r="DP212" s="49"/>
      <c r="DQ212" s="49"/>
      <c r="DR212" s="49"/>
      <c r="DS212" s="49"/>
      <c r="DT212" s="49"/>
      <c r="DU212" s="49"/>
      <c r="DV212" s="49"/>
      <c r="DW212" s="49"/>
      <c r="DX212" s="49"/>
      <c r="DY212" s="49"/>
      <c r="DZ212" s="49"/>
      <c r="EA212" s="49"/>
      <c r="EB212" s="49"/>
      <c r="EC212" s="49"/>
      <c r="ED212" s="49"/>
      <c r="EE212" s="49"/>
      <c r="EF212" s="49"/>
      <c r="EG212" s="49"/>
      <c r="EH212" s="49"/>
      <c r="EI212" s="49"/>
      <c r="EJ212" s="49"/>
      <c r="EK212" s="49"/>
      <c r="EL212" s="49"/>
      <c r="EM212" s="49"/>
      <c r="EN212" s="49"/>
      <c r="EO212" s="49"/>
      <c r="EP212" s="49"/>
      <c r="EQ212" s="49"/>
      <c r="ER212" s="49"/>
      <c r="ES212" s="49"/>
      <c r="ET212" s="49"/>
      <c r="EU212" s="49"/>
      <c r="EV212" s="49"/>
      <c r="EW212" s="49"/>
      <c r="EX212" s="49"/>
      <c r="EY212" s="49"/>
      <c r="EZ212" s="49"/>
      <c r="FA212" s="49"/>
    </row>
    <row r="213" spans="1:157" s="210" customFormat="1" x14ac:dyDescent="0.25">
      <c r="A213" s="113">
        <f>IF(AND('[1]Cockpit Retorno'!$E$67=Sim,Mestre!M213=Mestre!$M$98),0,1)</f>
        <v>1</v>
      </c>
      <c r="B213" s="113">
        <f>IF(AND('[1]Cockpit Retorno'!$E$67=Sim,Mestre!L213=Mestre!$L$48),0,1)</f>
        <v>1</v>
      </c>
      <c r="C213" s="113">
        <f>IF(AND('[1]Cockpit Retorno'!$E$67=Sim,Mestre!M213=Mestre!$M$97),0,1)</f>
        <v>1</v>
      </c>
      <c r="D213" s="148" t="s">
        <v>7</v>
      </c>
      <c r="E213" s="115"/>
      <c r="F213" s="116" t="s">
        <v>107</v>
      </c>
      <c r="G213" s="149">
        <v>2</v>
      </c>
      <c r="H213" s="150" t="s">
        <v>7</v>
      </c>
      <c r="I213" s="151" t="str">
        <f t="shared" si="26"/>
        <v>Mercadorias</v>
      </c>
      <c r="J213" s="150" t="s">
        <v>15</v>
      </c>
      <c r="K213" s="152" t="s">
        <v>7</v>
      </c>
      <c r="L213" s="153" t="s">
        <v>21</v>
      </c>
      <c r="M213" s="154" t="s">
        <v>361</v>
      </c>
      <c r="N213" s="155" t="s">
        <v>362</v>
      </c>
      <c r="O213" s="155" t="s">
        <v>363</v>
      </c>
      <c r="P213" s="155" t="s">
        <v>43</v>
      </c>
      <c r="Q213" s="155" t="s">
        <v>43</v>
      </c>
      <c r="R213" s="155" t="s">
        <v>43</v>
      </c>
      <c r="S213" s="156" t="s">
        <v>43</v>
      </c>
      <c r="T213" s="156" t="s">
        <v>43</v>
      </c>
      <c r="U213" s="150" t="s">
        <v>43</v>
      </c>
      <c r="V213" s="150" t="s">
        <v>43</v>
      </c>
      <c r="W213" s="150" t="s">
        <v>43</v>
      </c>
      <c r="X213" s="157" t="s">
        <v>366</v>
      </c>
      <c r="Y213" s="150" t="s">
        <v>43</v>
      </c>
      <c r="Z213" s="150" t="s">
        <v>43</v>
      </c>
      <c r="AA213" s="158">
        <v>0</v>
      </c>
      <c r="AB213" s="155" t="s">
        <v>43</v>
      </c>
      <c r="AC213" s="150" t="s">
        <v>43</v>
      </c>
      <c r="AD213" s="155" t="s">
        <v>43</v>
      </c>
      <c r="AE213" s="155"/>
      <c r="AF213" s="150" t="s">
        <v>43</v>
      </c>
      <c r="AG213" s="159">
        <f>30*6*85*0</f>
        <v>0</v>
      </c>
      <c r="AH213" s="159">
        <v>8.9280000000000008</v>
      </c>
      <c r="AI213" s="202">
        <v>0</v>
      </c>
      <c r="AJ213" s="161">
        <v>0.18</v>
      </c>
      <c r="AK213" s="162"/>
      <c r="AL213" s="163"/>
      <c r="AM213" s="164">
        <f>(((IF(L213=$L$101,1,IF(L213=$L$47,1,0))*(AH213*(1-AK213)))*AG213)*(1-AL213))</f>
        <v>0</v>
      </c>
      <c r="AN213" s="165">
        <f>IF(K213=$K$50,AM213,IF(K213=$K$53,AM213,IF(K213=$K$54,AM213,IF(K213=$K$55,AM213,IF(K213=$K$56,AM213,IF(K213=$K$57,AM213,IF(K213=$K$58,AM213,IF(K213=$K$65,AM213,IF(K213=$K$66,AM213,IF(K213=$K$67,AM213,IF(K213=$K$68,AM213,IF(K213=$K$69,AM213,IF(K213=$K$51,AM213,(AM213*(1+AI213)))))))))))))))</f>
        <v>0</v>
      </c>
      <c r="AO213" s="166">
        <v>1.4</v>
      </c>
      <c r="AP213" s="160">
        <f t="shared" si="27"/>
        <v>0</v>
      </c>
      <c r="AQ213" s="167">
        <f t="shared" si="43"/>
        <v>0</v>
      </c>
      <c r="AR213" s="160">
        <f t="shared" si="28"/>
        <v>0</v>
      </c>
      <c r="AS213" s="168">
        <f t="shared" si="29"/>
        <v>0</v>
      </c>
      <c r="AT213" s="169" t="str">
        <f>K213</f>
        <v>MI</v>
      </c>
      <c r="AU213" s="169" t="str">
        <f>I213</f>
        <v>Mercadorias</v>
      </c>
      <c r="AV213" s="170"/>
      <c r="AW213" s="171">
        <f>IF(K213=$K$50,0,IF(K213=$K$53,0,IF(K213=$K$54,0,IF(K213=$K$55,0,IF(K213=$K$56,0,IF(K213=$K$57,0,IF(K213=$K$58,0,IF(K213=$K$65,0,IF(K213=$K$66,0,IF(K213=$K$67,0,IF(K213=$K$68,0,IF(K213=$K$69,0,IF(K213=$K$51,0,1))))))))))))*AM213*AI213)</f>
        <v>0</v>
      </c>
      <c r="AX213" s="172">
        <f>IF(K213=$K$50,0,IF(K213=$K$53,0,IF(K213=$K$54,0,IF(K213=$K$55,0,IF(K213=$K$56,0,IF(K213=$K$57,0,IF(K213=$K$58,0,IF(K213=$K$65,0,IF(K213=$K$66,0,IF(K213=$K$67,0,IF(K213=$K$68,0,IF(K213=$K$69,0,IF(K213=$K$51,0,1))))))))))))*AM213*AJ213*$AX$94)</f>
        <v>0</v>
      </c>
      <c r="AY213" s="172">
        <f>IF(K213=$K$53,0,IF(K213=$K$54,0,IF(K213=$K$55,0,IF(K213=$K$56,0,IF(K213=$K$58,0,IF(K213=$K$50,0,IF(K213=$K$65,0,IF(K213=$K$57,0,IF(K213=$K$51,0,AM213*$AY$102)))))))))</f>
        <v>0</v>
      </c>
      <c r="AZ213" s="172">
        <f>IF(K213=$K$53,0,IF(K213=$K$54,0,IF(K213=$K$55,0,IF(K213=$K$56,0,IF(K213=$K$58,0,IF(K213=$K$50,0,IF(K213=$K$65,0,IF(K213=$K$57,0,IF(K213=$K$51,0,AM213*$AZ$102)))))))))</f>
        <v>0</v>
      </c>
      <c r="BA213" s="172">
        <f t="shared" si="30"/>
        <v>0</v>
      </c>
      <c r="BB213" s="173">
        <f>IF($BA$97=1,AQ213*$BB$102,IF(K213=$K$50,0,IF(K213=$K$53,0,IF(K213=$K$54,0,IF(K213=$K$55,0,IF(K213=$K$56,0,IF(K213=$K$57,0,IF(K213=$K$58,0,IF(K213=$K$65,0,IF(K213=$K$66,0,IF(K213=$K$67,0,IF(K213=$K$68,0,IF(K213=$K$69,0,IF(K213=$K$51,0,1)))))))))))*AQ213*$BB$102)))</f>
        <v>0</v>
      </c>
      <c r="BC213" s="172">
        <f t="shared" si="31"/>
        <v>0</v>
      </c>
      <c r="BD213" s="172">
        <f t="shared" si="32"/>
        <v>0</v>
      </c>
      <c r="BE213" s="172">
        <f>IF($BE$95=I213,$BE$97,IF(I213=$BE$96,$BE$97,1))*($BE$102*AQ213)*$AZ$97</f>
        <v>0</v>
      </c>
      <c r="BF213" s="172">
        <f>IF('[1]Cockpit Retorno'!$C$65=Sim,Mestre!BA213,SUM(BB213:BE213)+(IF(K213=$K$56,AQ213*MOE_IRRF_LR,0)))</f>
        <v>0</v>
      </c>
      <c r="BG213" s="174">
        <f>IF(AA213&gt;0,0,IF(Z213=$Z$82,AG213*1,(IF(Z213=$Z$81,AG213*1,0))))</f>
        <v>0</v>
      </c>
      <c r="BH213" s="174">
        <f>IF(AA213&gt;0,0,IF(Z213=$Z$83,AG213*1,IF(Z213=$Z$81,AG213*1,0)))</f>
        <v>0</v>
      </c>
      <c r="BI213" s="174">
        <f>IF(AA213&gt;0,0,IF(Z213=$Z$84,AG213*1,IF(Z213=$Z$93,AG213*2,IF(Z213=$Z$100,AG213,IF(Z213=$Z$81,AG213*2,IF(Z213=$Z$80,AG213*1,IF(Z213=$Z$79,AG213*3,IF(Z213=$Z$78,AG213*2,0))))))))</f>
        <v>0</v>
      </c>
      <c r="BJ213" s="174">
        <f>IF(AA213&gt;0,0,IF(Z213=$Z$85,AG213,IF(Z213=$Z$93,AG213,IF(Z213=$Z$100,AG213,IF(Z213=$Z$81,AG213*1,IF(Z213=$Z$80,AG213*2,IF(Z213=$Z$79,AG213*2,IF(Z213=$Z$78,AG213*2,0))))))))</f>
        <v>0</v>
      </c>
      <c r="BK213" s="174">
        <f>IF(AA213&gt;0,0,IF(Z213=$Z$92,AG213,0))</f>
        <v>0</v>
      </c>
      <c r="BL213" s="174">
        <f>IF(AA213&gt;0,0,IF(Z213=$Z$91,AG213,0))</f>
        <v>0</v>
      </c>
      <c r="BM213" s="174">
        <f>IF(AA213&gt;0,0,IF(Z213=$Z$86,AG213,0))</f>
        <v>0</v>
      </c>
      <c r="BN213" s="174">
        <f>IF(AA213&gt;0,0,IF(Z213=$Z$87,AG213,0))</f>
        <v>0</v>
      </c>
      <c r="BO213" s="174">
        <f>IF(AA213&gt;0,0,IF(Z213=$Z$88,AG213,0))</f>
        <v>0</v>
      </c>
      <c r="BP213" s="174">
        <f>IF(AA213&gt;0,0,IF(Z213=$Z$89,AG213,0))</f>
        <v>0</v>
      </c>
      <c r="BQ213" s="174">
        <f>IF(AA213&gt;0,0,IF(Z213=$Z$90,AG213,0))</f>
        <v>0</v>
      </c>
      <c r="BR213" s="174">
        <f>IF(Z213=$Z$82,AA213*AG213,0)</f>
        <v>0</v>
      </c>
      <c r="BS213" s="174">
        <f>IF(Z213=$Z$83,AA213*AG213,0)</f>
        <v>0</v>
      </c>
      <c r="BT213" s="174">
        <f>IF(AA213&lt;1,0,IF(Z213=$Z$84,AA213*AG213,IF(Z213=$Z$93,"ERRO",IF(Z213=$Z$100,"ERRO",0))))</f>
        <v>0</v>
      </c>
      <c r="BU213" s="174">
        <f>IF(AA213&lt;1,0,IF(Z213=$Z$85,AA213*AG213,IF(Z213=$Z$93,"ERRO",IF(Z213=$Z$100,"ERRO",0))))</f>
        <v>0</v>
      </c>
      <c r="BV213" s="174">
        <f>IF(Z213=$Z$92,AA213*AG213,0)</f>
        <v>0</v>
      </c>
      <c r="BW213" s="174">
        <f>IF(Z213=$Z$91,AA213*AG213,0)</f>
        <v>0</v>
      </c>
      <c r="BX213" s="174">
        <f>IF(Z213=$Z$86,AA213*AG213,0)</f>
        <v>0</v>
      </c>
      <c r="BY213" s="174">
        <f>IF(Z213=$Z$87,AA213*AG213,0)</f>
        <v>0</v>
      </c>
      <c r="BZ213" s="174">
        <f>IF(Z213=$Z$88,AA213*AG213,0)</f>
        <v>0</v>
      </c>
      <c r="CA213" s="174">
        <f>IF(Z213=$Z$89,AA213*AG213,0)</f>
        <v>0</v>
      </c>
      <c r="CB213" s="174">
        <f>IF(Z213=$Z$90,AA213*AG213,0)</f>
        <v>0</v>
      </c>
      <c r="CC213" s="175">
        <f>IFERROR(IF(L213=$L$49,AG213*AH213*(1+AI213)*(1-AK213)*(1-AL213),0),0)</f>
        <v>0</v>
      </c>
      <c r="CD213" s="203">
        <f>IF(I213=$CD$97,1,IF(I213=$CD$100,2,IF(K213=$K$66,1,IF(K213=$K$69,1,3))))</f>
        <v>1</v>
      </c>
      <c r="CE213" s="203">
        <f t="shared" si="14"/>
        <v>1.07</v>
      </c>
      <c r="CF213" s="204">
        <f t="shared" si="33"/>
        <v>1.2353999999999998</v>
      </c>
      <c r="CG213" s="203">
        <f t="shared" si="15"/>
        <v>1.42</v>
      </c>
      <c r="CH213" s="204">
        <f t="shared" si="34"/>
        <v>1.5478000000000001</v>
      </c>
      <c r="CI213" s="203">
        <f t="shared" si="16"/>
        <v>1.7</v>
      </c>
      <c r="CJ213" s="205">
        <f t="shared" si="38"/>
        <v>1.0486</v>
      </c>
      <c r="CK213" s="205">
        <f t="shared" si="39"/>
        <v>1.148922</v>
      </c>
      <c r="CL213" s="205">
        <f t="shared" si="40"/>
        <v>1.3915999999999999</v>
      </c>
      <c r="CM213" s="205">
        <f t="shared" si="41"/>
        <v>1.501366</v>
      </c>
      <c r="CN213" s="206">
        <f t="shared" si="42"/>
        <v>1.6319999999999999</v>
      </c>
      <c r="CO213" s="204">
        <f t="shared" si="44"/>
        <v>1.006656</v>
      </c>
      <c r="CP213" s="207">
        <f t="shared" si="35"/>
        <v>0</v>
      </c>
      <c r="CQ213" s="208">
        <f t="shared" si="36"/>
        <v>0</v>
      </c>
      <c r="CR213" s="209">
        <f t="shared" si="37"/>
        <v>0</v>
      </c>
      <c r="CS213" s="49"/>
      <c r="CT213" s="49"/>
      <c r="CU213" s="49"/>
      <c r="CV213" s="49"/>
      <c r="CW213" s="49"/>
      <c r="CX213" s="49"/>
      <c r="CY213" s="49"/>
      <c r="CZ213" s="49"/>
      <c r="DA213" s="49"/>
      <c r="DB213" s="49"/>
      <c r="DC213" s="49"/>
      <c r="DD213" s="49"/>
      <c r="DE213" s="49"/>
      <c r="DF213" s="49"/>
      <c r="DG213" s="49"/>
      <c r="DH213" s="49"/>
      <c r="DI213" s="49"/>
      <c r="DJ213" s="49"/>
      <c r="DK213" s="49"/>
      <c r="DL213" s="49"/>
      <c r="DM213" s="49"/>
      <c r="DN213" s="49"/>
      <c r="DO213" s="49"/>
      <c r="DP213" s="49"/>
      <c r="DQ213" s="49"/>
      <c r="DR213" s="49"/>
      <c r="DS213" s="49"/>
      <c r="DT213" s="49"/>
      <c r="DU213" s="49"/>
      <c r="DV213" s="49"/>
      <c r="DW213" s="49"/>
      <c r="DX213" s="49"/>
      <c r="DY213" s="49"/>
      <c r="DZ213" s="49"/>
      <c r="EA213" s="49"/>
      <c r="EB213" s="49"/>
      <c r="EC213" s="49"/>
      <c r="ED213" s="49"/>
      <c r="EE213" s="49"/>
      <c r="EF213" s="49"/>
      <c r="EG213" s="49"/>
      <c r="EH213" s="49"/>
      <c r="EI213" s="49"/>
      <c r="EJ213" s="49"/>
      <c r="EK213" s="49"/>
      <c r="EL213" s="49"/>
      <c r="EM213" s="49"/>
      <c r="EN213" s="49"/>
      <c r="EO213" s="49"/>
      <c r="EP213" s="49"/>
      <c r="EQ213" s="49"/>
      <c r="ER213" s="49"/>
      <c r="ES213" s="49"/>
      <c r="ET213" s="49"/>
      <c r="EU213" s="49"/>
      <c r="EV213" s="49"/>
      <c r="EW213" s="49"/>
      <c r="EX213" s="49"/>
      <c r="EY213" s="49"/>
      <c r="EZ213" s="49"/>
      <c r="FA213" s="49"/>
    </row>
    <row r="214" spans="1:157" s="210" customFormat="1" x14ac:dyDescent="0.25">
      <c r="A214" s="113">
        <f>IF(AND('[1]Cockpit Retorno'!$E$67=Sim,Mestre!M214=Mestre!$M$98),0,1)</f>
        <v>1</v>
      </c>
      <c r="B214" s="113">
        <f>IF(AND('[1]Cockpit Retorno'!$E$67=Sim,Mestre!L214=Mestre!$L$48),0,1)</f>
        <v>1</v>
      </c>
      <c r="C214" s="113">
        <f>IF(AND('[1]Cockpit Retorno'!$E$67=Sim,Mestre!M214=Mestre!$M$97),0,1)</f>
        <v>1</v>
      </c>
      <c r="D214" s="148" t="s">
        <v>7</v>
      </c>
      <c r="E214" s="115"/>
      <c r="F214" s="116" t="s">
        <v>107</v>
      </c>
      <c r="G214" s="149">
        <v>2</v>
      </c>
      <c r="H214" s="150" t="s">
        <v>7</v>
      </c>
      <c r="I214" s="151" t="str">
        <f t="shared" si="26"/>
        <v>Mercadorias</v>
      </c>
      <c r="J214" s="150" t="s">
        <v>15</v>
      </c>
      <c r="K214" s="152" t="s">
        <v>7</v>
      </c>
      <c r="L214" s="153" t="s">
        <v>21</v>
      </c>
      <c r="M214" s="154" t="s">
        <v>361</v>
      </c>
      <c r="N214" s="155" t="s">
        <v>362</v>
      </c>
      <c r="O214" s="155" t="s">
        <v>363</v>
      </c>
      <c r="P214" s="155" t="s">
        <v>43</v>
      </c>
      <c r="Q214" s="155" t="s">
        <v>43</v>
      </c>
      <c r="R214" s="155" t="s">
        <v>43</v>
      </c>
      <c r="S214" s="156" t="s">
        <v>43</v>
      </c>
      <c r="T214" s="156" t="s">
        <v>43</v>
      </c>
      <c r="U214" s="150" t="s">
        <v>43</v>
      </c>
      <c r="V214" s="150" t="s">
        <v>43</v>
      </c>
      <c r="W214" s="150" t="s">
        <v>43</v>
      </c>
      <c r="X214" s="157" t="s">
        <v>367</v>
      </c>
      <c r="Y214" s="150" t="s">
        <v>43</v>
      </c>
      <c r="Z214" s="150" t="s">
        <v>43</v>
      </c>
      <c r="AA214" s="158">
        <v>0</v>
      </c>
      <c r="AB214" s="155" t="s">
        <v>43</v>
      </c>
      <c r="AC214" s="150" t="s">
        <v>43</v>
      </c>
      <c r="AD214" s="155" t="s">
        <v>43</v>
      </c>
      <c r="AE214" s="155"/>
      <c r="AF214" s="150" t="s">
        <v>43</v>
      </c>
      <c r="AG214" s="159">
        <f>30*6*54*0</f>
        <v>0</v>
      </c>
      <c r="AH214" s="159">
        <v>8.9280000000000008</v>
      </c>
      <c r="AI214" s="202">
        <v>0</v>
      </c>
      <c r="AJ214" s="161">
        <v>0.18</v>
      </c>
      <c r="AK214" s="162"/>
      <c r="AL214" s="163"/>
      <c r="AM214" s="164">
        <f>(((IF(L214=$L$101,1,IF(L214=$L$47,1,0))*(AH214*(1-AK214)))*AG214)*(1-AL214))</f>
        <v>0</v>
      </c>
      <c r="AN214" s="165">
        <f>IF(K214=$K$50,AM214,IF(K214=$K$53,AM214,IF(K214=$K$54,AM214,IF(K214=$K$55,AM214,IF(K214=$K$56,AM214,IF(K214=$K$57,AM214,IF(K214=$K$58,AM214,IF(K214=$K$65,AM214,IF(K214=$K$66,AM214,IF(K214=$K$67,AM214,IF(K214=$K$68,AM214,IF(K214=$K$69,AM214,IF(K214=$K$51,AM214,(AM214*(1+AI214)))))))))))))))</f>
        <v>0</v>
      </c>
      <c r="AO214" s="166">
        <v>1.4</v>
      </c>
      <c r="AP214" s="160">
        <f t="shared" si="27"/>
        <v>0</v>
      </c>
      <c r="AQ214" s="167">
        <f t="shared" si="43"/>
        <v>0</v>
      </c>
      <c r="AR214" s="160">
        <f t="shared" si="28"/>
        <v>0</v>
      </c>
      <c r="AS214" s="168">
        <f t="shared" si="29"/>
        <v>0</v>
      </c>
      <c r="AT214" s="169" t="str">
        <f>K214</f>
        <v>MI</v>
      </c>
      <c r="AU214" s="169" t="str">
        <f>I214</f>
        <v>Mercadorias</v>
      </c>
      <c r="AV214" s="170"/>
      <c r="AW214" s="171">
        <f>IF(K214=$K$50,0,IF(K214=$K$53,0,IF(K214=$K$54,0,IF(K214=$K$55,0,IF(K214=$K$56,0,IF(K214=$K$57,0,IF(K214=$K$58,0,IF(K214=$K$65,0,IF(K214=$K$66,0,IF(K214=$K$67,0,IF(K214=$K$68,0,IF(K214=$K$69,0,IF(K214=$K$51,0,1))))))))))))*AM214*AI214)</f>
        <v>0</v>
      </c>
      <c r="AX214" s="172">
        <f>IF(K214=$K$50,0,IF(K214=$K$53,0,IF(K214=$K$54,0,IF(K214=$K$55,0,IF(K214=$K$56,0,IF(K214=$K$57,0,IF(K214=$K$58,0,IF(K214=$K$65,0,IF(K214=$K$66,0,IF(K214=$K$67,0,IF(K214=$K$68,0,IF(K214=$K$69,0,IF(K214=$K$51,0,1))))))))))))*AM214*AJ214*$AX$94)</f>
        <v>0</v>
      </c>
      <c r="AY214" s="172">
        <f>IF(K214=$K$53,0,IF(K214=$K$54,0,IF(K214=$K$55,0,IF(K214=$K$56,0,IF(K214=$K$58,0,IF(K214=$K$50,0,IF(K214=$K$65,0,IF(K214=$K$57,0,IF(K214=$K$51,0,AM214*$AY$102)))))))))</f>
        <v>0</v>
      </c>
      <c r="AZ214" s="172">
        <f>IF(K214=$K$53,0,IF(K214=$K$54,0,IF(K214=$K$55,0,IF(K214=$K$56,0,IF(K214=$K$58,0,IF(K214=$K$50,0,IF(K214=$K$65,0,IF(K214=$K$57,0,IF(K214=$K$51,0,AM214*$AZ$102)))))))))</f>
        <v>0</v>
      </c>
      <c r="BA214" s="172">
        <f t="shared" si="30"/>
        <v>0</v>
      </c>
      <c r="BB214" s="173">
        <f>IF($BA$97=1,AQ214*$BB$102,IF(K214=$K$50,0,IF(K214=$K$53,0,IF(K214=$K$54,0,IF(K214=$K$55,0,IF(K214=$K$56,0,IF(K214=$K$57,0,IF(K214=$K$58,0,IF(K214=$K$65,0,IF(K214=$K$66,0,IF(K214=$K$67,0,IF(K214=$K$68,0,IF(K214=$K$69,0,IF(K214=$K$51,0,1)))))))))))*AQ214*$BB$102)))</f>
        <v>0</v>
      </c>
      <c r="BC214" s="172">
        <f t="shared" si="31"/>
        <v>0</v>
      </c>
      <c r="BD214" s="172">
        <f t="shared" si="32"/>
        <v>0</v>
      </c>
      <c r="BE214" s="172">
        <f>IF($BE$95=I214,$BE$97,IF(I214=$BE$96,$BE$97,1))*($BE$102*AQ214)*$AZ$97</f>
        <v>0</v>
      </c>
      <c r="BF214" s="172">
        <f>IF('[1]Cockpit Retorno'!$C$65=Sim,Mestre!BA214,SUM(BB214:BE214)+(IF(K214=$K$56,AQ214*MOE_IRRF_LR,0)))</f>
        <v>0</v>
      </c>
      <c r="BG214" s="174">
        <f>IF(AA214&gt;0,0,IF(Z214=$Z$82,AG214*1,(IF(Z214=$Z$81,AG214*1,0))))</f>
        <v>0</v>
      </c>
      <c r="BH214" s="174">
        <f>IF(AA214&gt;0,0,IF(Z214=$Z$83,AG214*1,IF(Z214=$Z$81,AG214*1,0)))</f>
        <v>0</v>
      </c>
      <c r="BI214" s="174">
        <f>IF(AA214&gt;0,0,IF(Z214=$Z$84,AG214*1,IF(Z214=$Z$93,AG214*2,IF(Z214=$Z$100,AG214,IF(Z214=$Z$81,AG214*2,IF(Z214=$Z$80,AG214*1,IF(Z214=$Z$79,AG214*3,IF(Z214=$Z$78,AG214*2,0))))))))</f>
        <v>0</v>
      </c>
      <c r="BJ214" s="174">
        <f>IF(AA214&gt;0,0,IF(Z214=$Z$85,AG214,IF(Z214=$Z$93,AG214,IF(Z214=$Z$100,AG214,IF(Z214=$Z$81,AG214*1,IF(Z214=$Z$80,AG214*2,IF(Z214=$Z$79,AG214*2,IF(Z214=$Z$78,AG214*2,0))))))))</f>
        <v>0</v>
      </c>
      <c r="BK214" s="174">
        <f>IF(AA214&gt;0,0,IF(Z214=$Z$92,AG214,0))</f>
        <v>0</v>
      </c>
      <c r="BL214" s="174">
        <f>IF(AA214&gt;0,0,IF(Z214=$Z$91,AG214,0))</f>
        <v>0</v>
      </c>
      <c r="BM214" s="174">
        <f>IF(AA214&gt;0,0,IF(Z214=$Z$86,AG214,0))</f>
        <v>0</v>
      </c>
      <c r="BN214" s="174">
        <f>IF(AA214&gt;0,0,IF(Z214=$Z$87,AG214,0))</f>
        <v>0</v>
      </c>
      <c r="BO214" s="174">
        <f>IF(AA214&gt;0,0,IF(Z214=$Z$88,AG214,0))</f>
        <v>0</v>
      </c>
      <c r="BP214" s="174">
        <f>IF(AA214&gt;0,0,IF(Z214=$Z$89,AG214,0))</f>
        <v>0</v>
      </c>
      <c r="BQ214" s="174">
        <f>IF(AA214&gt;0,0,IF(Z214=$Z$90,AG214,0))</f>
        <v>0</v>
      </c>
      <c r="BR214" s="174">
        <f>IF(Z214=$Z$82,AA214*AG214,0)</f>
        <v>0</v>
      </c>
      <c r="BS214" s="174">
        <f>IF(Z214=$Z$83,AA214*AG214,0)</f>
        <v>0</v>
      </c>
      <c r="BT214" s="174">
        <f>IF(AA214&lt;1,0,IF(Z214=$Z$84,AA214*AG214,IF(Z214=$Z$93,"ERRO",IF(Z214=$Z$100,"ERRO",0))))</f>
        <v>0</v>
      </c>
      <c r="BU214" s="174">
        <f>IF(AA214&lt;1,0,IF(Z214=$Z$85,AA214*AG214,IF(Z214=$Z$93,"ERRO",IF(Z214=$Z$100,"ERRO",0))))</f>
        <v>0</v>
      </c>
      <c r="BV214" s="174">
        <f>IF(Z214=$Z$92,AA214*AG214,0)</f>
        <v>0</v>
      </c>
      <c r="BW214" s="174">
        <f>IF(Z214=$Z$91,AA214*AG214,0)</f>
        <v>0</v>
      </c>
      <c r="BX214" s="174">
        <f>IF(Z214=$Z$86,AA214*AG214,0)</f>
        <v>0</v>
      </c>
      <c r="BY214" s="174">
        <f>IF(Z214=$Z$87,AA214*AG214,0)</f>
        <v>0</v>
      </c>
      <c r="BZ214" s="174">
        <f>IF(Z214=$Z$88,AA214*AG214,0)</f>
        <v>0</v>
      </c>
      <c r="CA214" s="174">
        <f>IF(Z214=$Z$89,AA214*AG214,0)</f>
        <v>0</v>
      </c>
      <c r="CB214" s="174">
        <f>IF(Z214=$Z$90,AA214*AG214,0)</f>
        <v>0</v>
      </c>
      <c r="CC214" s="175">
        <f>IFERROR(IF(L214=$L$49,AG214*AH214*(1+AI214)*(1-AK214)*(1-AL214),0),0)</f>
        <v>0</v>
      </c>
      <c r="CD214" s="203">
        <f>IF(I214=$CD$97,1,IF(I214=$CD$100,2,IF(K214=$K$66,1,IF(K214=$K$69,1,3))))</f>
        <v>1</v>
      </c>
      <c r="CE214" s="203">
        <f t="shared" si="14"/>
        <v>1.07</v>
      </c>
      <c r="CF214" s="204">
        <f t="shared" si="33"/>
        <v>1.2353999999999998</v>
      </c>
      <c r="CG214" s="203">
        <f t="shared" si="15"/>
        <v>1.42</v>
      </c>
      <c r="CH214" s="204">
        <f t="shared" si="34"/>
        <v>1.5478000000000001</v>
      </c>
      <c r="CI214" s="203">
        <f t="shared" si="16"/>
        <v>1.7</v>
      </c>
      <c r="CJ214" s="205">
        <f t="shared" si="38"/>
        <v>1.0486</v>
      </c>
      <c r="CK214" s="205">
        <f t="shared" si="39"/>
        <v>1.148922</v>
      </c>
      <c r="CL214" s="205">
        <f t="shared" si="40"/>
        <v>1.3915999999999999</v>
      </c>
      <c r="CM214" s="205">
        <f t="shared" si="41"/>
        <v>1.501366</v>
      </c>
      <c r="CN214" s="206">
        <f t="shared" si="42"/>
        <v>1.6319999999999999</v>
      </c>
      <c r="CO214" s="204">
        <f t="shared" si="44"/>
        <v>1.006656</v>
      </c>
      <c r="CP214" s="207">
        <f t="shared" si="35"/>
        <v>0</v>
      </c>
      <c r="CQ214" s="208">
        <f t="shared" si="36"/>
        <v>0</v>
      </c>
      <c r="CR214" s="209">
        <f t="shared" si="37"/>
        <v>0</v>
      </c>
      <c r="CS214" s="49"/>
      <c r="CT214" s="49"/>
      <c r="CU214" s="49"/>
      <c r="CV214" s="49"/>
      <c r="CW214" s="49"/>
      <c r="CX214" s="49"/>
      <c r="CY214" s="49"/>
      <c r="CZ214" s="49"/>
      <c r="DA214" s="49"/>
      <c r="DB214" s="49"/>
      <c r="DC214" s="49"/>
      <c r="DD214" s="49"/>
      <c r="DE214" s="49"/>
      <c r="DF214" s="49"/>
      <c r="DG214" s="49"/>
      <c r="DH214" s="49"/>
      <c r="DI214" s="49"/>
      <c r="DJ214" s="49"/>
      <c r="DK214" s="49"/>
      <c r="DL214" s="49"/>
      <c r="DM214" s="49"/>
      <c r="DN214" s="49"/>
      <c r="DO214" s="49"/>
      <c r="DP214" s="49"/>
      <c r="DQ214" s="49"/>
      <c r="DR214" s="49"/>
      <c r="DS214" s="49"/>
      <c r="DT214" s="49"/>
      <c r="DU214" s="49"/>
      <c r="DV214" s="49"/>
      <c r="DW214" s="49"/>
      <c r="DX214" s="49"/>
      <c r="DY214" s="49"/>
      <c r="DZ214" s="49"/>
      <c r="EA214" s="49"/>
      <c r="EB214" s="49"/>
      <c r="EC214" s="49"/>
      <c r="ED214" s="49"/>
      <c r="EE214" s="49"/>
      <c r="EF214" s="49"/>
      <c r="EG214" s="49"/>
      <c r="EH214" s="49"/>
      <c r="EI214" s="49"/>
      <c r="EJ214" s="49"/>
      <c r="EK214" s="49"/>
      <c r="EL214" s="49"/>
      <c r="EM214" s="49"/>
      <c r="EN214" s="49"/>
      <c r="EO214" s="49"/>
      <c r="EP214" s="49"/>
      <c r="EQ214" s="49"/>
      <c r="ER214" s="49"/>
      <c r="ES214" s="49"/>
      <c r="ET214" s="49"/>
      <c r="EU214" s="49"/>
      <c r="EV214" s="49"/>
      <c r="EW214" s="49"/>
      <c r="EX214" s="49"/>
      <c r="EY214" s="49"/>
      <c r="EZ214" s="49"/>
      <c r="FA214" s="49"/>
    </row>
    <row r="215" spans="1:157" s="210" customFormat="1" x14ac:dyDescent="0.25">
      <c r="A215" s="113">
        <f>IF(AND('[1]Cockpit Retorno'!$E$67=Sim,Mestre!M215=Mestre!$M$98),0,1)</f>
        <v>1</v>
      </c>
      <c r="B215" s="113">
        <f>IF(AND('[1]Cockpit Retorno'!$E$67=Sim,Mestre!L215=Mestre!$L$48),0,1)</f>
        <v>1</v>
      </c>
      <c r="C215" s="113">
        <f>IF(AND('[1]Cockpit Retorno'!$E$67=Sim,Mestre!M215=Mestre!$M$97),0,1)</f>
        <v>1</v>
      </c>
      <c r="D215" s="148" t="s">
        <v>7</v>
      </c>
      <c r="E215" s="115"/>
      <c r="F215" s="116" t="s">
        <v>107</v>
      </c>
      <c r="G215" s="149">
        <v>2</v>
      </c>
      <c r="H215" s="150" t="s">
        <v>7</v>
      </c>
      <c r="I215" s="151" t="str">
        <f t="shared" si="26"/>
        <v>Mercadorias</v>
      </c>
      <c r="J215" s="150" t="s">
        <v>15</v>
      </c>
      <c r="K215" s="152" t="s">
        <v>7</v>
      </c>
      <c r="L215" s="153" t="s">
        <v>21</v>
      </c>
      <c r="M215" s="154" t="s">
        <v>368</v>
      </c>
      <c r="N215" s="155" t="s">
        <v>362</v>
      </c>
      <c r="O215" s="155" t="s">
        <v>363</v>
      </c>
      <c r="P215" s="155" t="s">
        <v>43</v>
      </c>
      <c r="Q215" s="155" t="s">
        <v>43</v>
      </c>
      <c r="R215" s="155" t="s">
        <v>43</v>
      </c>
      <c r="S215" s="156" t="s">
        <v>43</v>
      </c>
      <c r="T215" s="156" t="s">
        <v>43</v>
      </c>
      <c r="U215" s="150" t="s">
        <v>43</v>
      </c>
      <c r="V215" s="150" t="s">
        <v>43</v>
      </c>
      <c r="W215" s="150" t="s">
        <v>43</v>
      </c>
      <c r="X215" s="157" t="s">
        <v>369</v>
      </c>
      <c r="Y215" s="150" t="s">
        <v>43</v>
      </c>
      <c r="Z215" s="150" t="s">
        <v>43</v>
      </c>
      <c r="AA215" s="158">
        <v>0</v>
      </c>
      <c r="AB215" s="155" t="s">
        <v>43</v>
      </c>
      <c r="AC215" s="150" t="s">
        <v>43</v>
      </c>
      <c r="AD215" s="155" t="s">
        <v>43</v>
      </c>
      <c r="AE215" s="155"/>
      <c r="AF215" s="150" t="s">
        <v>43</v>
      </c>
      <c r="AG215" s="159">
        <f>150*(0.25*0.25)*74.72</f>
        <v>700.5</v>
      </c>
      <c r="AH215" s="159">
        <v>8.9280000000000008</v>
      </c>
      <c r="AI215" s="202">
        <v>0</v>
      </c>
      <c r="AJ215" s="161">
        <v>0.12</v>
      </c>
      <c r="AK215" s="162"/>
      <c r="AL215" s="163"/>
      <c r="AM215" s="164">
        <f>(((IF(L215=$L$101,1,IF(L215=$L$47,1,0))*(AH215*(1-AK215)))*AG215)*(1-AL215))</f>
        <v>0</v>
      </c>
      <c r="AN215" s="165">
        <f>IF(K215=$K$50,AM215,IF(K215=$K$53,AM215,IF(K215=$K$54,AM215,IF(K215=$K$55,AM215,IF(K215=$K$56,AM215,IF(K215=$K$57,AM215,IF(K215=$K$58,AM215,IF(K215=$K$65,AM215,IF(K215=$K$66,AM215,IF(K215=$K$67,AM215,IF(K215=$K$68,AM215,IF(K215=$K$69,AM215,IF(K215=$K$51,AM215,(AM215*(1+AI215)))))))))))))))</f>
        <v>0</v>
      </c>
      <c r="AO215" s="166">
        <v>1.4</v>
      </c>
      <c r="AP215" s="160">
        <f t="shared" si="27"/>
        <v>0</v>
      </c>
      <c r="AQ215" s="167">
        <f t="shared" si="43"/>
        <v>0</v>
      </c>
      <c r="AR215" s="160">
        <f t="shared" si="28"/>
        <v>0</v>
      </c>
      <c r="AS215" s="168">
        <f t="shared" si="29"/>
        <v>0</v>
      </c>
      <c r="AT215" s="169" t="str">
        <f>K215</f>
        <v>MI</v>
      </c>
      <c r="AU215" s="169" t="str">
        <f>I215</f>
        <v>Mercadorias</v>
      </c>
      <c r="AV215" s="170"/>
      <c r="AW215" s="171">
        <f>IF(K215=$K$50,0,IF(K215=$K$53,0,IF(K215=$K$54,0,IF(K215=$K$55,0,IF(K215=$K$56,0,IF(K215=$K$57,0,IF(K215=$K$58,0,IF(K215=$K$65,0,IF(K215=$K$66,0,IF(K215=$K$67,0,IF(K215=$K$68,0,IF(K215=$K$69,0,IF(K215=$K$51,0,1))))))))))))*AM215*AI215)</f>
        <v>0</v>
      </c>
      <c r="AX215" s="172">
        <f>IF(K215=$K$50,0,IF(K215=$K$53,0,IF(K215=$K$54,0,IF(K215=$K$55,0,IF(K215=$K$56,0,IF(K215=$K$57,0,IF(K215=$K$58,0,IF(K215=$K$65,0,IF(K215=$K$66,0,IF(K215=$K$67,0,IF(K215=$K$68,0,IF(K215=$K$69,0,IF(K215=$K$51,0,1))))))))))))*AM215*AJ215*$AX$94)</f>
        <v>0</v>
      </c>
      <c r="AY215" s="172">
        <f>IF(K215=$K$53,0,IF(K215=$K$54,0,IF(K215=$K$55,0,IF(K215=$K$56,0,IF(K215=$K$58,0,IF(K215=$K$50,0,IF(K215=$K$65,0,IF(K215=$K$57,0,IF(K215=$K$51,0,AM215*$AY$102)))))))))</f>
        <v>0</v>
      </c>
      <c r="AZ215" s="172">
        <f>IF(K215=$K$53,0,IF(K215=$K$54,0,IF(K215=$K$55,0,IF(K215=$K$56,0,IF(K215=$K$58,0,IF(K215=$K$50,0,IF(K215=$K$65,0,IF(K215=$K$57,0,IF(K215=$K$51,0,AM215*$AZ$102)))))))))</f>
        <v>0</v>
      </c>
      <c r="BA215" s="172">
        <f t="shared" si="30"/>
        <v>0</v>
      </c>
      <c r="BB215" s="173">
        <f>IF($BA$97=1,AQ215*$BB$102,IF(K215=$K$50,0,IF(K215=$K$53,0,IF(K215=$K$54,0,IF(K215=$K$55,0,IF(K215=$K$56,0,IF(K215=$K$57,0,IF(K215=$K$58,0,IF(K215=$K$65,0,IF(K215=$K$66,0,IF(K215=$K$67,0,IF(K215=$K$68,0,IF(K215=$K$69,0,IF(K215=$K$51,0,1)))))))))))*AQ215*$BB$102)))</f>
        <v>0</v>
      </c>
      <c r="BC215" s="172">
        <f t="shared" si="31"/>
        <v>0</v>
      </c>
      <c r="BD215" s="172">
        <f t="shared" si="32"/>
        <v>0</v>
      </c>
      <c r="BE215" s="172">
        <f>IF($BE$95=I215,$BE$97,IF(I215=$BE$96,$BE$97,1))*($BE$102*AQ215)*$AZ$97</f>
        <v>0</v>
      </c>
      <c r="BF215" s="172">
        <f>IF('[1]Cockpit Retorno'!$C$65=Sim,Mestre!BA215,SUM(BB215:BE215)+(IF(K215=$K$56,AQ215*MOE_IRRF_LR,0)))</f>
        <v>0</v>
      </c>
      <c r="BG215" s="174">
        <f>IF(AA215&gt;0,0,IF(Z215=$Z$82,AG215*1,(IF(Z215=$Z$81,AG215*1,0))))</f>
        <v>0</v>
      </c>
      <c r="BH215" s="174">
        <f>IF(AA215&gt;0,0,IF(Z215=$Z$83,AG215*1,IF(Z215=$Z$81,AG215*1,0)))</f>
        <v>0</v>
      </c>
      <c r="BI215" s="174">
        <f>IF(AA215&gt;0,0,IF(Z215=$Z$84,AG215*1,IF(Z215=$Z$93,AG215*2,IF(Z215=$Z$100,AG215,IF(Z215=$Z$81,AG215*2,IF(Z215=$Z$80,AG215*1,IF(Z215=$Z$79,AG215*3,IF(Z215=$Z$78,AG215*2,0))))))))</f>
        <v>0</v>
      </c>
      <c r="BJ215" s="174">
        <f>IF(AA215&gt;0,0,IF(Z215=$Z$85,AG215,IF(Z215=$Z$93,AG215,IF(Z215=$Z$100,AG215,IF(Z215=$Z$81,AG215*1,IF(Z215=$Z$80,AG215*2,IF(Z215=$Z$79,AG215*2,IF(Z215=$Z$78,AG215*2,0))))))))</f>
        <v>0</v>
      </c>
      <c r="BK215" s="174">
        <f>IF(AA215&gt;0,0,IF(Z215=$Z$92,AG215,0))</f>
        <v>0</v>
      </c>
      <c r="BL215" s="174">
        <f>IF(AA215&gt;0,0,IF(Z215=$Z$91,AG215,0))</f>
        <v>0</v>
      </c>
      <c r="BM215" s="174">
        <f>IF(AA215&gt;0,0,IF(Z215=$Z$86,AG215,0))</f>
        <v>0</v>
      </c>
      <c r="BN215" s="174">
        <f>IF(AA215&gt;0,0,IF(Z215=$Z$87,AG215,0))</f>
        <v>0</v>
      </c>
      <c r="BO215" s="174">
        <f>IF(AA215&gt;0,0,IF(Z215=$Z$88,AG215,0))</f>
        <v>0</v>
      </c>
      <c r="BP215" s="174">
        <f>IF(AA215&gt;0,0,IF(Z215=$Z$89,AG215,0))</f>
        <v>0</v>
      </c>
      <c r="BQ215" s="174">
        <f>IF(AA215&gt;0,0,IF(Z215=$Z$90,AG215,0))</f>
        <v>0</v>
      </c>
      <c r="BR215" s="174">
        <f>IF(Z215=$Z$82,AA215*AG215,0)</f>
        <v>0</v>
      </c>
      <c r="BS215" s="174">
        <f>IF(Z215=$Z$83,AA215*AG215,0)</f>
        <v>0</v>
      </c>
      <c r="BT215" s="174">
        <f>IF(AA215&lt;1,0,IF(Z215=$Z$84,AA215*AG215,IF(Z215=$Z$93,"ERRO",IF(Z215=$Z$100,"ERRO",0))))</f>
        <v>0</v>
      </c>
      <c r="BU215" s="174">
        <f>IF(AA215&lt;1,0,IF(Z215=$Z$85,AA215*AG215,IF(Z215=$Z$93,"ERRO",IF(Z215=$Z$100,"ERRO",0))))</f>
        <v>0</v>
      </c>
      <c r="BV215" s="174">
        <f>IF(Z215=$Z$92,AA215*AG215,0)</f>
        <v>0</v>
      </c>
      <c r="BW215" s="174">
        <f>IF(Z215=$Z$91,AA215*AG215,0)</f>
        <v>0</v>
      </c>
      <c r="BX215" s="174">
        <f>IF(Z215=$Z$86,AA215*AG215,0)</f>
        <v>0</v>
      </c>
      <c r="BY215" s="174">
        <f>IF(Z215=$Z$87,AA215*AG215,0)</f>
        <v>0</v>
      </c>
      <c r="BZ215" s="174">
        <f>IF(Z215=$Z$88,AA215*AG215,0)</f>
        <v>0</v>
      </c>
      <c r="CA215" s="174">
        <f>IF(Z215=$Z$89,AA215*AG215,0)</f>
        <v>0</v>
      </c>
      <c r="CB215" s="174">
        <f>IF(Z215=$Z$90,AA215*AG215,0)</f>
        <v>0</v>
      </c>
      <c r="CC215" s="175">
        <f>IFERROR(IF(L215=$L$49,AG215*AH215*(1+AI215)*(1-AK215)*(1-AL215),0),0)</f>
        <v>6254.0640000000003</v>
      </c>
      <c r="CD215" s="203">
        <f>IF(I215=$CD$97,1,IF(I215=$CD$100,2,IF(K215=$K$66,1,IF(K215=$K$69,1,3))))</f>
        <v>1</v>
      </c>
      <c r="CE215" s="203">
        <f t="shared" si="14"/>
        <v>1.07</v>
      </c>
      <c r="CF215" s="204">
        <f t="shared" si="33"/>
        <v>1.2353999999999998</v>
      </c>
      <c r="CG215" s="203">
        <f t="shared" si="15"/>
        <v>1.42</v>
      </c>
      <c r="CH215" s="204">
        <f t="shared" si="34"/>
        <v>1.5478000000000001</v>
      </c>
      <c r="CI215" s="203">
        <f t="shared" si="16"/>
        <v>1.7</v>
      </c>
      <c r="CJ215" s="205">
        <f t="shared" si="38"/>
        <v>1.0486</v>
      </c>
      <c r="CK215" s="205">
        <f t="shared" si="39"/>
        <v>1.148922</v>
      </c>
      <c r="CL215" s="205">
        <f t="shared" si="40"/>
        <v>1.3915999999999999</v>
      </c>
      <c r="CM215" s="205">
        <f t="shared" si="41"/>
        <v>1.501366</v>
      </c>
      <c r="CN215" s="206">
        <f t="shared" si="42"/>
        <v>1.6319999999999999</v>
      </c>
      <c r="CO215" s="204">
        <f t="shared" si="44"/>
        <v>1.006656</v>
      </c>
      <c r="CP215" s="207">
        <f t="shared" si="35"/>
        <v>0</v>
      </c>
      <c r="CQ215" s="208">
        <f t="shared" si="36"/>
        <v>0</v>
      </c>
      <c r="CR215" s="209">
        <f t="shared" si="37"/>
        <v>0</v>
      </c>
      <c r="CS215" s="49"/>
      <c r="CT215" s="49"/>
      <c r="CU215" s="49"/>
      <c r="CV215" s="49"/>
      <c r="CW215" s="49"/>
      <c r="CX215" s="49"/>
      <c r="CY215" s="49"/>
      <c r="CZ215" s="49"/>
      <c r="DA215" s="49"/>
      <c r="DB215" s="49"/>
      <c r="DC215" s="49"/>
      <c r="DD215" s="49"/>
      <c r="DE215" s="49"/>
      <c r="DF215" s="49"/>
      <c r="DG215" s="49"/>
      <c r="DH215" s="49"/>
      <c r="DI215" s="49"/>
      <c r="DJ215" s="49"/>
      <c r="DK215" s="49"/>
      <c r="DL215" s="49"/>
      <c r="DM215" s="49"/>
      <c r="DN215" s="49"/>
      <c r="DO215" s="49"/>
      <c r="DP215" s="49"/>
      <c r="DQ215" s="49"/>
      <c r="DR215" s="49"/>
      <c r="DS215" s="49"/>
      <c r="DT215" s="49"/>
      <c r="DU215" s="49"/>
      <c r="DV215" s="49"/>
      <c r="DW215" s="49"/>
      <c r="DX215" s="49"/>
      <c r="DY215" s="49"/>
      <c r="DZ215" s="49"/>
      <c r="EA215" s="49"/>
      <c r="EB215" s="49"/>
      <c r="EC215" s="49"/>
      <c r="ED215" s="49"/>
      <c r="EE215" s="49"/>
      <c r="EF215" s="49"/>
      <c r="EG215" s="49"/>
      <c r="EH215" s="49"/>
      <c r="EI215" s="49"/>
      <c r="EJ215" s="49"/>
      <c r="EK215" s="49"/>
      <c r="EL215" s="49"/>
      <c r="EM215" s="49"/>
      <c r="EN215" s="49"/>
      <c r="EO215" s="49"/>
      <c r="EP215" s="49"/>
      <c r="EQ215" s="49"/>
      <c r="ER215" s="49"/>
      <c r="ES215" s="49"/>
      <c r="ET215" s="49"/>
      <c r="EU215" s="49"/>
      <c r="EV215" s="49"/>
      <c r="EW215" s="49"/>
      <c r="EX215" s="49"/>
      <c r="EY215" s="49"/>
      <c r="EZ215" s="49"/>
      <c r="FA215" s="49"/>
    </row>
    <row r="216" spans="1:157" s="210" customFormat="1" x14ac:dyDescent="0.25">
      <c r="A216" s="113">
        <f>IF(AND('[1]Cockpit Retorno'!$E$67=Sim,Mestre!M216=Mestre!$M$98),0,1)</f>
        <v>1</v>
      </c>
      <c r="B216" s="113">
        <f>IF(AND('[1]Cockpit Retorno'!$E$67=Sim,Mestre!L216=Mestre!$L$48),0,1)</f>
        <v>1</v>
      </c>
      <c r="C216" s="113">
        <f>IF(AND('[1]Cockpit Retorno'!$E$67=Sim,Mestre!M216=Mestre!$M$97),0,1)</f>
        <v>1</v>
      </c>
      <c r="D216" s="148" t="s">
        <v>7</v>
      </c>
      <c r="E216" s="115"/>
      <c r="F216" s="116" t="s">
        <v>107</v>
      </c>
      <c r="G216" s="149">
        <v>2</v>
      </c>
      <c r="H216" s="150" t="s">
        <v>7</v>
      </c>
      <c r="I216" s="151" t="str">
        <f t="shared" si="26"/>
        <v>Mercadorias</v>
      </c>
      <c r="J216" s="150" t="s">
        <v>15</v>
      </c>
      <c r="K216" s="152" t="s">
        <v>7</v>
      </c>
      <c r="L216" s="153" t="s">
        <v>21</v>
      </c>
      <c r="M216" s="154" t="s">
        <v>368</v>
      </c>
      <c r="N216" s="155" t="s">
        <v>362</v>
      </c>
      <c r="O216" s="155" t="s">
        <v>363</v>
      </c>
      <c r="P216" s="155" t="s">
        <v>43</v>
      </c>
      <c r="Q216" s="155" t="s">
        <v>43</v>
      </c>
      <c r="R216" s="155" t="s">
        <v>43</v>
      </c>
      <c r="S216" s="156" t="s">
        <v>43</v>
      </c>
      <c r="T216" s="156" t="s">
        <v>43</v>
      </c>
      <c r="U216" s="150" t="s">
        <v>43</v>
      </c>
      <c r="V216" s="150" t="s">
        <v>43</v>
      </c>
      <c r="W216" s="150" t="s">
        <v>43</v>
      </c>
      <c r="X216" s="157" t="s">
        <v>369</v>
      </c>
      <c r="Y216" s="150" t="s">
        <v>43</v>
      </c>
      <c r="Z216" s="150" t="s">
        <v>43</v>
      </c>
      <c r="AA216" s="158">
        <v>0</v>
      </c>
      <c r="AB216" s="155" t="s">
        <v>43</v>
      </c>
      <c r="AC216" s="150" t="s">
        <v>43</v>
      </c>
      <c r="AD216" s="155" t="s">
        <v>43</v>
      </c>
      <c r="AE216" s="155"/>
      <c r="AF216" s="150" t="s">
        <v>43</v>
      </c>
      <c r="AG216" s="159">
        <f>150*(0.25*0.25)*74.72*0</f>
        <v>0</v>
      </c>
      <c r="AH216" s="159">
        <v>17.856000000000002</v>
      </c>
      <c r="AI216" s="202">
        <v>0</v>
      </c>
      <c r="AJ216" s="161">
        <v>0.12</v>
      </c>
      <c r="AK216" s="162"/>
      <c r="AL216" s="163"/>
      <c r="AM216" s="164">
        <f>(((IF(L216=$L$101,1,IF(L216=$L$47,1,0))*(AH216*(1-AK216)))*AG216)*(1-AL216))</f>
        <v>0</v>
      </c>
      <c r="AN216" s="165">
        <f>IF(K216=$K$50,AM216,IF(K216=$K$53,AM216,IF(K216=$K$54,AM216,IF(K216=$K$55,AM216,IF(K216=$K$56,AM216,IF(K216=$K$57,AM216,IF(K216=$K$58,AM216,IF(K216=$K$65,AM216,IF(K216=$K$66,AM216,IF(K216=$K$67,AM216,IF(K216=$K$68,AM216,IF(K216=$K$69,AM216,IF(K216=$K$51,AM216,(AM216*(1+AI216)))))))))))))))</f>
        <v>0</v>
      </c>
      <c r="AO216" s="166">
        <v>1.4</v>
      </c>
      <c r="AP216" s="160">
        <f t="shared" si="27"/>
        <v>0</v>
      </c>
      <c r="AQ216" s="167">
        <f t="shared" si="43"/>
        <v>0</v>
      </c>
      <c r="AR216" s="160">
        <f t="shared" si="28"/>
        <v>0</v>
      </c>
      <c r="AS216" s="168">
        <f t="shared" si="29"/>
        <v>0</v>
      </c>
      <c r="AT216" s="169" t="str">
        <f>K216</f>
        <v>MI</v>
      </c>
      <c r="AU216" s="169" t="str">
        <f>I216</f>
        <v>Mercadorias</v>
      </c>
      <c r="AV216" s="170"/>
      <c r="AW216" s="171">
        <f>IF(K216=$K$50,0,IF(K216=$K$53,0,IF(K216=$K$54,0,IF(K216=$K$55,0,IF(K216=$K$56,0,IF(K216=$K$57,0,IF(K216=$K$58,0,IF(K216=$K$65,0,IF(K216=$K$66,0,IF(K216=$K$67,0,IF(K216=$K$68,0,IF(K216=$K$69,0,IF(K216=$K$51,0,1))))))))))))*AM216*AI216)</f>
        <v>0</v>
      </c>
      <c r="AX216" s="172">
        <f>IF(K216=$K$50,0,IF(K216=$K$53,0,IF(K216=$K$54,0,IF(K216=$K$55,0,IF(K216=$K$56,0,IF(K216=$K$57,0,IF(K216=$K$58,0,IF(K216=$K$65,0,IF(K216=$K$66,0,IF(K216=$K$67,0,IF(K216=$K$68,0,IF(K216=$K$69,0,IF(K216=$K$51,0,1))))))))))))*AM216*AJ216*$AX$94)</f>
        <v>0</v>
      </c>
      <c r="AY216" s="172">
        <f>IF(K216=$K$53,0,IF(K216=$K$54,0,IF(K216=$K$55,0,IF(K216=$K$56,0,IF(K216=$K$58,0,IF(K216=$K$50,0,IF(K216=$K$65,0,IF(K216=$K$57,0,IF(K216=$K$51,0,AM216*$AY$102)))))))))</f>
        <v>0</v>
      </c>
      <c r="AZ216" s="172">
        <f>IF(K216=$K$53,0,IF(K216=$K$54,0,IF(K216=$K$55,0,IF(K216=$K$56,0,IF(K216=$K$58,0,IF(K216=$K$50,0,IF(K216=$K$65,0,IF(K216=$K$57,0,IF(K216=$K$51,0,AM216*$AZ$102)))))))))</f>
        <v>0</v>
      </c>
      <c r="BA216" s="172">
        <f t="shared" si="30"/>
        <v>0</v>
      </c>
      <c r="BB216" s="173">
        <f>IF($BA$97=1,AQ216*$BB$102,IF(K216=$K$50,0,IF(K216=$K$53,0,IF(K216=$K$54,0,IF(K216=$K$55,0,IF(K216=$K$56,0,IF(K216=$K$57,0,IF(K216=$K$58,0,IF(K216=$K$65,0,IF(K216=$K$66,0,IF(K216=$K$67,0,IF(K216=$K$68,0,IF(K216=$K$69,0,IF(K216=$K$51,0,1)))))))))))*AQ216*$BB$102)))</f>
        <v>0</v>
      </c>
      <c r="BC216" s="172">
        <f t="shared" si="31"/>
        <v>0</v>
      </c>
      <c r="BD216" s="172">
        <f t="shared" si="32"/>
        <v>0</v>
      </c>
      <c r="BE216" s="172">
        <f>IF($BE$95=I216,$BE$97,IF(I216=$BE$96,$BE$97,1))*($BE$102*AQ216)*$AZ$97</f>
        <v>0</v>
      </c>
      <c r="BF216" s="172">
        <f>IF('[1]Cockpit Retorno'!$C$65=Sim,Mestre!BA216,SUM(BB216:BE216)+(IF(K216=$K$56,AQ216*MOE_IRRF_LR,0)))</f>
        <v>0</v>
      </c>
      <c r="BG216" s="174">
        <f>IF(AA216&gt;0,0,IF(Z216=$Z$82,AG216*1,(IF(Z216=$Z$81,AG216*1,0))))</f>
        <v>0</v>
      </c>
      <c r="BH216" s="174">
        <f>IF(AA216&gt;0,0,IF(Z216=$Z$83,AG216*1,IF(Z216=$Z$81,AG216*1,0)))</f>
        <v>0</v>
      </c>
      <c r="BI216" s="174">
        <f>IF(AA216&gt;0,0,IF(Z216=$Z$84,AG216*1,IF(Z216=$Z$93,AG216*2,IF(Z216=$Z$100,AG216,IF(Z216=$Z$81,AG216*2,IF(Z216=$Z$80,AG216*1,IF(Z216=$Z$79,AG216*3,IF(Z216=$Z$78,AG216*2,0))))))))</f>
        <v>0</v>
      </c>
      <c r="BJ216" s="174">
        <f>IF(AA216&gt;0,0,IF(Z216=$Z$85,AG216,IF(Z216=$Z$93,AG216,IF(Z216=$Z$100,AG216,IF(Z216=$Z$81,AG216*1,IF(Z216=$Z$80,AG216*2,IF(Z216=$Z$79,AG216*2,IF(Z216=$Z$78,AG216*2,0))))))))</f>
        <v>0</v>
      </c>
      <c r="BK216" s="174">
        <f>IF(AA216&gt;0,0,IF(Z216=$Z$92,AG216,0))</f>
        <v>0</v>
      </c>
      <c r="BL216" s="174">
        <f>IF(AA216&gt;0,0,IF(Z216=$Z$91,AG216,0))</f>
        <v>0</v>
      </c>
      <c r="BM216" s="174">
        <f>IF(AA216&gt;0,0,IF(Z216=$Z$86,AG216,0))</f>
        <v>0</v>
      </c>
      <c r="BN216" s="174">
        <f>IF(AA216&gt;0,0,IF(Z216=$Z$87,AG216,0))</f>
        <v>0</v>
      </c>
      <c r="BO216" s="174">
        <f>IF(AA216&gt;0,0,IF(Z216=$Z$88,AG216,0))</f>
        <v>0</v>
      </c>
      <c r="BP216" s="174">
        <f>IF(AA216&gt;0,0,IF(Z216=$Z$89,AG216,0))</f>
        <v>0</v>
      </c>
      <c r="BQ216" s="174">
        <f>IF(AA216&gt;0,0,IF(Z216=$Z$90,AG216,0))</f>
        <v>0</v>
      </c>
      <c r="BR216" s="174">
        <f>IF(Z216=$Z$82,AA216*AG216,0)</f>
        <v>0</v>
      </c>
      <c r="BS216" s="174">
        <f>IF(Z216=$Z$83,AA216*AG216,0)</f>
        <v>0</v>
      </c>
      <c r="BT216" s="174">
        <f>IF(AA216&lt;1,0,IF(Z216=$Z$84,AA216*AG216,IF(Z216=$Z$93,"ERRO",IF(Z216=$Z$100,"ERRO",0))))</f>
        <v>0</v>
      </c>
      <c r="BU216" s="174">
        <f>IF(AA216&lt;1,0,IF(Z216=$Z$85,AA216*AG216,IF(Z216=$Z$93,"ERRO",IF(Z216=$Z$100,"ERRO",0))))</f>
        <v>0</v>
      </c>
      <c r="BV216" s="174">
        <f>IF(Z216=$Z$92,AA216*AG216,0)</f>
        <v>0</v>
      </c>
      <c r="BW216" s="174">
        <f>IF(Z216=$Z$91,AA216*AG216,0)</f>
        <v>0</v>
      </c>
      <c r="BX216" s="174">
        <f>IF(Z216=$Z$86,AA216*AG216,0)</f>
        <v>0</v>
      </c>
      <c r="BY216" s="174">
        <f>IF(Z216=$Z$87,AA216*AG216,0)</f>
        <v>0</v>
      </c>
      <c r="BZ216" s="174">
        <f>IF(Z216=$Z$88,AA216*AG216,0)</f>
        <v>0</v>
      </c>
      <c r="CA216" s="174">
        <f>IF(Z216=$Z$89,AA216*AG216,0)</f>
        <v>0</v>
      </c>
      <c r="CB216" s="174">
        <f>IF(Z216=$Z$90,AA216*AG216,0)</f>
        <v>0</v>
      </c>
      <c r="CC216" s="175">
        <f>IFERROR(IF(L216=$L$49,AG216*AH216*(1+AI216)*(1-AK216)*(1-AL216),0),0)</f>
        <v>0</v>
      </c>
      <c r="CD216" s="203">
        <f>IF(I216=$CD$97,1,IF(I216=$CD$100,2,IF(K216=$K$66,1,IF(K216=$K$69,1,3))))</f>
        <v>1</v>
      </c>
      <c r="CE216" s="203">
        <f t="shared" si="14"/>
        <v>1.07</v>
      </c>
      <c r="CF216" s="204">
        <f t="shared" si="33"/>
        <v>1.2353999999999998</v>
      </c>
      <c r="CG216" s="203">
        <f t="shared" si="15"/>
        <v>1.42</v>
      </c>
      <c r="CH216" s="204">
        <f t="shared" si="34"/>
        <v>1.5478000000000001</v>
      </c>
      <c r="CI216" s="203">
        <f t="shared" si="16"/>
        <v>1.7</v>
      </c>
      <c r="CJ216" s="205">
        <f t="shared" si="38"/>
        <v>1.0486</v>
      </c>
      <c r="CK216" s="205">
        <f t="shared" si="39"/>
        <v>1.148922</v>
      </c>
      <c r="CL216" s="205">
        <f t="shared" si="40"/>
        <v>1.3915999999999999</v>
      </c>
      <c r="CM216" s="205">
        <f t="shared" si="41"/>
        <v>1.501366</v>
      </c>
      <c r="CN216" s="206">
        <f t="shared" si="42"/>
        <v>1.6319999999999999</v>
      </c>
      <c r="CO216" s="204">
        <f t="shared" si="44"/>
        <v>1.006656</v>
      </c>
      <c r="CP216" s="207">
        <f t="shared" si="35"/>
        <v>0</v>
      </c>
      <c r="CQ216" s="208">
        <f t="shared" si="36"/>
        <v>0</v>
      </c>
      <c r="CR216" s="209">
        <f t="shared" si="37"/>
        <v>0</v>
      </c>
      <c r="CS216" s="49"/>
      <c r="CT216" s="49"/>
      <c r="CU216" s="49"/>
      <c r="CV216" s="49"/>
      <c r="CW216" s="49"/>
      <c r="CX216" s="49"/>
      <c r="CY216" s="49"/>
      <c r="CZ216" s="49"/>
      <c r="DA216" s="49"/>
      <c r="DB216" s="49"/>
      <c r="DC216" s="49"/>
      <c r="DD216" s="49"/>
      <c r="DE216" s="49"/>
      <c r="DF216" s="49"/>
      <c r="DG216" s="49"/>
      <c r="DH216" s="49"/>
      <c r="DI216" s="49"/>
      <c r="DJ216" s="49"/>
      <c r="DK216" s="49"/>
      <c r="DL216" s="49"/>
      <c r="DM216" s="49"/>
      <c r="DN216" s="49"/>
      <c r="DO216" s="49"/>
      <c r="DP216" s="49"/>
      <c r="DQ216" s="49"/>
      <c r="DR216" s="49"/>
      <c r="DS216" s="49"/>
      <c r="DT216" s="49"/>
      <c r="DU216" s="49"/>
      <c r="DV216" s="49"/>
      <c r="DW216" s="49"/>
      <c r="DX216" s="49"/>
      <c r="DY216" s="49"/>
      <c r="DZ216" s="49"/>
      <c r="EA216" s="49"/>
      <c r="EB216" s="49"/>
      <c r="EC216" s="49"/>
      <c r="ED216" s="49"/>
      <c r="EE216" s="49"/>
      <c r="EF216" s="49"/>
      <c r="EG216" s="49"/>
      <c r="EH216" s="49"/>
      <c r="EI216" s="49"/>
      <c r="EJ216" s="49"/>
      <c r="EK216" s="49"/>
      <c r="EL216" s="49"/>
      <c r="EM216" s="49"/>
      <c r="EN216" s="49"/>
      <c r="EO216" s="49"/>
      <c r="EP216" s="49"/>
      <c r="EQ216" s="49"/>
      <c r="ER216" s="49"/>
      <c r="ES216" s="49"/>
      <c r="ET216" s="49"/>
      <c r="EU216" s="49"/>
      <c r="EV216" s="49"/>
      <c r="EW216" s="49"/>
      <c r="EX216" s="49"/>
      <c r="EY216" s="49"/>
      <c r="EZ216" s="49"/>
      <c r="FA216" s="49"/>
    </row>
    <row r="217" spans="1:157" s="210" customFormat="1" ht="25.5" x14ac:dyDescent="0.25">
      <c r="A217" s="113">
        <f>IF(AND('[1]Cockpit Retorno'!$E$67=Sim,Mestre!M217=Mestre!$M$98),0,1)</f>
        <v>1</v>
      </c>
      <c r="B217" s="113">
        <f>IF(AND('[1]Cockpit Retorno'!$E$67=Sim,Mestre!L217=Mestre!$L$48),0,1)</f>
        <v>1</v>
      </c>
      <c r="C217" s="113">
        <f>IF(AND('[1]Cockpit Retorno'!$E$67=Sim,Mestre!M217=Mestre!$M$97),0,1)</f>
        <v>1</v>
      </c>
      <c r="D217" s="148" t="s">
        <v>7</v>
      </c>
      <c r="E217" s="115"/>
      <c r="F217" s="116" t="s">
        <v>107</v>
      </c>
      <c r="G217" s="149">
        <v>2</v>
      </c>
      <c r="H217" s="150" t="s">
        <v>7</v>
      </c>
      <c r="I217" s="151" t="str">
        <f t="shared" si="26"/>
        <v>Mercadorias</v>
      </c>
      <c r="J217" s="150" t="s">
        <v>15</v>
      </c>
      <c r="K217" s="152" t="s">
        <v>7</v>
      </c>
      <c r="L217" s="153" t="s">
        <v>21</v>
      </c>
      <c r="M217" s="154" t="s">
        <v>361</v>
      </c>
      <c r="N217" s="155" t="s">
        <v>370</v>
      </c>
      <c r="O217" s="155" t="s">
        <v>363</v>
      </c>
      <c r="P217" s="155" t="s">
        <v>43</v>
      </c>
      <c r="Q217" s="155" t="s">
        <v>43</v>
      </c>
      <c r="R217" s="155" t="s">
        <v>43</v>
      </c>
      <c r="S217" s="156" t="s">
        <v>43</v>
      </c>
      <c r="T217" s="156" t="s">
        <v>43</v>
      </c>
      <c r="U217" s="150" t="s">
        <v>43</v>
      </c>
      <c r="V217" s="150" t="s">
        <v>43</v>
      </c>
      <c r="W217" s="150" t="s">
        <v>43</v>
      </c>
      <c r="X217" s="157" t="s">
        <v>365</v>
      </c>
      <c r="Y217" s="150" t="s">
        <v>43</v>
      </c>
      <c r="Z217" s="150" t="s">
        <v>43</v>
      </c>
      <c r="AA217" s="158">
        <v>0</v>
      </c>
      <c r="AB217" s="155" t="s">
        <v>43</v>
      </c>
      <c r="AC217" s="150" t="s">
        <v>43</v>
      </c>
      <c r="AD217" s="155" t="s">
        <v>43</v>
      </c>
      <c r="AE217" s="155"/>
      <c r="AF217" s="150" t="s">
        <v>43</v>
      </c>
      <c r="AG217" s="159">
        <f>780*3/2*0.9*4.8</f>
        <v>5054.3999999999996</v>
      </c>
      <c r="AH217" s="159">
        <v>6.2310000000000008</v>
      </c>
      <c r="AI217" s="202">
        <v>0</v>
      </c>
      <c r="AJ217" s="161">
        <v>0.12</v>
      </c>
      <c r="AK217" s="162"/>
      <c r="AL217" s="163"/>
      <c r="AM217" s="164">
        <f>(((IF(L217=$L$101,1,IF(L217=$L$47,1,0))*(AH217*(1-AK217)))*AG217)*(1-AL217))</f>
        <v>0</v>
      </c>
      <c r="AN217" s="165">
        <f>IF(K217=$K$50,AM217,IF(K217=$K$53,AM217,IF(K217=$K$54,AM217,IF(K217=$K$55,AM217,IF(K217=$K$56,AM217,IF(K217=$K$57,AM217,IF(K217=$K$58,AM217,IF(K217=$K$65,AM217,IF(K217=$K$66,AM217,IF(K217=$K$67,AM217,IF(K217=$K$68,AM217,IF(K217=$K$69,AM217,IF(K217=$K$51,AM217,(AM217*(1+AI217)))))))))))))))</f>
        <v>0</v>
      </c>
      <c r="AO217" s="166">
        <v>1.4</v>
      </c>
      <c r="AP217" s="160">
        <f t="shared" si="27"/>
        <v>0</v>
      </c>
      <c r="AQ217" s="167">
        <f t="shared" si="43"/>
        <v>0</v>
      </c>
      <c r="AR217" s="160">
        <f t="shared" si="28"/>
        <v>0</v>
      </c>
      <c r="AS217" s="168">
        <f t="shared" si="29"/>
        <v>0</v>
      </c>
      <c r="AT217" s="169" t="str">
        <f>K217</f>
        <v>MI</v>
      </c>
      <c r="AU217" s="169" t="str">
        <f>I217</f>
        <v>Mercadorias</v>
      </c>
      <c r="AV217" s="170"/>
      <c r="AW217" s="171">
        <f>IF(K217=$K$50,0,IF(K217=$K$53,0,IF(K217=$K$54,0,IF(K217=$K$55,0,IF(K217=$K$56,0,IF(K217=$K$57,0,IF(K217=$K$58,0,IF(K217=$K$65,0,IF(K217=$K$66,0,IF(K217=$K$67,0,IF(K217=$K$68,0,IF(K217=$K$69,0,IF(K217=$K$51,0,1))))))))))))*AM217*AI217)</f>
        <v>0</v>
      </c>
      <c r="AX217" s="172">
        <f>IF(K217=$K$50,0,IF(K217=$K$53,0,IF(K217=$K$54,0,IF(K217=$K$55,0,IF(K217=$K$56,0,IF(K217=$K$57,0,IF(K217=$K$58,0,IF(K217=$K$65,0,IF(K217=$K$66,0,IF(K217=$K$67,0,IF(K217=$K$68,0,IF(K217=$K$69,0,IF(K217=$K$51,0,1))))))))))))*AM217*AJ217*$AX$94)</f>
        <v>0</v>
      </c>
      <c r="AY217" s="172">
        <f>IF(K217=$K$53,0,IF(K217=$K$54,0,IF(K217=$K$55,0,IF(K217=$K$56,0,IF(K217=$K$58,0,IF(K217=$K$50,0,IF(K217=$K$65,0,IF(K217=$K$57,0,IF(K217=$K$51,0,AM217*$AY$102)))))))))</f>
        <v>0</v>
      </c>
      <c r="AZ217" s="172">
        <f>IF(K217=$K$53,0,IF(K217=$K$54,0,IF(K217=$K$55,0,IF(K217=$K$56,0,IF(K217=$K$58,0,IF(K217=$K$50,0,IF(K217=$K$65,0,IF(K217=$K$57,0,IF(K217=$K$51,0,AM217*$AZ$102)))))))))</f>
        <v>0</v>
      </c>
      <c r="BA217" s="172">
        <f t="shared" si="30"/>
        <v>0</v>
      </c>
      <c r="BB217" s="173">
        <f>IF($BA$97=1,AQ217*$BB$102,IF(K217=$K$50,0,IF(K217=$K$53,0,IF(K217=$K$54,0,IF(K217=$K$55,0,IF(K217=$K$56,0,IF(K217=$K$57,0,IF(K217=$K$58,0,IF(K217=$K$65,0,IF(K217=$K$66,0,IF(K217=$K$67,0,IF(K217=$K$68,0,IF(K217=$K$69,0,IF(K217=$K$51,0,1)))))))))))*AQ217*$BB$102)))</f>
        <v>0</v>
      </c>
      <c r="BC217" s="172">
        <f t="shared" si="31"/>
        <v>0</v>
      </c>
      <c r="BD217" s="172">
        <f t="shared" si="32"/>
        <v>0</v>
      </c>
      <c r="BE217" s="172">
        <f>IF($BE$95=I217,$BE$97,IF(I217=$BE$96,$BE$97,1))*($BE$102*AQ217)*$AZ$97</f>
        <v>0</v>
      </c>
      <c r="BF217" s="172">
        <f>IF('[1]Cockpit Retorno'!$C$65=Sim,Mestre!BA217,SUM(BB217:BE217)+(IF(K217=$K$56,AQ217*MOE_IRRF_LR,0)))</f>
        <v>0</v>
      </c>
      <c r="BG217" s="174">
        <f>IF(AA217&gt;0,0,IF(Z217=$Z$82,AG217*1,(IF(Z217=$Z$81,AG217*1,0))))</f>
        <v>0</v>
      </c>
      <c r="BH217" s="174">
        <f>IF(AA217&gt;0,0,IF(Z217=$Z$83,AG217*1,IF(Z217=$Z$81,AG217*1,0)))</f>
        <v>0</v>
      </c>
      <c r="BI217" s="174">
        <f>IF(AA217&gt;0,0,IF(Z217=$Z$84,AG217*1,IF(Z217=$Z$93,AG217*2,IF(Z217=$Z$100,AG217,IF(Z217=$Z$81,AG217*2,IF(Z217=$Z$80,AG217*1,IF(Z217=$Z$79,AG217*3,IF(Z217=$Z$78,AG217*2,0))))))))</f>
        <v>0</v>
      </c>
      <c r="BJ217" s="174">
        <f>IF(AA217&gt;0,0,IF(Z217=$Z$85,AG217,IF(Z217=$Z$93,AG217,IF(Z217=$Z$100,AG217,IF(Z217=$Z$81,AG217*1,IF(Z217=$Z$80,AG217*2,IF(Z217=$Z$79,AG217*2,IF(Z217=$Z$78,AG217*2,0))))))))</f>
        <v>0</v>
      </c>
      <c r="BK217" s="174">
        <f>IF(AA217&gt;0,0,IF(Z217=$Z$92,AG217,0))</f>
        <v>0</v>
      </c>
      <c r="BL217" s="174">
        <f>IF(AA217&gt;0,0,IF(Z217=$Z$91,AG217,0))</f>
        <v>0</v>
      </c>
      <c r="BM217" s="174">
        <f>IF(AA217&gt;0,0,IF(Z217=$Z$86,AG217,0))</f>
        <v>0</v>
      </c>
      <c r="BN217" s="174">
        <f>IF(AA217&gt;0,0,IF(Z217=$Z$87,AG217,0))</f>
        <v>0</v>
      </c>
      <c r="BO217" s="174">
        <f>IF(AA217&gt;0,0,IF(Z217=$Z$88,AG217,0))</f>
        <v>0</v>
      </c>
      <c r="BP217" s="174">
        <f>IF(AA217&gt;0,0,IF(Z217=$Z$89,AG217,0))</f>
        <v>0</v>
      </c>
      <c r="BQ217" s="174">
        <f>IF(AA217&gt;0,0,IF(Z217=$Z$90,AG217,0))</f>
        <v>0</v>
      </c>
      <c r="BR217" s="174">
        <f>IF(Z217=$Z$82,AA217*AG217,0)</f>
        <v>0</v>
      </c>
      <c r="BS217" s="174">
        <f>IF(Z217=$Z$83,AA217*AG217,0)</f>
        <v>0</v>
      </c>
      <c r="BT217" s="174">
        <f>IF(AA217&lt;1,0,IF(Z217=$Z$84,AA217*AG217,IF(Z217=$Z$93,"ERRO",IF(Z217=$Z$100,"ERRO",0))))</f>
        <v>0</v>
      </c>
      <c r="BU217" s="174">
        <f>IF(AA217&lt;1,0,IF(Z217=$Z$85,AA217*AG217,IF(Z217=$Z$93,"ERRO",IF(Z217=$Z$100,"ERRO",0))))</f>
        <v>0</v>
      </c>
      <c r="BV217" s="174">
        <f>IF(Z217=$Z$92,AA217*AG217,0)</f>
        <v>0</v>
      </c>
      <c r="BW217" s="174">
        <f>IF(Z217=$Z$91,AA217*AG217,0)</f>
        <v>0</v>
      </c>
      <c r="BX217" s="174">
        <f>IF(Z217=$Z$86,AA217*AG217,0)</f>
        <v>0</v>
      </c>
      <c r="BY217" s="174">
        <f>IF(Z217=$Z$87,AA217*AG217,0)</f>
        <v>0</v>
      </c>
      <c r="BZ217" s="174">
        <f>IF(Z217=$Z$88,AA217*AG217,0)</f>
        <v>0</v>
      </c>
      <c r="CA217" s="174">
        <f>IF(Z217=$Z$89,AA217*AG217,0)</f>
        <v>0</v>
      </c>
      <c r="CB217" s="174">
        <f>IF(Z217=$Z$90,AA217*AG217,0)</f>
        <v>0</v>
      </c>
      <c r="CC217" s="175">
        <f>IFERROR(IF(L217=$L$49,AG217*AH217*(1+AI217)*(1-AK217)*(1-AL217),0),0)</f>
        <v>31493.966400000001</v>
      </c>
      <c r="CD217" s="203">
        <f>IF(I217=$CD$97,1,IF(I217=$CD$100,2,IF(K217=$K$66,1,IF(K217=$K$69,1,3))))</f>
        <v>1</v>
      </c>
      <c r="CE217" s="203">
        <f t="shared" si="14"/>
        <v>1.07</v>
      </c>
      <c r="CF217" s="204">
        <f t="shared" si="33"/>
        <v>1.2353999999999998</v>
      </c>
      <c r="CG217" s="203">
        <f t="shared" si="15"/>
        <v>1.42</v>
      </c>
      <c r="CH217" s="204">
        <f t="shared" si="34"/>
        <v>1.5478000000000001</v>
      </c>
      <c r="CI217" s="203">
        <f t="shared" si="16"/>
        <v>1.7</v>
      </c>
      <c r="CJ217" s="205">
        <f t="shared" si="38"/>
        <v>1.0486</v>
      </c>
      <c r="CK217" s="205">
        <f t="shared" si="39"/>
        <v>1.148922</v>
      </c>
      <c r="CL217" s="205">
        <f t="shared" si="40"/>
        <v>1.3915999999999999</v>
      </c>
      <c r="CM217" s="205">
        <f t="shared" si="41"/>
        <v>1.501366</v>
      </c>
      <c r="CN217" s="206">
        <f t="shared" si="42"/>
        <v>1.6319999999999999</v>
      </c>
      <c r="CO217" s="204">
        <f t="shared" si="44"/>
        <v>1.006656</v>
      </c>
      <c r="CP217" s="207">
        <f t="shared" si="35"/>
        <v>0</v>
      </c>
      <c r="CQ217" s="208">
        <f t="shared" si="36"/>
        <v>0</v>
      </c>
      <c r="CR217" s="209">
        <f t="shared" si="37"/>
        <v>0</v>
      </c>
      <c r="CS217" s="49"/>
      <c r="CT217" s="49"/>
      <c r="CU217" s="49"/>
      <c r="CV217" s="49"/>
      <c r="CW217" s="49"/>
      <c r="CX217" s="49"/>
      <c r="CY217" s="49"/>
      <c r="CZ217" s="49"/>
      <c r="DA217" s="49"/>
      <c r="DB217" s="49"/>
      <c r="DC217" s="49"/>
      <c r="DD217" s="49"/>
      <c r="DE217" s="49"/>
      <c r="DF217" s="49"/>
      <c r="DG217" s="49"/>
      <c r="DH217" s="49"/>
      <c r="DI217" s="49"/>
      <c r="DJ217" s="49"/>
      <c r="DK217" s="49"/>
      <c r="DL217" s="49"/>
      <c r="DM217" s="49"/>
      <c r="DN217" s="49"/>
      <c r="DO217" s="49"/>
      <c r="DP217" s="49"/>
      <c r="DQ217" s="49"/>
      <c r="DR217" s="49"/>
      <c r="DS217" s="49"/>
      <c r="DT217" s="49"/>
      <c r="DU217" s="49"/>
      <c r="DV217" s="49"/>
      <c r="DW217" s="49"/>
      <c r="DX217" s="49"/>
      <c r="DY217" s="49"/>
      <c r="DZ217" s="49"/>
      <c r="EA217" s="49"/>
      <c r="EB217" s="49"/>
      <c r="EC217" s="49"/>
      <c r="ED217" s="49"/>
      <c r="EE217" s="49"/>
      <c r="EF217" s="49"/>
      <c r="EG217" s="49"/>
      <c r="EH217" s="49"/>
      <c r="EI217" s="49"/>
      <c r="EJ217" s="49"/>
      <c r="EK217" s="49"/>
      <c r="EL217" s="49"/>
      <c r="EM217" s="49"/>
      <c r="EN217" s="49"/>
      <c r="EO217" s="49"/>
      <c r="EP217" s="49"/>
      <c r="EQ217" s="49"/>
      <c r="ER217" s="49"/>
      <c r="ES217" s="49"/>
      <c r="ET217" s="49"/>
      <c r="EU217" s="49"/>
      <c r="EV217" s="49"/>
      <c r="EW217" s="49"/>
      <c r="EX217" s="49"/>
      <c r="EY217" s="49"/>
      <c r="EZ217" s="49"/>
      <c r="FA217" s="49"/>
    </row>
    <row r="218" spans="1:157" s="210" customFormat="1" ht="25.5" x14ac:dyDescent="0.25">
      <c r="A218" s="113"/>
      <c r="B218" s="113"/>
      <c r="C218" s="113"/>
      <c r="D218" s="148"/>
      <c r="E218" s="115"/>
      <c r="F218" s="116"/>
      <c r="G218" s="149">
        <v>6</v>
      </c>
      <c r="H218" s="150" t="s">
        <v>7</v>
      </c>
      <c r="I218" s="151" t="str">
        <f t="shared" si="26"/>
        <v>Mercadorias</v>
      </c>
      <c r="J218" s="150" t="s">
        <v>15</v>
      </c>
      <c r="K218" s="152" t="s">
        <v>7</v>
      </c>
      <c r="L218" s="153" t="s">
        <v>21</v>
      </c>
      <c r="M218" s="154" t="s">
        <v>290</v>
      </c>
      <c r="N218" s="155" t="s">
        <v>370</v>
      </c>
      <c r="O218" s="155" t="s">
        <v>343</v>
      </c>
      <c r="P218" s="155"/>
      <c r="Q218" s="155"/>
      <c r="R218" s="155"/>
      <c r="S218" s="156"/>
      <c r="T218" s="156"/>
      <c r="U218" s="150"/>
      <c r="V218" s="150"/>
      <c r="W218" s="150"/>
      <c r="X218" s="157" t="s">
        <v>371</v>
      </c>
      <c r="Y218" s="150"/>
      <c r="Z218" s="150"/>
      <c r="AA218" s="158"/>
      <c r="AB218" s="155"/>
      <c r="AC218" s="150"/>
      <c r="AD218" s="155"/>
      <c r="AE218" s="155"/>
      <c r="AF218" s="150"/>
      <c r="AG218" s="159">
        <v>190</v>
      </c>
      <c r="AH218" s="159">
        <v>99.770400000000009</v>
      </c>
      <c r="AI218" s="202">
        <v>0</v>
      </c>
      <c r="AJ218" s="161">
        <v>7.0000000000000007E-2</v>
      </c>
      <c r="AK218" s="162">
        <v>0.05</v>
      </c>
      <c r="AL218" s="163"/>
      <c r="AM218" s="164">
        <f>(((IF(L218=$L$101,1,IF(L218=$L$47,1,0))*(AH218*(1-AK218)))*AG218)*(1-AL218))</f>
        <v>0</v>
      </c>
      <c r="AN218" s="165">
        <f>IF(K218=$K$50,AM218,IF(K218=$K$53,AM218,IF(K218=$K$54,AM218,IF(K218=$K$55,AM218,IF(K218=$K$56,AM218,IF(K218=$K$57,AM218,IF(K218=$K$58,AM218,IF(K218=$K$65,AM218,IF(K218=$K$66,AM218,IF(K218=$K$67,AM218,IF(K218=$K$68,AM218,IF(K218=$K$69,AM218,IF(K218=$K$51,AM218,(AM218*(1+AI218)))))))))))))))</f>
        <v>0</v>
      </c>
      <c r="AO218" s="166">
        <v>1.4</v>
      </c>
      <c r="AP218" s="160">
        <f t="shared" si="27"/>
        <v>0</v>
      </c>
      <c r="AQ218" s="167">
        <f t="shared" ref="AQ218:AQ277" si="45">AP218*Fator_Venda</f>
        <v>0</v>
      </c>
      <c r="AR218" s="160">
        <f t="shared" si="28"/>
        <v>0</v>
      </c>
      <c r="AS218" s="168">
        <f t="shared" si="29"/>
        <v>0</v>
      </c>
      <c r="AT218" s="169" t="str">
        <f>K218</f>
        <v>MI</v>
      </c>
      <c r="AU218" s="169" t="str">
        <f>I218</f>
        <v>Mercadorias</v>
      </c>
      <c r="AV218" s="170"/>
      <c r="AW218" s="171">
        <f>IF(K218=$K$50,0,IF(K218=$K$53,0,IF(K218=$K$54,0,IF(K218=$K$55,0,IF(K218=$K$56,0,IF(K218=$K$57,0,IF(K218=$K$58,0,IF(K218=$K$65,0,IF(K218=$K$66,0,IF(K218=$K$67,0,IF(K218=$K$68,0,IF(K218=$K$69,0,IF(K218=$K$51,0,1))))))))))))*AM218*AI218)</f>
        <v>0</v>
      </c>
      <c r="AX218" s="172">
        <f>IF(K218=$K$50,0,IF(K218=$K$53,0,IF(K218=$K$54,0,IF(K218=$K$55,0,IF(K218=$K$56,0,IF(K218=$K$57,0,IF(K218=$K$58,0,IF(K218=$K$65,0,IF(K218=$K$66,0,IF(K218=$K$67,0,IF(K218=$K$68,0,IF(K218=$K$69,0,IF(K218=$K$51,0,1))))))))))))*AM218*AJ218*$AX$94)</f>
        <v>0</v>
      </c>
      <c r="AY218" s="172">
        <f>IF(K218=$K$53,0,IF(K218=$K$54,0,IF(K218=$K$55,0,IF(K218=$K$56,0,IF(K218=$K$58,0,IF(K218=$K$50,0,IF(K218=$K$65,0,IF(K218=$K$57,0,IF(K218=$K$51,0,AM218*$AY$102)))))))))</f>
        <v>0</v>
      </c>
      <c r="AZ218" s="172">
        <f>IF(K218=$K$53,0,IF(K218=$K$54,0,IF(K218=$K$55,0,IF(K218=$K$56,0,IF(K218=$K$58,0,IF(K218=$K$50,0,IF(K218=$K$65,0,IF(K218=$K$57,0,IF(K218=$K$51,0,AM218*$AZ$102)))))))))</f>
        <v>0</v>
      </c>
      <c r="BA218" s="172">
        <f t="shared" si="30"/>
        <v>0</v>
      </c>
      <c r="BB218" s="173">
        <f>IF($BA$97=1,AQ218*$BB$102,IF(K218=$K$50,0,IF(K218=$K$53,0,IF(K218=$K$54,0,IF(K218=$K$55,0,IF(K218=$K$56,0,IF(K218=$K$57,0,IF(K218=$K$58,0,IF(K218=$K$65,0,IF(K218=$K$66,0,IF(K218=$K$67,0,IF(K218=$K$68,0,IF(K218=$K$69,0,IF(K218=$K$51,0,1)))))))))))*AQ218*$BB$102)))</f>
        <v>0</v>
      </c>
      <c r="BC218" s="172">
        <f t="shared" si="31"/>
        <v>0</v>
      </c>
      <c r="BD218" s="172">
        <f t="shared" si="32"/>
        <v>0</v>
      </c>
      <c r="BE218" s="172">
        <f>IF($BE$95=I218,$BE$97,IF(I218=$BE$96,$BE$97,1))*($BE$102*AQ218)*$AZ$97</f>
        <v>0</v>
      </c>
      <c r="BF218" s="172">
        <f>IF('[1]Cockpit Retorno'!$C$65=Sim,Mestre!BA218,SUM(BB218:BE218)+(IF(K218=$K$56,AQ218*MOE_IRRF_LR,0)))</f>
        <v>0</v>
      </c>
      <c r="BG218" s="174">
        <f>IF(AA218&gt;0,0,IF(Z218=$Z$82,AG218*1,(IF(Z218=$Z$81,AG218*1,0))))</f>
        <v>0</v>
      </c>
      <c r="BH218" s="174">
        <f>IF(AA218&gt;0,0,IF(Z218=$Z$83,AG218*1,IF(Z218=$Z$81,AG218*1,0)))</f>
        <v>0</v>
      </c>
      <c r="BI218" s="174">
        <f>IF(AA218&gt;0,0,IF(Z218=$Z$84,AG218*1,IF(Z218=$Z$93,AG218*2,IF(Z218=$Z$100,AG218,IF(Z218=$Z$81,AG218*2,IF(Z218=$Z$80,AG218*1,IF(Z218=$Z$79,AG218*3,IF(Z218=$Z$78,AG218*2,0))))))))</f>
        <v>0</v>
      </c>
      <c r="BJ218" s="174">
        <f>IF(AA218&gt;0,0,IF(Z218=$Z$85,AG218,IF(Z218=$Z$93,AG218,IF(Z218=$Z$100,AG218,IF(Z218=$Z$81,AG218*1,IF(Z218=$Z$80,AG218*2,IF(Z218=$Z$79,AG218*2,IF(Z218=$Z$78,AG218*2,0))))))))</f>
        <v>0</v>
      </c>
      <c r="BK218" s="174">
        <f>IF(AA218&gt;0,0,IF(Z218=$Z$92,AG218,0))</f>
        <v>0</v>
      </c>
      <c r="BL218" s="174">
        <f>IF(AA218&gt;0,0,IF(Z218=$Z$91,AG218,0))</f>
        <v>0</v>
      </c>
      <c r="BM218" s="174">
        <f>IF(AA218&gt;0,0,IF(Z218=$Z$86,AG218,0))</f>
        <v>0</v>
      </c>
      <c r="BN218" s="174">
        <f>IF(AA218&gt;0,0,IF(Z218=$Z$87,AG218,0))</f>
        <v>0</v>
      </c>
      <c r="BO218" s="174">
        <f>IF(AA218&gt;0,0,IF(Z218=$Z$88,AG218,0))</f>
        <v>0</v>
      </c>
      <c r="BP218" s="174">
        <f>IF(AA218&gt;0,0,IF(Z218=$Z$89,AG218,0))</f>
        <v>0</v>
      </c>
      <c r="BQ218" s="174">
        <f>IF(AA218&gt;0,0,IF(Z218=$Z$90,AG218,0))</f>
        <v>0</v>
      </c>
      <c r="BR218" s="174">
        <f>IF(Z218=$Z$82,AA218*AG218,0)</f>
        <v>0</v>
      </c>
      <c r="BS218" s="174">
        <f>IF(Z218=$Z$83,AA218*AG218,0)</f>
        <v>0</v>
      </c>
      <c r="BT218" s="174">
        <f>IF(AA218&lt;1,0,IF(Z218=$Z$84,AA218*AG218,IF(Z218=$Z$93,"ERRO",IF(Z218=$Z$100,"ERRO",0))))</f>
        <v>0</v>
      </c>
      <c r="BU218" s="174">
        <f>IF(AA218&lt;1,0,IF(Z218=$Z$85,AA218*AG218,IF(Z218=$Z$93,"ERRO",IF(Z218=$Z$100,"ERRO",0))))</f>
        <v>0</v>
      </c>
      <c r="BV218" s="174">
        <f>IF(Z218=$Z$92,AA218*AG218,0)</f>
        <v>0</v>
      </c>
      <c r="BW218" s="174">
        <f>IF(Z218=$Z$91,AA218*AG218,0)</f>
        <v>0</v>
      </c>
      <c r="BX218" s="174">
        <f>IF(Z218=$Z$86,AA218*AG218,0)</f>
        <v>0</v>
      </c>
      <c r="BY218" s="174">
        <f>IF(Z218=$Z$87,AA218*AG218,0)</f>
        <v>0</v>
      </c>
      <c r="BZ218" s="174">
        <f>IF(Z218=$Z$88,AA218*AG218,0)</f>
        <v>0</v>
      </c>
      <c r="CA218" s="174">
        <f>IF(Z218=$Z$89,AA218*AG218,0)</f>
        <v>0</v>
      </c>
      <c r="CB218" s="174">
        <f>IF(Z218=$Z$90,AA218*AG218,0)</f>
        <v>0</v>
      </c>
      <c r="CC218" s="175">
        <f>IFERROR(IF(L218=$L$49,AG218*AH218*(1+AI218)*(1-AK218)*(1-AL218),0),0)</f>
        <v>18008.557199999999</v>
      </c>
      <c r="CD218" s="203"/>
      <c r="CE218" s="203"/>
      <c r="CF218" s="204"/>
      <c r="CG218" s="203"/>
      <c r="CH218" s="204"/>
      <c r="CI218" s="203"/>
      <c r="CJ218" s="205"/>
      <c r="CK218" s="205"/>
      <c r="CL218" s="205"/>
      <c r="CM218" s="205"/>
      <c r="CN218" s="206"/>
      <c r="CO218" s="204"/>
      <c r="CP218" s="207"/>
      <c r="CQ218" s="208"/>
      <c r="CR218" s="209"/>
      <c r="CS218" s="49"/>
      <c r="CT218" s="49"/>
      <c r="CU218" s="49"/>
      <c r="CV218" s="49"/>
      <c r="CW218" s="49"/>
      <c r="CX218" s="49"/>
      <c r="CY218" s="49"/>
      <c r="CZ218" s="49"/>
      <c r="DA218" s="49"/>
      <c r="DB218" s="49"/>
      <c r="DC218" s="49"/>
      <c r="DD218" s="49"/>
      <c r="DE218" s="49"/>
      <c r="DF218" s="49"/>
      <c r="DG218" s="49"/>
      <c r="DH218" s="49"/>
      <c r="DI218" s="49"/>
      <c r="DJ218" s="49"/>
      <c r="DK218" s="49"/>
      <c r="DL218" s="49"/>
      <c r="DM218" s="49"/>
      <c r="DN218" s="49"/>
      <c r="DO218" s="49"/>
      <c r="DP218" s="49"/>
      <c r="DQ218" s="49"/>
      <c r="DR218" s="49"/>
      <c r="DS218" s="49"/>
      <c r="DT218" s="49"/>
      <c r="DU218" s="49"/>
      <c r="DV218" s="49"/>
      <c r="DW218" s="49"/>
      <c r="DX218" s="49"/>
      <c r="DY218" s="49"/>
      <c r="DZ218" s="49"/>
      <c r="EA218" s="49"/>
      <c r="EB218" s="49"/>
      <c r="EC218" s="49"/>
      <c r="ED218" s="49"/>
      <c r="EE218" s="49"/>
      <c r="EF218" s="49"/>
      <c r="EG218" s="49"/>
      <c r="EH218" s="49"/>
      <c r="EI218" s="49"/>
      <c r="EJ218" s="49"/>
      <c r="EK218" s="49"/>
      <c r="EL218" s="49"/>
      <c r="EM218" s="49"/>
      <c r="EN218" s="49"/>
      <c r="EO218" s="49"/>
      <c r="EP218" s="49"/>
      <c r="EQ218" s="49"/>
      <c r="ER218" s="49"/>
      <c r="ES218" s="49"/>
      <c r="ET218" s="49"/>
      <c r="EU218" s="49"/>
      <c r="EV218" s="49"/>
      <c r="EW218" s="49"/>
      <c r="EX218" s="49"/>
      <c r="EY218" s="49"/>
      <c r="EZ218" s="49"/>
      <c r="FA218" s="49"/>
    </row>
    <row r="219" spans="1:157" s="210" customFormat="1" ht="25.5" x14ac:dyDescent="0.25">
      <c r="A219" s="113"/>
      <c r="B219" s="113"/>
      <c r="C219" s="113"/>
      <c r="D219" s="148"/>
      <c r="E219" s="115"/>
      <c r="F219" s="116"/>
      <c r="G219" s="149">
        <v>6</v>
      </c>
      <c r="H219" s="150" t="s">
        <v>7</v>
      </c>
      <c r="I219" s="151" t="str">
        <f t="shared" si="26"/>
        <v>Mercadorias</v>
      </c>
      <c r="J219" s="150" t="s">
        <v>15</v>
      </c>
      <c r="K219" s="152" t="s">
        <v>7</v>
      </c>
      <c r="L219" s="153" t="s">
        <v>21</v>
      </c>
      <c r="M219" s="154" t="s">
        <v>290</v>
      </c>
      <c r="N219" s="155" t="s">
        <v>370</v>
      </c>
      <c r="O219" s="155" t="s">
        <v>343</v>
      </c>
      <c r="P219" s="155"/>
      <c r="Q219" s="155"/>
      <c r="R219" s="155"/>
      <c r="S219" s="156"/>
      <c r="T219" s="156"/>
      <c r="U219" s="150"/>
      <c r="V219" s="150"/>
      <c r="W219" s="150"/>
      <c r="X219" s="157" t="s">
        <v>372</v>
      </c>
      <c r="Y219" s="150"/>
      <c r="Z219" s="150"/>
      <c r="AA219" s="158"/>
      <c r="AB219" s="155"/>
      <c r="AC219" s="150"/>
      <c r="AD219" s="155"/>
      <c r="AE219" s="155"/>
      <c r="AF219" s="150"/>
      <c r="AG219" s="159">
        <v>25</v>
      </c>
      <c r="AH219" s="159">
        <v>131.36250000000001</v>
      </c>
      <c r="AI219" s="202">
        <v>0</v>
      </c>
      <c r="AJ219" s="161">
        <v>7.0000000000000007E-2</v>
      </c>
      <c r="AK219" s="162">
        <v>0.05</v>
      </c>
      <c r="AL219" s="163"/>
      <c r="AM219" s="164">
        <f>(((IF(L219=$L$101,1,IF(L219=$L$47,1,0))*(AH219*(1-AK219)))*AG219)*(1-AL219))</f>
        <v>0</v>
      </c>
      <c r="AN219" s="165">
        <f>IF(K219=$K$50,AM219,IF(K219=$K$53,AM219,IF(K219=$K$54,AM219,IF(K219=$K$55,AM219,IF(K219=$K$56,AM219,IF(K219=$K$57,AM219,IF(K219=$K$58,AM219,IF(K219=$K$65,AM219,IF(K219=$K$66,AM219,IF(K219=$K$67,AM219,IF(K219=$K$68,AM219,IF(K219=$K$69,AM219,IF(K219=$K$51,AM219,(AM219*(1+AI219)))))))))))))))</f>
        <v>0</v>
      </c>
      <c r="AO219" s="166">
        <v>1.4</v>
      </c>
      <c r="AP219" s="160">
        <f t="shared" si="27"/>
        <v>0</v>
      </c>
      <c r="AQ219" s="167">
        <f t="shared" si="45"/>
        <v>0</v>
      </c>
      <c r="AR219" s="160">
        <f t="shared" si="28"/>
        <v>0</v>
      </c>
      <c r="AS219" s="168">
        <f t="shared" si="29"/>
        <v>0</v>
      </c>
      <c r="AT219" s="169" t="str">
        <f>K219</f>
        <v>MI</v>
      </c>
      <c r="AU219" s="169" t="str">
        <f>I219</f>
        <v>Mercadorias</v>
      </c>
      <c r="AV219" s="170"/>
      <c r="AW219" s="171">
        <f>IF(K219=$K$50,0,IF(K219=$K$53,0,IF(K219=$K$54,0,IF(K219=$K$55,0,IF(K219=$K$56,0,IF(K219=$K$57,0,IF(K219=$K$58,0,IF(K219=$K$65,0,IF(K219=$K$66,0,IF(K219=$K$67,0,IF(K219=$K$68,0,IF(K219=$K$69,0,IF(K219=$K$51,0,1))))))))))))*AM219*AI219)</f>
        <v>0</v>
      </c>
      <c r="AX219" s="172">
        <f>IF(K219=$K$50,0,IF(K219=$K$53,0,IF(K219=$K$54,0,IF(K219=$K$55,0,IF(K219=$K$56,0,IF(K219=$K$57,0,IF(K219=$K$58,0,IF(K219=$K$65,0,IF(K219=$K$66,0,IF(K219=$K$67,0,IF(K219=$K$68,0,IF(K219=$K$69,0,IF(K219=$K$51,0,1))))))))))))*AM219*AJ219*$AX$94)</f>
        <v>0</v>
      </c>
      <c r="AY219" s="172">
        <f>IF(K219=$K$53,0,IF(K219=$K$54,0,IF(K219=$K$55,0,IF(K219=$K$56,0,IF(K219=$K$58,0,IF(K219=$K$50,0,IF(K219=$K$65,0,IF(K219=$K$57,0,IF(K219=$K$51,0,AM219*$AY$102)))))))))</f>
        <v>0</v>
      </c>
      <c r="AZ219" s="172">
        <f>IF(K219=$K$53,0,IF(K219=$K$54,0,IF(K219=$K$55,0,IF(K219=$K$56,0,IF(K219=$K$58,0,IF(K219=$K$50,0,IF(K219=$K$65,0,IF(K219=$K$57,0,IF(K219=$K$51,0,AM219*$AZ$102)))))))))</f>
        <v>0</v>
      </c>
      <c r="BA219" s="172">
        <f t="shared" si="30"/>
        <v>0</v>
      </c>
      <c r="BB219" s="173">
        <f>IF($BA$97=1,AQ219*$BB$102,IF(K219=$K$50,0,IF(K219=$K$53,0,IF(K219=$K$54,0,IF(K219=$K$55,0,IF(K219=$K$56,0,IF(K219=$K$57,0,IF(K219=$K$58,0,IF(K219=$K$65,0,IF(K219=$K$66,0,IF(K219=$K$67,0,IF(K219=$K$68,0,IF(K219=$K$69,0,IF(K219=$K$51,0,1)))))))))))*AQ219*$BB$102)))</f>
        <v>0</v>
      </c>
      <c r="BC219" s="172">
        <f t="shared" si="31"/>
        <v>0</v>
      </c>
      <c r="BD219" s="172">
        <f t="shared" si="32"/>
        <v>0</v>
      </c>
      <c r="BE219" s="172">
        <f>IF($BE$95=I219,$BE$97,IF(I219=$BE$96,$BE$97,1))*($BE$102*AQ219)*$AZ$97</f>
        <v>0</v>
      </c>
      <c r="BF219" s="172">
        <f>IF('[1]Cockpit Retorno'!$C$65=Sim,Mestre!BA219,SUM(BB219:BE219)+(IF(K219=$K$56,AQ219*MOE_IRRF_LR,0)))</f>
        <v>0</v>
      </c>
      <c r="BG219" s="174">
        <f>IF(AA219&gt;0,0,IF(Z219=$Z$82,AG219*1,(IF(Z219=$Z$81,AG219*1,0))))</f>
        <v>0</v>
      </c>
      <c r="BH219" s="174">
        <f>IF(AA219&gt;0,0,IF(Z219=$Z$83,AG219*1,IF(Z219=$Z$81,AG219*1,0)))</f>
        <v>0</v>
      </c>
      <c r="BI219" s="174">
        <f>IF(AA219&gt;0,0,IF(Z219=$Z$84,AG219*1,IF(Z219=$Z$93,AG219*2,IF(Z219=$Z$100,AG219,IF(Z219=$Z$81,AG219*2,IF(Z219=$Z$80,AG219*1,IF(Z219=$Z$79,AG219*3,IF(Z219=$Z$78,AG219*2,0))))))))</f>
        <v>0</v>
      </c>
      <c r="BJ219" s="174">
        <f>IF(AA219&gt;0,0,IF(Z219=$Z$85,AG219,IF(Z219=$Z$93,AG219,IF(Z219=$Z$100,AG219,IF(Z219=$Z$81,AG219*1,IF(Z219=$Z$80,AG219*2,IF(Z219=$Z$79,AG219*2,IF(Z219=$Z$78,AG219*2,0))))))))</f>
        <v>0</v>
      </c>
      <c r="BK219" s="174">
        <f>IF(AA219&gt;0,0,IF(Z219=$Z$92,AG219,0))</f>
        <v>0</v>
      </c>
      <c r="BL219" s="174">
        <f>IF(AA219&gt;0,0,IF(Z219=$Z$91,AG219,0))</f>
        <v>0</v>
      </c>
      <c r="BM219" s="174">
        <f>IF(AA219&gt;0,0,IF(Z219=$Z$86,AG219,0))</f>
        <v>0</v>
      </c>
      <c r="BN219" s="174">
        <f>IF(AA219&gt;0,0,IF(Z219=$Z$87,AG219,0))</f>
        <v>0</v>
      </c>
      <c r="BO219" s="174">
        <f>IF(AA219&gt;0,0,IF(Z219=$Z$88,AG219,0))</f>
        <v>0</v>
      </c>
      <c r="BP219" s="174">
        <f>IF(AA219&gt;0,0,IF(Z219=$Z$89,AG219,0))</f>
        <v>0</v>
      </c>
      <c r="BQ219" s="174">
        <f>IF(AA219&gt;0,0,IF(Z219=$Z$90,AG219,0))</f>
        <v>0</v>
      </c>
      <c r="BR219" s="174">
        <f>IF(Z219=$Z$82,AA219*AG219,0)</f>
        <v>0</v>
      </c>
      <c r="BS219" s="174">
        <f>IF(Z219=$Z$83,AA219*AG219,0)</f>
        <v>0</v>
      </c>
      <c r="BT219" s="174">
        <f>IF(AA219&lt;1,0,IF(Z219=$Z$84,AA219*AG219,IF(Z219=$Z$93,"ERRO",IF(Z219=$Z$100,"ERRO",0))))</f>
        <v>0</v>
      </c>
      <c r="BU219" s="174">
        <f>IF(AA219&lt;1,0,IF(Z219=$Z$85,AA219*AG219,IF(Z219=$Z$93,"ERRO",IF(Z219=$Z$100,"ERRO",0))))</f>
        <v>0</v>
      </c>
      <c r="BV219" s="174">
        <f>IF(Z219=$Z$92,AA219*AG219,0)</f>
        <v>0</v>
      </c>
      <c r="BW219" s="174">
        <f>IF(Z219=$Z$91,AA219*AG219,0)</f>
        <v>0</v>
      </c>
      <c r="BX219" s="174">
        <f>IF(Z219=$Z$86,AA219*AG219,0)</f>
        <v>0</v>
      </c>
      <c r="BY219" s="174">
        <f>IF(Z219=$Z$87,AA219*AG219,0)</f>
        <v>0</v>
      </c>
      <c r="BZ219" s="174">
        <f>IF(Z219=$Z$88,AA219*AG219,0)</f>
        <v>0</v>
      </c>
      <c r="CA219" s="174">
        <f>IF(Z219=$Z$89,AA219*AG219,0)</f>
        <v>0</v>
      </c>
      <c r="CB219" s="174">
        <f>IF(Z219=$Z$90,AA219*AG219,0)</f>
        <v>0</v>
      </c>
      <c r="CC219" s="175">
        <f>IFERROR(IF(L219=$L$49,AG219*AH219*(1+AI219)*(1-AK219)*(1-AL219),0),0)</f>
        <v>3119.8593750000005</v>
      </c>
      <c r="CD219" s="203"/>
      <c r="CE219" s="203"/>
      <c r="CF219" s="204"/>
      <c r="CG219" s="203"/>
      <c r="CH219" s="204"/>
      <c r="CI219" s="203"/>
      <c r="CJ219" s="205"/>
      <c r="CK219" s="205"/>
      <c r="CL219" s="205"/>
      <c r="CM219" s="205"/>
      <c r="CN219" s="206"/>
      <c r="CO219" s="204"/>
      <c r="CP219" s="207"/>
      <c r="CQ219" s="208"/>
      <c r="CR219" s="209"/>
      <c r="CS219" s="49"/>
      <c r="CT219" s="49"/>
      <c r="CU219" s="49"/>
      <c r="CV219" s="49"/>
      <c r="CW219" s="49"/>
      <c r="CX219" s="49"/>
      <c r="CY219" s="49"/>
      <c r="CZ219" s="49"/>
      <c r="DA219" s="49"/>
      <c r="DB219" s="49"/>
      <c r="DC219" s="49"/>
      <c r="DD219" s="49"/>
      <c r="DE219" s="49"/>
      <c r="DF219" s="49"/>
      <c r="DG219" s="49"/>
      <c r="DH219" s="49"/>
      <c r="DI219" s="49"/>
      <c r="DJ219" s="49"/>
      <c r="DK219" s="49"/>
      <c r="DL219" s="49"/>
      <c r="DM219" s="49"/>
      <c r="DN219" s="49"/>
      <c r="DO219" s="49"/>
      <c r="DP219" s="49"/>
      <c r="DQ219" s="49"/>
      <c r="DR219" s="49"/>
      <c r="DS219" s="49"/>
      <c r="DT219" s="49"/>
      <c r="DU219" s="49"/>
      <c r="DV219" s="49"/>
      <c r="DW219" s="49"/>
      <c r="DX219" s="49"/>
      <c r="DY219" s="49"/>
      <c r="DZ219" s="49"/>
      <c r="EA219" s="49"/>
      <c r="EB219" s="49"/>
      <c r="EC219" s="49"/>
      <c r="ED219" s="49"/>
      <c r="EE219" s="49"/>
      <c r="EF219" s="49"/>
      <c r="EG219" s="49"/>
      <c r="EH219" s="49"/>
      <c r="EI219" s="49"/>
      <c r="EJ219" s="49"/>
      <c r="EK219" s="49"/>
      <c r="EL219" s="49"/>
      <c r="EM219" s="49"/>
      <c r="EN219" s="49"/>
      <c r="EO219" s="49"/>
      <c r="EP219" s="49"/>
      <c r="EQ219" s="49"/>
      <c r="ER219" s="49"/>
      <c r="ES219" s="49"/>
      <c r="ET219" s="49"/>
      <c r="EU219" s="49"/>
      <c r="EV219" s="49"/>
      <c r="EW219" s="49"/>
      <c r="EX219" s="49"/>
      <c r="EY219" s="49"/>
      <c r="EZ219" s="49"/>
      <c r="FA219" s="49"/>
    </row>
    <row r="220" spans="1:157" s="210" customFormat="1" ht="25.5" x14ac:dyDescent="0.25">
      <c r="A220" s="113"/>
      <c r="B220" s="113"/>
      <c r="C220" s="113"/>
      <c r="D220" s="148"/>
      <c r="E220" s="115"/>
      <c r="F220" s="116"/>
      <c r="G220" s="149">
        <v>6</v>
      </c>
      <c r="H220" s="150" t="s">
        <v>7</v>
      </c>
      <c r="I220" s="151" t="str">
        <f t="shared" si="26"/>
        <v>Mercadorias</v>
      </c>
      <c r="J220" s="150" t="s">
        <v>15</v>
      </c>
      <c r="K220" s="152" t="s">
        <v>7</v>
      </c>
      <c r="L220" s="153" t="s">
        <v>21</v>
      </c>
      <c r="M220" s="154" t="s">
        <v>290</v>
      </c>
      <c r="N220" s="155" t="s">
        <v>370</v>
      </c>
      <c r="O220" s="155" t="s">
        <v>343</v>
      </c>
      <c r="P220" s="155"/>
      <c r="Q220" s="155"/>
      <c r="R220" s="155"/>
      <c r="S220" s="156"/>
      <c r="T220" s="156"/>
      <c r="U220" s="150"/>
      <c r="V220" s="150"/>
      <c r="W220" s="150"/>
      <c r="X220" s="157" t="s">
        <v>345</v>
      </c>
      <c r="Y220" s="150"/>
      <c r="Z220" s="150"/>
      <c r="AA220" s="158"/>
      <c r="AB220" s="155"/>
      <c r="AC220" s="150"/>
      <c r="AD220" s="155"/>
      <c r="AE220" s="155"/>
      <c r="AF220" s="150"/>
      <c r="AG220" s="159">
        <v>75</v>
      </c>
      <c r="AH220" s="159">
        <v>230.55630000000002</v>
      </c>
      <c r="AI220" s="202">
        <v>0</v>
      </c>
      <c r="AJ220" s="161">
        <v>7.0000000000000007E-2</v>
      </c>
      <c r="AK220" s="162">
        <v>0.05</v>
      </c>
      <c r="AL220" s="163"/>
      <c r="AM220" s="164">
        <f>(((IF(L220=$L$101,1,IF(L220=$L$47,1,0))*(AH220*(1-AK220)))*AG220)*(1-AL220))</f>
        <v>0</v>
      </c>
      <c r="AN220" s="165">
        <f>IF(K220=$K$50,AM220,IF(K220=$K$53,AM220,IF(K220=$K$54,AM220,IF(K220=$K$55,AM220,IF(K220=$K$56,AM220,IF(K220=$K$57,AM220,IF(K220=$K$58,AM220,IF(K220=$K$65,AM220,IF(K220=$K$66,AM220,IF(K220=$K$67,AM220,IF(K220=$K$68,AM220,IF(K220=$K$69,AM220,IF(K220=$K$51,AM220,(AM220*(1+AI220)))))))))))))))</f>
        <v>0</v>
      </c>
      <c r="AO220" s="166">
        <v>1.4</v>
      </c>
      <c r="AP220" s="160">
        <f t="shared" si="27"/>
        <v>0</v>
      </c>
      <c r="AQ220" s="167">
        <f t="shared" si="45"/>
        <v>0</v>
      </c>
      <c r="AR220" s="160">
        <f t="shared" si="28"/>
        <v>0</v>
      </c>
      <c r="AS220" s="168">
        <f t="shared" si="29"/>
        <v>0</v>
      </c>
      <c r="AT220" s="169" t="str">
        <f>K220</f>
        <v>MI</v>
      </c>
      <c r="AU220" s="169" t="str">
        <f>I220</f>
        <v>Mercadorias</v>
      </c>
      <c r="AV220" s="170"/>
      <c r="AW220" s="171">
        <f>IF(K220=$K$50,0,IF(K220=$K$53,0,IF(K220=$K$54,0,IF(K220=$K$55,0,IF(K220=$K$56,0,IF(K220=$K$57,0,IF(K220=$K$58,0,IF(K220=$K$65,0,IF(K220=$K$66,0,IF(K220=$K$67,0,IF(K220=$K$68,0,IF(K220=$K$69,0,IF(K220=$K$51,0,1))))))))))))*AM220*AI220)</f>
        <v>0</v>
      </c>
      <c r="AX220" s="172">
        <f>IF(K220=$K$50,0,IF(K220=$K$53,0,IF(K220=$K$54,0,IF(K220=$K$55,0,IF(K220=$K$56,0,IF(K220=$K$57,0,IF(K220=$K$58,0,IF(K220=$K$65,0,IF(K220=$K$66,0,IF(K220=$K$67,0,IF(K220=$K$68,0,IF(K220=$K$69,0,IF(K220=$K$51,0,1))))))))))))*AM220*AJ220*$AX$94)</f>
        <v>0</v>
      </c>
      <c r="AY220" s="172">
        <f>IF(K220=$K$53,0,IF(K220=$K$54,0,IF(K220=$K$55,0,IF(K220=$K$56,0,IF(K220=$K$58,0,IF(K220=$K$50,0,IF(K220=$K$65,0,IF(K220=$K$57,0,IF(K220=$K$51,0,AM220*$AY$102)))))))))</f>
        <v>0</v>
      </c>
      <c r="AZ220" s="172">
        <f>IF(K220=$K$53,0,IF(K220=$K$54,0,IF(K220=$K$55,0,IF(K220=$K$56,0,IF(K220=$K$58,0,IF(K220=$K$50,0,IF(K220=$K$65,0,IF(K220=$K$57,0,IF(K220=$K$51,0,AM220*$AZ$102)))))))))</f>
        <v>0</v>
      </c>
      <c r="BA220" s="172">
        <f t="shared" si="30"/>
        <v>0</v>
      </c>
      <c r="BB220" s="173">
        <f>IF($BA$97=1,AQ220*$BB$102,IF(K220=$K$50,0,IF(K220=$K$53,0,IF(K220=$K$54,0,IF(K220=$K$55,0,IF(K220=$K$56,0,IF(K220=$K$57,0,IF(K220=$K$58,0,IF(K220=$K$65,0,IF(K220=$K$66,0,IF(K220=$K$67,0,IF(K220=$K$68,0,IF(K220=$K$69,0,IF(K220=$K$51,0,1)))))))))))*AQ220*$BB$102)))</f>
        <v>0</v>
      </c>
      <c r="BC220" s="172">
        <f t="shared" si="31"/>
        <v>0</v>
      </c>
      <c r="BD220" s="172">
        <f t="shared" si="32"/>
        <v>0</v>
      </c>
      <c r="BE220" s="172">
        <f>IF($BE$95=I220,$BE$97,IF(I220=$BE$96,$BE$97,1))*($BE$102*AQ220)*$AZ$97</f>
        <v>0</v>
      </c>
      <c r="BF220" s="172">
        <f>IF('[1]Cockpit Retorno'!$C$65=Sim,Mestre!BA220,SUM(BB220:BE220)+(IF(K220=$K$56,AQ220*MOE_IRRF_LR,0)))</f>
        <v>0</v>
      </c>
      <c r="BG220" s="174">
        <f>IF(AA220&gt;0,0,IF(Z220=$Z$82,AG220*1,(IF(Z220=$Z$81,AG220*1,0))))</f>
        <v>0</v>
      </c>
      <c r="BH220" s="174">
        <f>IF(AA220&gt;0,0,IF(Z220=$Z$83,AG220*1,IF(Z220=$Z$81,AG220*1,0)))</f>
        <v>0</v>
      </c>
      <c r="BI220" s="174">
        <f>IF(AA220&gt;0,0,IF(Z220=$Z$84,AG220*1,IF(Z220=$Z$93,AG220*2,IF(Z220=$Z$100,AG220,IF(Z220=$Z$81,AG220*2,IF(Z220=$Z$80,AG220*1,IF(Z220=$Z$79,AG220*3,IF(Z220=$Z$78,AG220*2,0))))))))</f>
        <v>0</v>
      </c>
      <c r="BJ220" s="174">
        <f>IF(AA220&gt;0,0,IF(Z220=$Z$85,AG220,IF(Z220=$Z$93,AG220,IF(Z220=$Z$100,AG220,IF(Z220=$Z$81,AG220*1,IF(Z220=$Z$80,AG220*2,IF(Z220=$Z$79,AG220*2,IF(Z220=$Z$78,AG220*2,0))))))))</f>
        <v>0</v>
      </c>
      <c r="BK220" s="174">
        <f>IF(AA220&gt;0,0,IF(Z220=$Z$92,AG220,0))</f>
        <v>0</v>
      </c>
      <c r="BL220" s="174">
        <f>IF(AA220&gt;0,0,IF(Z220=$Z$91,AG220,0))</f>
        <v>0</v>
      </c>
      <c r="BM220" s="174">
        <f>IF(AA220&gt;0,0,IF(Z220=$Z$86,AG220,0))</f>
        <v>0</v>
      </c>
      <c r="BN220" s="174">
        <f>IF(AA220&gt;0,0,IF(Z220=$Z$87,AG220,0))</f>
        <v>0</v>
      </c>
      <c r="BO220" s="174">
        <f>IF(AA220&gt;0,0,IF(Z220=$Z$88,AG220,0))</f>
        <v>0</v>
      </c>
      <c r="BP220" s="174">
        <f>IF(AA220&gt;0,0,IF(Z220=$Z$89,AG220,0))</f>
        <v>0</v>
      </c>
      <c r="BQ220" s="174">
        <f>IF(AA220&gt;0,0,IF(Z220=$Z$90,AG220,0))</f>
        <v>0</v>
      </c>
      <c r="BR220" s="174">
        <f>IF(Z220=$Z$82,AA220*AG220,0)</f>
        <v>0</v>
      </c>
      <c r="BS220" s="174">
        <f>IF(Z220=$Z$83,AA220*AG220,0)</f>
        <v>0</v>
      </c>
      <c r="BT220" s="174">
        <f>IF(AA220&lt;1,0,IF(Z220=$Z$84,AA220*AG220,IF(Z220=$Z$93,"ERRO",IF(Z220=$Z$100,"ERRO",0))))</f>
        <v>0</v>
      </c>
      <c r="BU220" s="174">
        <f>IF(AA220&lt;1,0,IF(Z220=$Z$85,AA220*AG220,IF(Z220=$Z$93,"ERRO",IF(Z220=$Z$100,"ERRO",0))))</f>
        <v>0</v>
      </c>
      <c r="BV220" s="174">
        <f>IF(Z220=$Z$92,AA220*AG220,0)</f>
        <v>0</v>
      </c>
      <c r="BW220" s="174">
        <f>IF(Z220=$Z$91,AA220*AG220,0)</f>
        <v>0</v>
      </c>
      <c r="BX220" s="174">
        <f>IF(Z220=$Z$86,AA220*AG220,0)</f>
        <v>0</v>
      </c>
      <c r="BY220" s="174">
        <f>IF(Z220=$Z$87,AA220*AG220,0)</f>
        <v>0</v>
      </c>
      <c r="BZ220" s="174">
        <f>IF(Z220=$Z$88,AA220*AG220,0)</f>
        <v>0</v>
      </c>
      <c r="CA220" s="174">
        <f>IF(Z220=$Z$89,AA220*AG220,0)</f>
        <v>0</v>
      </c>
      <c r="CB220" s="174">
        <f>IF(Z220=$Z$90,AA220*AG220,0)</f>
        <v>0</v>
      </c>
      <c r="CC220" s="175">
        <f>IFERROR(IF(L220=$L$49,AG220*AH220*(1+AI220)*(1-AK220)*(1-AL220),0),0)</f>
        <v>16427.136374999998</v>
      </c>
      <c r="CD220" s="203"/>
      <c r="CE220" s="203"/>
      <c r="CF220" s="204"/>
      <c r="CG220" s="203"/>
      <c r="CH220" s="204"/>
      <c r="CI220" s="203"/>
      <c r="CJ220" s="205"/>
      <c r="CK220" s="205"/>
      <c r="CL220" s="205"/>
      <c r="CM220" s="205"/>
      <c r="CN220" s="206"/>
      <c r="CO220" s="204"/>
      <c r="CP220" s="207"/>
      <c r="CQ220" s="208"/>
      <c r="CR220" s="209"/>
      <c r="CS220" s="49"/>
      <c r="CT220" s="49"/>
      <c r="CU220" s="49"/>
      <c r="CV220" s="49"/>
      <c r="CW220" s="49"/>
      <c r="CX220" s="49"/>
      <c r="CY220" s="49"/>
      <c r="CZ220" s="49"/>
      <c r="DA220" s="49"/>
      <c r="DB220" s="49"/>
      <c r="DC220" s="49"/>
      <c r="DD220" s="49"/>
      <c r="DE220" s="49"/>
      <c r="DF220" s="49"/>
      <c r="DG220" s="49"/>
      <c r="DH220" s="49"/>
      <c r="DI220" s="49"/>
      <c r="DJ220" s="49"/>
      <c r="DK220" s="49"/>
      <c r="DL220" s="49"/>
      <c r="DM220" s="49"/>
      <c r="DN220" s="49"/>
      <c r="DO220" s="49"/>
      <c r="DP220" s="49"/>
      <c r="DQ220" s="49"/>
      <c r="DR220" s="49"/>
      <c r="DS220" s="49"/>
      <c r="DT220" s="49"/>
      <c r="DU220" s="49"/>
      <c r="DV220" s="49"/>
      <c r="DW220" s="49"/>
      <c r="DX220" s="49"/>
      <c r="DY220" s="49"/>
      <c r="DZ220" s="49"/>
      <c r="EA220" s="49"/>
      <c r="EB220" s="49"/>
      <c r="EC220" s="49"/>
      <c r="ED220" s="49"/>
      <c r="EE220" s="49"/>
      <c r="EF220" s="49"/>
      <c r="EG220" s="49"/>
      <c r="EH220" s="49"/>
      <c r="EI220" s="49"/>
      <c r="EJ220" s="49"/>
      <c r="EK220" s="49"/>
      <c r="EL220" s="49"/>
      <c r="EM220" s="49"/>
      <c r="EN220" s="49"/>
      <c r="EO220" s="49"/>
      <c r="EP220" s="49"/>
      <c r="EQ220" s="49"/>
      <c r="ER220" s="49"/>
      <c r="ES220" s="49"/>
      <c r="ET220" s="49"/>
      <c r="EU220" s="49"/>
      <c r="EV220" s="49"/>
      <c r="EW220" s="49"/>
      <c r="EX220" s="49"/>
      <c r="EY220" s="49"/>
      <c r="EZ220" s="49"/>
      <c r="FA220" s="49"/>
    </row>
    <row r="221" spans="1:157" s="210" customFormat="1" ht="25.5" x14ac:dyDescent="0.25">
      <c r="A221" s="113"/>
      <c r="B221" s="113"/>
      <c r="C221" s="113"/>
      <c r="D221" s="148"/>
      <c r="E221" s="115"/>
      <c r="F221" s="116"/>
      <c r="G221" s="149">
        <v>6</v>
      </c>
      <c r="H221" s="150" t="s">
        <v>7</v>
      </c>
      <c r="I221" s="151" t="str">
        <f t="shared" si="26"/>
        <v>Mercadorias</v>
      </c>
      <c r="J221" s="150" t="s">
        <v>15</v>
      </c>
      <c r="K221" s="152" t="s">
        <v>7</v>
      </c>
      <c r="L221" s="153" t="s">
        <v>21</v>
      </c>
      <c r="M221" s="154" t="s">
        <v>290</v>
      </c>
      <c r="N221" s="155" t="s">
        <v>370</v>
      </c>
      <c r="O221" s="155" t="s">
        <v>343</v>
      </c>
      <c r="P221" s="155"/>
      <c r="Q221" s="155"/>
      <c r="R221" s="155"/>
      <c r="S221" s="156"/>
      <c r="T221" s="156"/>
      <c r="U221" s="150"/>
      <c r="V221" s="150"/>
      <c r="W221" s="150"/>
      <c r="X221" s="157" t="s">
        <v>373</v>
      </c>
      <c r="Y221" s="150"/>
      <c r="Z221" s="150"/>
      <c r="AA221" s="158"/>
      <c r="AB221" s="155"/>
      <c r="AC221" s="150"/>
      <c r="AD221" s="155"/>
      <c r="AE221" s="155"/>
      <c r="AF221" s="150"/>
      <c r="AG221" s="159">
        <v>490</v>
      </c>
      <c r="AH221" s="159">
        <v>275.23349999999999</v>
      </c>
      <c r="AI221" s="202">
        <v>0</v>
      </c>
      <c r="AJ221" s="161">
        <v>7.0000000000000007E-2</v>
      </c>
      <c r="AK221" s="162">
        <v>0.05</v>
      </c>
      <c r="AL221" s="163"/>
      <c r="AM221" s="164">
        <f>(((IF(L221=$L$101,1,IF(L221=$L$47,1,0))*(AH221*(1-AK221)))*AG221)*(1-AL221))</f>
        <v>0</v>
      </c>
      <c r="AN221" s="165">
        <f>IF(K221=$K$50,AM221,IF(K221=$K$53,AM221,IF(K221=$K$54,AM221,IF(K221=$K$55,AM221,IF(K221=$K$56,AM221,IF(K221=$K$57,AM221,IF(K221=$K$58,AM221,IF(K221=$K$65,AM221,IF(K221=$K$66,AM221,IF(K221=$K$67,AM221,IF(K221=$K$68,AM221,IF(K221=$K$69,AM221,IF(K221=$K$51,AM221,(AM221*(1+AI221)))))))))))))))</f>
        <v>0</v>
      </c>
      <c r="AO221" s="166">
        <v>1.4</v>
      </c>
      <c r="AP221" s="160">
        <f t="shared" si="27"/>
        <v>0</v>
      </c>
      <c r="AQ221" s="167">
        <f t="shared" si="45"/>
        <v>0</v>
      </c>
      <c r="AR221" s="160">
        <f t="shared" si="28"/>
        <v>0</v>
      </c>
      <c r="AS221" s="168">
        <f t="shared" si="29"/>
        <v>0</v>
      </c>
      <c r="AT221" s="169" t="str">
        <f>K221</f>
        <v>MI</v>
      </c>
      <c r="AU221" s="169" t="str">
        <f>I221</f>
        <v>Mercadorias</v>
      </c>
      <c r="AV221" s="170"/>
      <c r="AW221" s="171">
        <f>IF(K221=$K$50,0,IF(K221=$K$53,0,IF(K221=$K$54,0,IF(K221=$K$55,0,IF(K221=$K$56,0,IF(K221=$K$57,0,IF(K221=$K$58,0,IF(K221=$K$65,0,IF(K221=$K$66,0,IF(K221=$K$67,0,IF(K221=$K$68,0,IF(K221=$K$69,0,IF(K221=$K$51,0,1))))))))))))*AM221*AI221)</f>
        <v>0</v>
      </c>
      <c r="AX221" s="172">
        <f>IF(K221=$K$50,0,IF(K221=$K$53,0,IF(K221=$K$54,0,IF(K221=$K$55,0,IF(K221=$K$56,0,IF(K221=$K$57,0,IF(K221=$K$58,0,IF(K221=$K$65,0,IF(K221=$K$66,0,IF(K221=$K$67,0,IF(K221=$K$68,0,IF(K221=$K$69,0,IF(K221=$K$51,0,1))))))))))))*AM221*AJ221*$AX$94)</f>
        <v>0</v>
      </c>
      <c r="AY221" s="172">
        <f>IF(K221=$K$53,0,IF(K221=$K$54,0,IF(K221=$K$55,0,IF(K221=$K$56,0,IF(K221=$K$58,0,IF(K221=$K$50,0,IF(K221=$K$65,0,IF(K221=$K$57,0,IF(K221=$K$51,0,AM221*$AY$102)))))))))</f>
        <v>0</v>
      </c>
      <c r="AZ221" s="172">
        <f>IF(K221=$K$53,0,IF(K221=$K$54,0,IF(K221=$K$55,0,IF(K221=$K$56,0,IF(K221=$K$58,0,IF(K221=$K$50,0,IF(K221=$K$65,0,IF(K221=$K$57,0,IF(K221=$K$51,0,AM221*$AZ$102)))))))))</f>
        <v>0</v>
      </c>
      <c r="BA221" s="172">
        <f t="shared" si="30"/>
        <v>0</v>
      </c>
      <c r="BB221" s="173">
        <f>IF($BA$97=1,AQ221*$BB$102,IF(K221=$K$50,0,IF(K221=$K$53,0,IF(K221=$K$54,0,IF(K221=$K$55,0,IF(K221=$K$56,0,IF(K221=$K$57,0,IF(K221=$K$58,0,IF(K221=$K$65,0,IF(K221=$K$66,0,IF(K221=$K$67,0,IF(K221=$K$68,0,IF(K221=$K$69,0,IF(K221=$K$51,0,1)))))))))))*AQ221*$BB$102)))</f>
        <v>0</v>
      </c>
      <c r="BC221" s="172">
        <f t="shared" si="31"/>
        <v>0</v>
      </c>
      <c r="BD221" s="172">
        <f t="shared" si="32"/>
        <v>0</v>
      </c>
      <c r="BE221" s="172">
        <f>IF($BE$95=I221,$BE$97,IF(I221=$BE$96,$BE$97,1))*($BE$102*AQ221)*$AZ$97</f>
        <v>0</v>
      </c>
      <c r="BF221" s="172">
        <f>IF('[1]Cockpit Retorno'!$C$65=Sim,Mestre!BA221,SUM(BB221:BE221)+(IF(K221=$K$56,AQ221*MOE_IRRF_LR,0)))</f>
        <v>0</v>
      </c>
      <c r="BG221" s="174">
        <f>IF(AA221&gt;0,0,IF(Z221=$Z$82,AG221*1,(IF(Z221=$Z$81,AG221*1,0))))</f>
        <v>0</v>
      </c>
      <c r="BH221" s="174">
        <f>IF(AA221&gt;0,0,IF(Z221=$Z$83,AG221*1,IF(Z221=$Z$81,AG221*1,0)))</f>
        <v>0</v>
      </c>
      <c r="BI221" s="174">
        <f>IF(AA221&gt;0,0,IF(Z221=$Z$84,AG221*1,IF(Z221=$Z$93,AG221*2,IF(Z221=$Z$100,AG221,IF(Z221=$Z$81,AG221*2,IF(Z221=$Z$80,AG221*1,IF(Z221=$Z$79,AG221*3,IF(Z221=$Z$78,AG221*2,0))))))))</f>
        <v>0</v>
      </c>
      <c r="BJ221" s="174">
        <f>IF(AA221&gt;0,0,IF(Z221=$Z$85,AG221,IF(Z221=$Z$93,AG221,IF(Z221=$Z$100,AG221,IF(Z221=$Z$81,AG221*1,IF(Z221=$Z$80,AG221*2,IF(Z221=$Z$79,AG221*2,IF(Z221=$Z$78,AG221*2,0))))))))</f>
        <v>0</v>
      </c>
      <c r="BK221" s="174">
        <f>IF(AA221&gt;0,0,IF(Z221=$Z$92,AG221,0))</f>
        <v>0</v>
      </c>
      <c r="BL221" s="174">
        <f>IF(AA221&gt;0,0,IF(Z221=$Z$91,AG221,0))</f>
        <v>0</v>
      </c>
      <c r="BM221" s="174">
        <f>IF(AA221&gt;0,0,IF(Z221=$Z$86,AG221,0))</f>
        <v>0</v>
      </c>
      <c r="BN221" s="174">
        <f>IF(AA221&gt;0,0,IF(Z221=$Z$87,AG221,0))</f>
        <v>0</v>
      </c>
      <c r="BO221" s="174">
        <f>IF(AA221&gt;0,0,IF(Z221=$Z$88,AG221,0))</f>
        <v>0</v>
      </c>
      <c r="BP221" s="174">
        <f>IF(AA221&gt;0,0,IF(Z221=$Z$89,AG221,0))</f>
        <v>0</v>
      </c>
      <c r="BQ221" s="174">
        <f>IF(AA221&gt;0,0,IF(Z221=$Z$90,AG221,0))</f>
        <v>0</v>
      </c>
      <c r="BR221" s="174">
        <f>IF(Z221=$Z$82,AA221*AG221,0)</f>
        <v>0</v>
      </c>
      <c r="BS221" s="174">
        <f>IF(Z221=$Z$83,AA221*AG221,0)</f>
        <v>0</v>
      </c>
      <c r="BT221" s="174">
        <f>IF(AA221&lt;1,0,IF(Z221=$Z$84,AA221*AG221,IF(Z221=$Z$93,"ERRO",IF(Z221=$Z$100,"ERRO",0))))</f>
        <v>0</v>
      </c>
      <c r="BU221" s="174">
        <f>IF(AA221&lt;1,0,IF(Z221=$Z$85,AA221*AG221,IF(Z221=$Z$93,"ERRO",IF(Z221=$Z$100,"ERRO",0))))</f>
        <v>0</v>
      </c>
      <c r="BV221" s="174">
        <f>IF(Z221=$Z$92,AA221*AG221,0)</f>
        <v>0</v>
      </c>
      <c r="BW221" s="174">
        <f>IF(Z221=$Z$91,AA221*AG221,0)</f>
        <v>0</v>
      </c>
      <c r="BX221" s="174">
        <f>IF(Z221=$Z$86,AA221*AG221,0)</f>
        <v>0</v>
      </c>
      <c r="BY221" s="174">
        <f>IF(Z221=$Z$87,AA221*AG221,0)</f>
        <v>0</v>
      </c>
      <c r="BZ221" s="174">
        <f>IF(Z221=$Z$88,AA221*AG221,0)</f>
        <v>0</v>
      </c>
      <c r="CA221" s="174">
        <f>IF(Z221=$Z$89,AA221*AG221,0)</f>
        <v>0</v>
      </c>
      <c r="CB221" s="174">
        <f>IF(Z221=$Z$90,AA221*AG221,0)</f>
        <v>0</v>
      </c>
      <c r="CC221" s="175">
        <f>IFERROR(IF(L221=$L$49,AG221*AH221*(1+AI221)*(1-AK221)*(1-AL221),0),0)</f>
        <v>128121.19425</v>
      </c>
      <c r="CD221" s="203"/>
      <c r="CE221" s="203"/>
      <c r="CF221" s="204"/>
      <c r="CG221" s="203"/>
      <c r="CH221" s="204"/>
      <c r="CI221" s="203"/>
      <c r="CJ221" s="205"/>
      <c r="CK221" s="205"/>
      <c r="CL221" s="205"/>
      <c r="CM221" s="205"/>
      <c r="CN221" s="206"/>
      <c r="CO221" s="204"/>
      <c r="CP221" s="207"/>
      <c r="CQ221" s="208"/>
      <c r="CR221" s="209"/>
      <c r="CS221" s="49"/>
      <c r="CT221" s="49"/>
      <c r="CU221" s="49"/>
      <c r="CV221" s="49"/>
      <c r="CW221" s="49"/>
      <c r="CX221" s="49"/>
      <c r="CY221" s="49"/>
      <c r="CZ221" s="49"/>
      <c r="DA221" s="49"/>
      <c r="DB221" s="49"/>
      <c r="DC221" s="49"/>
      <c r="DD221" s="49"/>
      <c r="DE221" s="49"/>
      <c r="DF221" s="49"/>
      <c r="DG221" s="49"/>
      <c r="DH221" s="49"/>
      <c r="DI221" s="49"/>
      <c r="DJ221" s="49"/>
      <c r="DK221" s="49"/>
      <c r="DL221" s="49"/>
      <c r="DM221" s="49"/>
      <c r="DN221" s="49"/>
      <c r="DO221" s="49"/>
      <c r="DP221" s="49"/>
      <c r="DQ221" s="49"/>
      <c r="DR221" s="49"/>
      <c r="DS221" s="49"/>
      <c r="DT221" s="49"/>
      <c r="DU221" s="49"/>
      <c r="DV221" s="49"/>
      <c r="DW221" s="49"/>
      <c r="DX221" s="49"/>
      <c r="DY221" s="49"/>
      <c r="DZ221" s="49"/>
      <c r="EA221" s="49"/>
      <c r="EB221" s="49"/>
      <c r="EC221" s="49"/>
      <c r="ED221" s="49"/>
      <c r="EE221" s="49"/>
      <c r="EF221" s="49"/>
      <c r="EG221" s="49"/>
      <c r="EH221" s="49"/>
      <c r="EI221" s="49"/>
      <c r="EJ221" s="49"/>
      <c r="EK221" s="49"/>
      <c r="EL221" s="49"/>
      <c r="EM221" s="49"/>
      <c r="EN221" s="49"/>
      <c r="EO221" s="49"/>
      <c r="EP221" s="49"/>
      <c r="EQ221" s="49"/>
      <c r="ER221" s="49"/>
      <c r="ES221" s="49"/>
      <c r="ET221" s="49"/>
      <c r="EU221" s="49"/>
      <c r="EV221" s="49"/>
      <c r="EW221" s="49"/>
      <c r="EX221" s="49"/>
      <c r="EY221" s="49"/>
      <c r="EZ221" s="49"/>
      <c r="FA221" s="49"/>
    </row>
    <row r="222" spans="1:157" s="210" customFormat="1" ht="38.25" x14ac:dyDescent="0.25">
      <c r="A222" s="113"/>
      <c r="B222" s="113"/>
      <c r="C222" s="113"/>
      <c r="D222" s="148"/>
      <c r="E222" s="115"/>
      <c r="F222" s="116"/>
      <c r="G222" s="149"/>
      <c r="H222" s="150" t="s">
        <v>7</v>
      </c>
      <c r="I222" s="151" t="str">
        <f t="shared" si="26"/>
        <v>Mercadorias</v>
      </c>
      <c r="J222" s="150" t="s">
        <v>15</v>
      </c>
      <c r="K222" s="152" t="s">
        <v>7</v>
      </c>
      <c r="L222" s="153" t="s">
        <v>21</v>
      </c>
      <c r="M222" s="154" t="s">
        <v>290</v>
      </c>
      <c r="N222" s="155" t="s">
        <v>370</v>
      </c>
      <c r="O222" s="155" t="s">
        <v>343</v>
      </c>
      <c r="P222" s="155"/>
      <c r="Q222" s="155"/>
      <c r="R222" s="155"/>
      <c r="S222" s="156"/>
      <c r="T222" s="156"/>
      <c r="U222" s="150"/>
      <c r="V222" s="150"/>
      <c r="W222" s="150"/>
      <c r="X222" s="157" t="s">
        <v>374</v>
      </c>
      <c r="Y222" s="150"/>
      <c r="Z222" s="150"/>
      <c r="AA222" s="158"/>
      <c r="AB222" s="155"/>
      <c r="AC222" s="150"/>
      <c r="AD222" s="155"/>
      <c r="AE222" s="155"/>
      <c r="AF222" s="150"/>
      <c r="AG222" s="159">
        <v>50</v>
      </c>
      <c r="AH222" s="159">
        <v>42.975300000000004</v>
      </c>
      <c r="AI222" s="202">
        <v>0</v>
      </c>
      <c r="AJ222" s="161">
        <v>7.0000000000000007E-2</v>
      </c>
      <c r="AK222" s="162">
        <v>0.05</v>
      </c>
      <c r="AL222" s="163"/>
      <c r="AM222" s="164">
        <f>(((IF(L222=$L$101,1,IF(L222=$L$47,1,0))*(AH222*(1-AK222)))*AG222)*(1-AL222))</f>
        <v>0</v>
      </c>
      <c r="AN222" s="165">
        <f>IF(K222=$K$50,AM222,IF(K222=$K$53,AM222,IF(K222=$K$54,AM222,IF(K222=$K$55,AM222,IF(K222=$K$56,AM222,IF(K222=$K$57,AM222,IF(K222=$K$58,AM222,IF(K222=$K$65,AM222,IF(K222=$K$66,AM222,IF(K222=$K$67,AM222,IF(K222=$K$68,AM222,IF(K222=$K$69,AM222,IF(K222=$K$51,AM222,(AM222*(1+AI222)))))))))))))))</f>
        <v>0</v>
      </c>
      <c r="AO222" s="166">
        <v>1.4</v>
      </c>
      <c r="AP222" s="160">
        <f t="shared" si="27"/>
        <v>0</v>
      </c>
      <c r="AQ222" s="167">
        <f t="shared" si="45"/>
        <v>0</v>
      </c>
      <c r="AR222" s="160">
        <f t="shared" si="28"/>
        <v>0</v>
      </c>
      <c r="AS222" s="168">
        <f t="shared" si="29"/>
        <v>0</v>
      </c>
      <c r="AT222" s="169" t="str">
        <f>K222</f>
        <v>MI</v>
      </c>
      <c r="AU222" s="169" t="str">
        <f>I222</f>
        <v>Mercadorias</v>
      </c>
      <c r="AV222" s="170"/>
      <c r="AW222" s="171">
        <f>IF(K222=$K$50,0,IF(K222=$K$53,0,IF(K222=$K$54,0,IF(K222=$K$55,0,IF(K222=$K$56,0,IF(K222=$K$57,0,IF(K222=$K$58,0,IF(K222=$K$65,0,IF(K222=$K$66,0,IF(K222=$K$67,0,IF(K222=$K$68,0,IF(K222=$K$69,0,IF(K222=$K$51,0,1))))))))))))*AM222*AI222)</f>
        <v>0</v>
      </c>
      <c r="AX222" s="172">
        <f>IF(K222=$K$50,0,IF(K222=$K$53,0,IF(K222=$K$54,0,IF(K222=$K$55,0,IF(K222=$K$56,0,IF(K222=$K$57,0,IF(K222=$K$58,0,IF(K222=$K$65,0,IF(K222=$K$66,0,IF(K222=$K$67,0,IF(K222=$K$68,0,IF(K222=$K$69,0,IF(K222=$K$51,0,1))))))))))))*AM222*AJ222*$AX$94)</f>
        <v>0</v>
      </c>
      <c r="AY222" s="172">
        <f>IF(K222=$K$53,0,IF(K222=$K$54,0,IF(K222=$K$55,0,IF(K222=$K$56,0,IF(K222=$K$58,0,IF(K222=$K$50,0,IF(K222=$K$65,0,IF(K222=$K$57,0,IF(K222=$K$51,0,AM222*$AY$102)))))))))</f>
        <v>0</v>
      </c>
      <c r="AZ222" s="172">
        <f>IF(K222=$K$53,0,IF(K222=$K$54,0,IF(K222=$K$55,0,IF(K222=$K$56,0,IF(K222=$K$58,0,IF(K222=$K$50,0,IF(K222=$K$65,0,IF(K222=$K$57,0,IF(K222=$K$51,0,AM222*$AZ$102)))))))))</f>
        <v>0</v>
      </c>
      <c r="BA222" s="172">
        <f t="shared" si="30"/>
        <v>0</v>
      </c>
      <c r="BB222" s="173">
        <f>IF($BA$97=1,AQ222*$BB$102,IF(K222=$K$50,0,IF(K222=$K$53,0,IF(K222=$K$54,0,IF(K222=$K$55,0,IF(K222=$K$56,0,IF(K222=$K$57,0,IF(K222=$K$58,0,IF(K222=$K$65,0,IF(K222=$K$66,0,IF(K222=$K$67,0,IF(K222=$K$68,0,IF(K222=$K$69,0,IF(K222=$K$51,0,1)))))))))))*AQ222*$BB$102)))</f>
        <v>0</v>
      </c>
      <c r="BC222" s="172">
        <f t="shared" si="31"/>
        <v>0</v>
      </c>
      <c r="BD222" s="172">
        <f t="shared" si="32"/>
        <v>0</v>
      </c>
      <c r="BE222" s="172">
        <f>IF($BE$95=I222,$BE$97,IF(I222=$BE$96,$BE$97,1))*($BE$102*AQ222)*$AZ$97</f>
        <v>0</v>
      </c>
      <c r="BF222" s="172">
        <f>IF('[1]Cockpit Retorno'!$C$65=Sim,Mestre!BA222,SUM(BB222:BE222)+(IF(K222=$K$56,AQ222*MOE_IRRF_LR,0)))</f>
        <v>0</v>
      </c>
      <c r="BG222" s="174">
        <f>IF(AA222&gt;0,0,IF(Z222=$Z$82,AG222*1,(IF(Z222=$Z$81,AG222*1,0))))</f>
        <v>0</v>
      </c>
      <c r="BH222" s="174">
        <f>IF(AA222&gt;0,0,IF(Z222=$Z$83,AG222*1,IF(Z222=$Z$81,AG222*1,0)))</f>
        <v>0</v>
      </c>
      <c r="BI222" s="174">
        <f>IF(AA222&gt;0,0,IF(Z222=$Z$84,AG222*1,IF(Z222=$Z$93,AG222*2,IF(Z222=$Z$100,AG222,IF(Z222=$Z$81,AG222*2,IF(Z222=$Z$80,AG222*1,IF(Z222=$Z$79,AG222*3,IF(Z222=$Z$78,AG222*2,0))))))))</f>
        <v>0</v>
      </c>
      <c r="BJ222" s="174">
        <f>IF(AA222&gt;0,0,IF(Z222=$Z$85,AG222,IF(Z222=$Z$93,AG222,IF(Z222=$Z$100,AG222,IF(Z222=$Z$81,AG222*1,IF(Z222=$Z$80,AG222*2,IF(Z222=$Z$79,AG222*2,IF(Z222=$Z$78,AG222*2,0))))))))</f>
        <v>0</v>
      </c>
      <c r="BK222" s="174">
        <f>IF(AA222&gt;0,0,IF(Z222=$Z$92,AG222,0))</f>
        <v>0</v>
      </c>
      <c r="BL222" s="174">
        <f>IF(AA222&gt;0,0,IF(Z222=$Z$91,AG222,0))</f>
        <v>0</v>
      </c>
      <c r="BM222" s="174">
        <f>IF(AA222&gt;0,0,IF(Z222=$Z$86,AG222,0))</f>
        <v>0</v>
      </c>
      <c r="BN222" s="174">
        <f>IF(AA222&gt;0,0,IF(Z222=$Z$87,AG222,0))</f>
        <v>0</v>
      </c>
      <c r="BO222" s="174">
        <f>IF(AA222&gt;0,0,IF(Z222=$Z$88,AG222,0))</f>
        <v>0</v>
      </c>
      <c r="BP222" s="174">
        <f>IF(AA222&gt;0,0,IF(Z222=$Z$89,AG222,0))</f>
        <v>0</v>
      </c>
      <c r="BQ222" s="174">
        <f>IF(AA222&gt;0,0,IF(Z222=$Z$90,AG222,0))</f>
        <v>0</v>
      </c>
      <c r="BR222" s="174">
        <f>IF(Z222=$Z$82,AA222*AG222,0)</f>
        <v>0</v>
      </c>
      <c r="BS222" s="174">
        <f>IF(Z222=$Z$83,AA222*AG222,0)</f>
        <v>0</v>
      </c>
      <c r="BT222" s="174">
        <f>IF(AA222&lt;1,0,IF(Z222=$Z$84,AA222*AG222,IF(Z222=$Z$93,"ERRO",IF(Z222=$Z$100,"ERRO",0))))</f>
        <v>0</v>
      </c>
      <c r="BU222" s="174">
        <f>IF(AA222&lt;1,0,IF(Z222=$Z$85,AA222*AG222,IF(Z222=$Z$93,"ERRO",IF(Z222=$Z$100,"ERRO",0))))</f>
        <v>0</v>
      </c>
      <c r="BV222" s="174">
        <f>IF(Z222=$Z$92,AA222*AG222,0)</f>
        <v>0</v>
      </c>
      <c r="BW222" s="174">
        <f>IF(Z222=$Z$91,AA222*AG222,0)</f>
        <v>0</v>
      </c>
      <c r="BX222" s="174">
        <f>IF(Z222=$Z$86,AA222*AG222,0)</f>
        <v>0</v>
      </c>
      <c r="BY222" s="174">
        <f>IF(Z222=$Z$87,AA222*AG222,0)</f>
        <v>0</v>
      </c>
      <c r="BZ222" s="174">
        <f>IF(Z222=$Z$88,AA222*AG222,0)</f>
        <v>0</v>
      </c>
      <c r="CA222" s="174">
        <f>IF(Z222=$Z$89,AA222*AG222,0)</f>
        <v>0</v>
      </c>
      <c r="CB222" s="174">
        <f>IF(Z222=$Z$90,AA222*AG222,0)</f>
        <v>0</v>
      </c>
      <c r="CC222" s="175">
        <f>IFERROR(IF(L222=$L$49,AG222*AH222*(1+AI222)*(1-AK222)*(1-AL222),0),0)</f>
        <v>2041.3267500000002</v>
      </c>
      <c r="CD222" s="203"/>
      <c r="CE222" s="203"/>
      <c r="CF222" s="204"/>
      <c r="CG222" s="203"/>
      <c r="CH222" s="204"/>
      <c r="CI222" s="203"/>
      <c r="CJ222" s="205"/>
      <c r="CK222" s="205"/>
      <c r="CL222" s="205"/>
      <c r="CM222" s="205"/>
      <c r="CN222" s="206"/>
      <c r="CO222" s="204"/>
      <c r="CP222" s="207"/>
      <c r="CQ222" s="208"/>
      <c r="CR222" s="209"/>
      <c r="CS222" s="49"/>
      <c r="CT222" s="49"/>
      <c r="CU222" s="49"/>
      <c r="CV222" s="49"/>
      <c r="CW222" s="49"/>
      <c r="CX222" s="49"/>
      <c r="CY222" s="49"/>
      <c r="CZ222" s="49"/>
      <c r="DA222" s="49"/>
      <c r="DB222" s="49"/>
      <c r="DC222" s="49"/>
      <c r="DD222" s="49"/>
      <c r="DE222" s="49"/>
      <c r="DF222" s="49"/>
      <c r="DG222" s="49"/>
      <c r="DH222" s="49"/>
      <c r="DI222" s="49"/>
      <c r="DJ222" s="49"/>
      <c r="DK222" s="49"/>
      <c r="DL222" s="49"/>
      <c r="DM222" s="49"/>
      <c r="DN222" s="49"/>
      <c r="DO222" s="49"/>
      <c r="DP222" s="49"/>
      <c r="DQ222" s="49"/>
      <c r="DR222" s="49"/>
      <c r="DS222" s="49"/>
      <c r="DT222" s="49"/>
      <c r="DU222" s="49"/>
      <c r="DV222" s="49"/>
      <c r="DW222" s="49"/>
      <c r="DX222" s="49"/>
      <c r="DY222" s="49"/>
      <c r="DZ222" s="49"/>
      <c r="EA222" s="49"/>
      <c r="EB222" s="49"/>
      <c r="EC222" s="49"/>
      <c r="ED222" s="49"/>
      <c r="EE222" s="49"/>
      <c r="EF222" s="49"/>
      <c r="EG222" s="49"/>
      <c r="EH222" s="49"/>
      <c r="EI222" s="49"/>
      <c r="EJ222" s="49"/>
      <c r="EK222" s="49"/>
      <c r="EL222" s="49"/>
      <c r="EM222" s="49"/>
      <c r="EN222" s="49"/>
      <c r="EO222" s="49"/>
      <c r="EP222" s="49"/>
      <c r="EQ222" s="49"/>
      <c r="ER222" s="49"/>
      <c r="ES222" s="49"/>
      <c r="ET222" s="49"/>
      <c r="EU222" s="49"/>
      <c r="EV222" s="49"/>
      <c r="EW222" s="49"/>
      <c r="EX222" s="49"/>
      <c r="EY222" s="49"/>
      <c r="EZ222" s="49"/>
      <c r="FA222" s="49"/>
    </row>
    <row r="223" spans="1:157" s="210" customFormat="1" ht="38.25" x14ac:dyDescent="0.25">
      <c r="A223" s="113"/>
      <c r="B223" s="113"/>
      <c r="C223" s="113"/>
      <c r="D223" s="148"/>
      <c r="E223" s="115"/>
      <c r="F223" s="116"/>
      <c r="G223" s="149"/>
      <c r="H223" s="150" t="s">
        <v>7</v>
      </c>
      <c r="I223" s="151" t="str">
        <f t="shared" si="26"/>
        <v>Mercadorias</v>
      </c>
      <c r="J223" s="150" t="s">
        <v>15</v>
      </c>
      <c r="K223" s="152" t="s">
        <v>7</v>
      </c>
      <c r="L223" s="153" t="s">
        <v>21</v>
      </c>
      <c r="M223" s="154" t="s">
        <v>290</v>
      </c>
      <c r="N223" s="155" t="s">
        <v>370</v>
      </c>
      <c r="O223" s="155" t="s">
        <v>343</v>
      </c>
      <c r="P223" s="155"/>
      <c r="Q223" s="155"/>
      <c r="R223" s="155"/>
      <c r="S223" s="156"/>
      <c r="T223" s="156"/>
      <c r="U223" s="150"/>
      <c r="V223" s="150"/>
      <c r="W223" s="150"/>
      <c r="X223" s="157" t="s">
        <v>375</v>
      </c>
      <c r="Y223" s="150"/>
      <c r="Z223" s="150"/>
      <c r="AA223" s="158"/>
      <c r="AB223" s="155"/>
      <c r="AC223" s="150"/>
      <c r="AD223" s="155"/>
      <c r="AE223" s="155"/>
      <c r="AF223" s="150"/>
      <c r="AG223" s="159">
        <v>10</v>
      </c>
      <c r="AH223" s="159">
        <v>85.383300000000006</v>
      </c>
      <c r="AI223" s="202">
        <v>0</v>
      </c>
      <c r="AJ223" s="161">
        <v>7.0000000000000007E-2</v>
      </c>
      <c r="AK223" s="162">
        <v>0.05</v>
      </c>
      <c r="AL223" s="163"/>
      <c r="AM223" s="164">
        <f>(((IF(L223=$L$101,1,IF(L223=$L$47,1,0))*(AH223*(1-AK223)))*AG223)*(1-AL223))</f>
        <v>0</v>
      </c>
      <c r="AN223" s="165">
        <f>IF(K223=$K$50,AM223,IF(K223=$K$53,AM223,IF(K223=$K$54,AM223,IF(K223=$K$55,AM223,IF(K223=$K$56,AM223,IF(K223=$K$57,AM223,IF(K223=$K$58,AM223,IF(K223=$K$65,AM223,IF(K223=$K$66,AM223,IF(K223=$K$67,AM223,IF(K223=$K$68,AM223,IF(K223=$K$69,AM223,IF(K223=$K$51,AM223,(AM223*(1+AI223)))))))))))))))</f>
        <v>0</v>
      </c>
      <c r="AO223" s="166">
        <v>1.4</v>
      </c>
      <c r="AP223" s="160">
        <f t="shared" si="27"/>
        <v>0</v>
      </c>
      <c r="AQ223" s="167">
        <f t="shared" si="45"/>
        <v>0</v>
      </c>
      <c r="AR223" s="160">
        <f t="shared" si="28"/>
        <v>0</v>
      </c>
      <c r="AS223" s="168">
        <f t="shared" si="29"/>
        <v>0</v>
      </c>
      <c r="AT223" s="169" t="str">
        <f>K223</f>
        <v>MI</v>
      </c>
      <c r="AU223" s="169" t="str">
        <f>I223</f>
        <v>Mercadorias</v>
      </c>
      <c r="AV223" s="170"/>
      <c r="AW223" s="171">
        <f>IF(K223=$K$50,0,IF(K223=$K$53,0,IF(K223=$K$54,0,IF(K223=$K$55,0,IF(K223=$K$56,0,IF(K223=$K$57,0,IF(K223=$K$58,0,IF(K223=$K$65,0,IF(K223=$K$66,0,IF(K223=$K$67,0,IF(K223=$K$68,0,IF(K223=$K$69,0,IF(K223=$K$51,0,1))))))))))))*AM223*AI223)</f>
        <v>0</v>
      </c>
      <c r="AX223" s="172">
        <f>IF(K223=$K$50,0,IF(K223=$K$53,0,IF(K223=$K$54,0,IF(K223=$K$55,0,IF(K223=$K$56,0,IF(K223=$K$57,0,IF(K223=$K$58,0,IF(K223=$K$65,0,IF(K223=$K$66,0,IF(K223=$K$67,0,IF(K223=$K$68,0,IF(K223=$K$69,0,IF(K223=$K$51,0,1))))))))))))*AM223*AJ223*$AX$94)</f>
        <v>0</v>
      </c>
      <c r="AY223" s="172">
        <f>IF(K223=$K$53,0,IF(K223=$K$54,0,IF(K223=$K$55,0,IF(K223=$K$56,0,IF(K223=$K$58,0,IF(K223=$K$50,0,IF(K223=$K$65,0,IF(K223=$K$57,0,IF(K223=$K$51,0,AM223*$AY$102)))))))))</f>
        <v>0</v>
      </c>
      <c r="AZ223" s="172">
        <f>IF(K223=$K$53,0,IF(K223=$K$54,0,IF(K223=$K$55,0,IF(K223=$K$56,0,IF(K223=$K$58,0,IF(K223=$K$50,0,IF(K223=$K$65,0,IF(K223=$K$57,0,IF(K223=$K$51,0,AM223*$AZ$102)))))))))</f>
        <v>0</v>
      </c>
      <c r="BA223" s="172">
        <f t="shared" si="30"/>
        <v>0</v>
      </c>
      <c r="BB223" s="173">
        <f>IF($BA$97=1,AQ223*$BB$102,IF(K223=$K$50,0,IF(K223=$K$53,0,IF(K223=$K$54,0,IF(K223=$K$55,0,IF(K223=$K$56,0,IF(K223=$K$57,0,IF(K223=$K$58,0,IF(K223=$K$65,0,IF(K223=$K$66,0,IF(K223=$K$67,0,IF(K223=$K$68,0,IF(K223=$K$69,0,IF(K223=$K$51,0,1)))))))))))*AQ223*$BB$102)))</f>
        <v>0</v>
      </c>
      <c r="BC223" s="172">
        <f t="shared" si="31"/>
        <v>0</v>
      </c>
      <c r="BD223" s="172">
        <f t="shared" si="32"/>
        <v>0</v>
      </c>
      <c r="BE223" s="172">
        <f>IF($BE$95=I223,$BE$97,IF(I223=$BE$96,$BE$97,1))*($BE$102*AQ223)*$AZ$97</f>
        <v>0</v>
      </c>
      <c r="BF223" s="172">
        <f>IF('[1]Cockpit Retorno'!$C$65=Sim,Mestre!BA223,SUM(BB223:BE223)+(IF(K223=$K$56,AQ223*MOE_IRRF_LR,0)))</f>
        <v>0</v>
      </c>
      <c r="BG223" s="174">
        <f>IF(AA223&gt;0,0,IF(Z223=$Z$82,AG223*1,(IF(Z223=$Z$81,AG223*1,0))))</f>
        <v>0</v>
      </c>
      <c r="BH223" s="174">
        <f>IF(AA223&gt;0,0,IF(Z223=$Z$83,AG223*1,IF(Z223=$Z$81,AG223*1,0)))</f>
        <v>0</v>
      </c>
      <c r="BI223" s="174">
        <f>IF(AA223&gt;0,0,IF(Z223=$Z$84,AG223*1,IF(Z223=$Z$93,AG223*2,IF(Z223=$Z$100,AG223,IF(Z223=$Z$81,AG223*2,IF(Z223=$Z$80,AG223*1,IF(Z223=$Z$79,AG223*3,IF(Z223=$Z$78,AG223*2,0))))))))</f>
        <v>0</v>
      </c>
      <c r="BJ223" s="174">
        <f>IF(AA223&gt;0,0,IF(Z223=$Z$85,AG223,IF(Z223=$Z$93,AG223,IF(Z223=$Z$100,AG223,IF(Z223=$Z$81,AG223*1,IF(Z223=$Z$80,AG223*2,IF(Z223=$Z$79,AG223*2,IF(Z223=$Z$78,AG223*2,0))))))))</f>
        <v>0</v>
      </c>
      <c r="BK223" s="174">
        <f>IF(AA223&gt;0,0,IF(Z223=$Z$92,AG223,0))</f>
        <v>0</v>
      </c>
      <c r="BL223" s="174">
        <f>IF(AA223&gt;0,0,IF(Z223=$Z$91,AG223,0))</f>
        <v>0</v>
      </c>
      <c r="BM223" s="174">
        <f>IF(AA223&gt;0,0,IF(Z223=$Z$86,AG223,0))</f>
        <v>0</v>
      </c>
      <c r="BN223" s="174">
        <f>IF(AA223&gt;0,0,IF(Z223=$Z$87,AG223,0))</f>
        <v>0</v>
      </c>
      <c r="BO223" s="174">
        <f>IF(AA223&gt;0,0,IF(Z223=$Z$88,AG223,0))</f>
        <v>0</v>
      </c>
      <c r="BP223" s="174">
        <f>IF(AA223&gt;0,0,IF(Z223=$Z$89,AG223,0))</f>
        <v>0</v>
      </c>
      <c r="BQ223" s="174">
        <f>IF(AA223&gt;0,0,IF(Z223=$Z$90,AG223,0))</f>
        <v>0</v>
      </c>
      <c r="BR223" s="174">
        <f>IF(Z223=$Z$82,AA223*AG223,0)</f>
        <v>0</v>
      </c>
      <c r="BS223" s="174">
        <f>IF(Z223=$Z$83,AA223*AG223,0)</f>
        <v>0</v>
      </c>
      <c r="BT223" s="174">
        <f>IF(AA223&lt;1,0,IF(Z223=$Z$84,AA223*AG223,IF(Z223=$Z$93,"ERRO",IF(Z223=$Z$100,"ERRO",0))))</f>
        <v>0</v>
      </c>
      <c r="BU223" s="174">
        <f>IF(AA223&lt;1,0,IF(Z223=$Z$85,AA223*AG223,IF(Z223=$Z$93,"ERRO",IF(Z223=$Z$100,"ERRO",0))))</f>
        <v>0</v>
      </c>
      <c r="BV223" s="174">
        <f>IF(Z223=$Z$92,AA223*AG223,0)</f>
        <v>0</v>
      </c>
      <c r="BW223" s="174">
        <f>IF(Z223=$Z$91,AA223*AG223,0)</f>
        <v>0</v>
      </c>
      <c r="BX223" s="174">
        <f>IF(Z223=$Z$86,AA223*AG223,0)</f>
        <v>0</v>
      </c>
      <c r="BY223" s="174">
        <f>IF(Z223=$Z$87,AA223*AG223,0)</f>
        <v>0</v>
      </c>
      <c r="BZ223" s="174">
        <f>IF(Z223=$Z$88,AA223*AG223,0)</f>
        <v>0</v>
      </c>
      <c r="CA223" s="174">
        <f>IF(Z223=$Z$89,AA223*AG223,0)</f>
        <v>0</v>
      </c>
      <c r="CB223" s="174">
        <f>IF(Z223=$Z$90,AA223*AG223,0)</f>
        <v>0</v>
      </c>
      <c r="CC223" s="175">
        <f>IFERROR(IF(L223=$L$49,AG223*AH223*(1+AI223)*(1-AK223)*(1-AL223),0),0)</f>
        <v>811.14134999999999</v>
      </c>
      <c r="CD223" s="203"/>
      <c r="CE223" s="203"/>
      <c r="CF223" s="204"/>
      <c r="CG223" s="203"/>
      <c r="CH223" s="204"/>
      <c r="CI223" s="203"/>
      <c r="CJ223" s="205"/>
      <c r="CK223" s="205"/>
      <c r="CL223" s="205"/>
      <c r="CM223" s="205"/>
      <c r="CN223" s="206"/>
      <c r="CO223" s="204"/>
      <c r="CP223" s="207"/>
      <c r="CQ223" s="208"/>
      <c r="CR223" s="209"/>
      <c r="CS223" s="49"/>
      <c r="CT223" s="49"/>
      <c r="CU223" s="49"/>
      <c r="CV223" s="49"/>
      <c r="CW223" s="49"/>
      <c r="CX223" s="49"/>
      <c r="CY223" s="49"/>
      <c r="CZ223" s="49"/>
      <c r="DA223" s="49"/>
      <c r="DB223" s="49"/>
      <c r="DC223" s="49"/>
      <c r="DD223" s="49"/>
      <c r="DE223" s="49"/>
      <c r="DF223" s="49"/>
      <c r="DG223" s="49"/>
      <c r="DH223" s="49"/>
      <c r="DI223" s="49"/>
      <c r="DJ223" s="49"/>
      <c r="DK223" s="49"/>
      <c r="DL223" s="49"/>
      <c r="DM223" s="49"/>
      <c r="DN223" s="49"/>
      <c r="DO223" s="49"/>
      <c r="DP223" s="49"/>
      <c r="DQ223" s="49"/>
      <c r="DR223" s="49"/>
      <c r="DS223" s="49"/>
      <c r="DT223" s="49"/>
      <c r="DU223" s="49"/>
      <c r="DV223" s="49"/>
      <c r="DW223" s="49"/>
      <c r="DX223" s="49"/>
      <c r="DY223" s="49"/>
      <c r="DZ223" s="49"/>
      <c r="EA223" s="49"/>
      <c r="EB223" s="49"/>
      <c r="EC223" s="49"/>
      <c r="ED223" s="49"/>
      <c r="EE223" s="49"/>
      <c r="EF223" s="49"/>
      <c r="EG223" s="49"/>
      <c r="EH223" s="49"/>
      <c r="EI223" s="49"/>
      <c r="EJ223" s="49"/>
      <c r="EK223" s="49"/>
      <c r="EL223" s="49"/>
      <c r="EM223" s="49"/>
      <c r="EN223" s="49"/>
      <c r="EO223" s="49"/>
      <c r="EP223" s="49"/>
      <c r="EQ223" s="49"/>
      <c r="ER223" s="49"/>
      <c r="ES223" s="49"/>
      <c r="ET223" s="49"/>
      <c r="EU223" s="49"/>
      <c r="EV223" s="49"/>
      <c r="EW223" s="49"/>
      <c r="EX223" s="49"/>
      <c r="EY223" s="49"/>
      <c r="EZ223" s="49"/>
      <c r="FA223" s="49"/>
    </row>
    <row r="224" spans="1:157" s="210" customFormat="1" ht="38.25" x14ac:dyDescent="0.25">
      <c r="A224" s="113"/>
      <c r="B224" s="113"/>
      <c r="C224" s="113"/>
      <c r="D224" s="148"/>
      <c r="E224" s="115"/>
      <c r="F224" s="116"/>
      <c r="G224" s="149"/>
      <c r="H224" s="150" t="s">
        <v>7</v>
      </c>
      <c r="I224" s="151" t="str">
        <f t="shared" si="26"/>
        <v>Mercadorias</v>
      </c>
      <c r="J224" s="150" t="s">
        <v>15</v>
      </c>
      <c r="K224" s="152" t="s">
        <v>7</v>
      </c>
      <c r="L224" s="153" t="s">
        <v>21</v>
      </c>
      <c r="M224" s="154" t="s">
        <v>290</v>
      </c>
      <c r="N224" s="155" t="s">
        <v>370</v>
      </c>
      <c r="O224" s="155" t="s">
        <v>343</v>
      </c>
      <c r="P224" s="155"/>
      <c r="Q224" s="155"/>
      <c r="R224" s="155"/>
      <c r="S224" s="156"/>
      <c r="T224" s="156"/>
      <c r="U224" s="150"/>
      <c r="V224" s="150"/>
      <c r="W224" s="150"/>
      <c r="X224" s="157" t="s">
        <v>346</v>
      </c>
      <c r="Y224" s="150"/>
      <c r="Z224" s="150"/>
      <c r="AA224" s="158"/>
      <c r="AB224" s="155"/>
      <c r="AC224" s="150"/>
      <c r="AD224" s="155"/>
      <c r="AE224" s="155"/>
      <c r="AF224" s="150"/>
      <c r="AG224" s="159">
        <v>30</v>
      </c>
      <c r="AH224" s="159">
        <v>127.86570000000002</v>
      </c>
      <c r="AI224" s="202">
        <v>0</v>
      </c>
      <c r="AJ224" s="161">
        <v>7.0000000000000007E-2</v>
      </c>
      <c r="AK224" s="162">
        <v>0.05</v>
      </c>
      <c r="AL224" s="163"/>
      <c r="AM224" s="164">
        <f>(((IF(L224=$L$101,1,IF(L224=$L$47,1,0))*(AH224*(1-AK224)))*AG224)*(1-AL224))</f>
        <v>0</v>
      </c>
      <c r="AN224" s="165">
        <f>IF(K224=$K$50,AM224,IF(K224=$K$53,AM224,IF(K224=$K$54,AM224,IF(K224=$K$55,AM224,IF(K224=$K$56,AM224,IF(K224=$K$57,AM224,IF(K224=$K$58,AM224,IF(K224=$K$65,AM224,IF(K224=$K$66,AM224,IF(K224=$K$67,AM224,IF(K224=$K$68,AM224,IF(K224=$K$69,AM224,IF(K224=$K$51,AM224,(AM224*(1+AI224)))))))))))))))</f>
        <v>0</v>
      </c>
      <c r="AO224" s="166">
        <v>1.4</v>
      </c>
      <c r="AP224" s="160">
        <f t="shared" si="27"/>
        <v>0</v>
      </c>
      <c r="AQ224" s="167">
        <f t="shared" si="45"/>
        <v>0</v>
      </c>
      <c r="AR224" s="160">
        <f t="shared" si="28"/>
        <v>0</v>
      </c>
      <c r="AS224" s="168">
        <f t="shared" si="29"/>
        <v>0</v>
      </c>
      <c r="AT224" s="169" t="str">
        <f>K224</f>
        <v>MI</v>
      </c>
      <c r="AU224" s="169" t="str">
        <f>I224</f>
        <v>Mercadorias</v>
      </c>
      <c r="AV224" s="170"/>
      <c r="AW224" s="171">
        <f>IF(K224=$K$50,0,IF(K224=$K$53,0,IF(K224=$K$54,0,IF(K224=$K$55,0,IF(K224=$K$56,0,IF(K224=$K$57,0,IF(K224=$K$58,0,IF(K224=$K$65,0,IF(K224=$K$66,0,IF(K224=$K$67,0,IF(K224=$K$68,0,IF(K224=$K$69,0,IF(K224=$K$51,0,1))))))))))))*AM224*AI224)</f>
        <v>0</v>
      </c>
      <c r="AX224" s="172">
        <f>IF(K224=$K$50,0,IF(K224=$K$53,0,IF(K224=$K$54,0,IF(K224=$K$55,0,IF(K224=$K$56,0,IF(K224=$K$57,0,IF(K224=$K$58,0,IF(K224=$K$65,0,IF(K224=$K$66,0,IF(K224=$K$67,0,IF(K224=$K$68,0,IF(K224=$K$69,0,IF(K224=$K$51,0,1))))))))))))*AM224*AJ224*$AX$94)</f>
        <v>0</v>
      </c>
      <c r="AY224" s="172">
        <f>IF(K224=$K$53,0,IF(K224=$K$54,0,IF(K224=$K$55,0,IF(K224=$K$56,0,IF(K224=$K$58,0,IF(K224=$K$50,0,IF(K224=$K$65,0,IF(K224=$K$57,0,IF(K224=$K$51,0,AM224*$AY$102)))))))))</f>
        <v>0</v>
      </c>
      <c r="AZ224" s="172">
        <f>IF(K224=$K$53,0,IF(K224=$K$54,0,IF(K224=$K$55,0,IF(K224=$K$56,0,IF(K224=$K$58,0,IF(K224=$K$50,0,IF(K224=$K$65,0,IF(K224=$K$57,0,IF(K224=$K$51,0,AM224*$AZ$102)))))))))</f>
        <v>0</v>
      </c>
      <c r="BA224" s="172">
        <f t="shared" si="30"/>
        <v>0</v>
      </c>
      <c r="BB224" s="173">
        <f>IF($BA$97=1,AQ224*$BB$102,IF(K224=$K$50,0,IF(K224=$K$53,0,IF(K224=$K$54,0,IF(K224=$K$55,0,IF(K224=$K$56,0,IF(K224=$K$57,0,IF(K224=$K$58,0,IF(K224=$K$65,0,IF(K224=$K$66,0,IF(K224=$K$67,0,IF(K224=$K$68,0,IF(K224=$K$69,0,IF(K224=$K$51,0,1)))))))))))*AQ224*$BB$102)))</f>
        <v>0</v>
      </c>
      <c r="BC224" s="172">
        <f t="shared" si="31"/>
        <v>0</v>
      </c>
      <c r="BD224" s="172">
        <f t="shared" si="32"/>
        <v>0</v>
      </c>
      <c r="BE224" s="172">
        <f>IF($BE$95=I224,$BE$97,IF(I224=$BE$96,$BE$97,1))*($BE$102*AQ224)*$AZ$97</f>
        <v>0</v>
      </c>
      <c r="BF224" s="172">
        <f>IF('[1]Cockpit Retorno'!$C$65=Sim,Mestre!BA224,SUM(BB224:BE224)+(IF(K224=$K$56,AQ224*MOE_IRRF_LR,0)))</f>
        <v>0</v>
      </c>
      <c r="BG224" s="174">
        <f>IF(AA224&gt;0,0,IF(Z224=$Z$82,AG224*1,(IF(Z224=$Z$81,AG224*1,0))))</f>
        <v>0</v>
      </c>
      <c r="BH224" s="174">
        <f>IF(AA224&gt;0,0,IF(Z224=$Z$83,AG224*1,IF(Z224=$Z$81,AG224*1,0)))</f>
        <v>0</v>
      </c>
      <c r="BI224" s="174">
        <f>IF(AA224&gt;0,0,IF(Z224=$Z$84,AG224*1,IF(Z224=$Z$93,AG224*2,IF(Z224=$Z$100,AG224,IF(Z224=$Z$81,AG224*2,IF(Z224=$Z$80,AG224*1,IF(Z224=$Z$79,AG224*3,IF(Z224=$Z$78,AG224*2,0))))))))</f>
        <v>0</v>
      </c>
      <c r="BJ224" s="174">
        <f>IF(AA224&gt;0,0,IF(Z224=$Z$85,AG224,IF(Z224=$Z$93,AG224,IF(Z224=$Z$100,AG224,IF(Z224=$Z$81,AG224*1,IF(Z224=$Z$80,AG224*2,IF(Z224=$Z$79,AG224*2,IF(Z224=$Z$78,AG224*2,0))))))))</f>
        <v>0</v>
      </c>
      <c r="BK224" s="174">
        <f>IF(AA224&gt;0,0,IF(Z224=$Z$92,AG224,0))</f>
        <v>0</v>
      </c>
      <c r="BL224" s="174">
        <f>IF(AA224&gt;0,0,IF(Z224=$Z$91,AG224,0))</f>
        <v>0</v>
      </c>
      <c r="BM224" s="174">
        <f>IF(AA224&gt;0,0,IF(Z224=$Z$86,AG224,0))</f>
        <v>0</v>
      </c>
      <c r="BN224" s="174">
        <f>IF(AA224&gt;0,0,IF(Z224=$Z$87,AG224,0))</f>
        <v>0</v>
      </c>
      <c r="BO224" s="174">
        <f>IF(AA224&gt;0,0,IF(Z224=$Z$88,AG224,0))</f>
        <v>0</v>
      </c>
      <c r="BP224" s="174">
        <f>IF(AA224&gt;0,0,IF(Z224=$Z$89,AG224,0))</f>
        <v>0</v>
      </c>
      <c r="BQ224" s="174">
        <f>IF(AA224&gt;0,0,IF(Z224=$Z$90,AG224,0))</f>
        <v>0</v>
      </c>
      <c r="BR224" s="174">
        <f>IF(Z224=$Z$82,AA224*AG224,0)</f>
        <v>0</v>
      </c>
      <c r="BS224" s="174">
        <f>IF(Z224=$Z$83,AA224*AG224,0)</f>
        <v>0</v>
      </c>
      <c r="BT224" s="174">
        <f>IF(AA224&lt;1,0,IF(Z224=$Z$84,AA224*AG224,IF(Z224=$Z$93,"ERRO",IF(Z224=$Z$100,"ERRO",0))))</f>
        <v>0</v>
      </c>
      <c r="BU224" s="174">
        <f>IF(AA224&lt;1,0,IF(Z224=$Z$85,AA224*AG224,IF(Z224=$Z$93,"ERRO",IF(Z224=$Z$100,"ERRO",0))))</f>
        <v>0</v>
      </c>
      <c r="BV224" s="174">
        <f>IF(Z224=$Z$92,AA224*AG224,0)</f>
        <v>0</v>
      </c>
      <c r="BW224" s="174">
        <f>IF(Z224=$Z$91,AA224*AG224,0)</f>
        <v>0</v>
      </c>
      <c r="BX224" s="174">
        <f>IF(Z224=$Z$86,AA224*AG224,0)</f>
        <v>0</v>
      </c>
      <c r="BY224" s="174">
        <f>IF(Z224=$Z$87,AA224*AG224,0)</f>
        <v>0</v>
      </c>
      <c r="BZ224" s="174">
        <f>IF(Z224=$Z$88,AA224*AG224,0)</f>
        <v>0</v>
      </c>
      <c r="CA224" s="174">
        <f>IF(Z224=$Z$89,AA224*AG224,0)</f>
        <v>0</v>
      </c>
      <c r="CB224" s="174">
        <f>IF(Z224=$Z$90,AA224*AG224,0)</f>
        <v>0</v>
      </c>
      <c r="CC224" s="175">
        <f>IFERROR(IF(L224=$L$49,AG224*AH224*(1+AI224)*(1-AK224)*(1-AL224),0),0)</f>
        <v>3644.1724500000005</v>
      </c>
      <c r="CD224" s="203"/>
      <c r="CE224" s="203"/>
      <c r="CF224" s="204"/>
      <c r="CG224" s="203"/>
      <c r="CH224" s="204"/>
      <c r="CI224" s="203"/>
      <c r="CJ224" s="205"/>
      <c r="CK224" s="205"/>
      <c r="CL224" s="205"/>
      <c r="CM224" s="205"/>
      <c r="CN224" s="206"/>
      <c r="CO224" s="204"/>
      <c r="CP224" s="207"/>
      <c r="CQ224" s="208"/>
      <c r="CR224" s="209"/>
      <c r="CS224" s="49"/>
      <c r="CT224" s="49"/>
      <c r="CU224" s="49"/>
      <c r="CV224" s="49"/>
      <c r="CW224" s="49"/>
      <c r="CX224" s="49"/>
      <c r="CY224" s="49"/>
      <c r="CZ224" s="49"/>
      <c r="DA224" s="49"/>
      <c r="DB224" s="49"/>
      <c r="DC224" s="49"/>
      <c r="DD224" s="49"/>
      <c r="DE224" s="49"/>
      <c r="DF224" s="49"/>
      <c r="DG224" s="49"/>
      <c r="DH224" s="49"/>
      <c r="DI224" s="49"/>
      <c r="DJ224" s="49"/>
      <c r="DK224" s="49"/>
      <c r="DL224" s="49"/>
      <c r="DM224" s="49"/>
      <c r="DN224" s="49"/>
      <c r="DO224" s="49"/>
      <c r="DP224" s="49"/>
      <c r="DQ224" s="49"/>
      <c r="DR224" s="49"/>
      <c r="DS224" s="49"/>
      <c r="DT224" s="49"/>
      <c r="DU224" s="49"/>
      <c r="DV224" s="49"/>
      <c r="DW224" s="49"/>
      <c r="DX224" s="49"/>
      <c r="DY224" s="49"/>
      <c r="DZ224" s="49"/>
      <c r="EA224" s="49"/>
      <c r="EB224" s="49"/>
      <c r="EC224" s="49"/>
      <c r="ED224" s="49"/>
      <c r="EE224" s="49"/>
      <c r="EF224" s="49"/>
      <c r="EG224" s="49"/>
      <c r="EH224" s="49"/>
      <c r="EI224" s="49"/>
      <c r="EJ224" s="49"/>
      <c r="EK224" s="49"/>
      <c r="EL224" s="49"/>
      <c r="EM224" s="49"/>
      <c r="EN224" s="49"/>
      <c r="EO224" s="49"/>
      <c r="EP224" s="49"/>
      <c r="EQ224" s="49"/>
      <c r="ER224" s="49"/>
      <c r="ES224" s="49"/>
      <c r="ET224" s="49"/>
      <c r="EU224" s="49"/>
      <c r="EV224" s="49"/>
      <c r="EW224" s="49"/>
      <c r="EX224" s="49"/>
      <c r="EY224" s="49"/>
      <c r="EZ224" s="49"/>
      <c r="FA224" s="49"/>
    </row>
    <row r="225" spans="1:157" s="210" customFormat="1" ht="38.25" x14ac:dyDescent="0.25">
      <c r="A225" s="113"/>
      <c r="B225" s="113"/>
      <c r="C225" s="113"/>
      <c r="D225" s="148"/>
      <c r="E225" s="115"/>
      <c r="F225" s="116"/>
      <c r="G225" s="149"/>
      <c r="H225" s="150" t="s">
        <v>7</v>
      </c>
      <c r="I225" s="151" t="str">
        <f t="shared" si="26"/>
        <v>Mercadorias</v>
      </c>
      <c r="J225" s="150" t="s">
        <v>15</v>
      </c>
      <c r="K225" s="152" t="s">
        <v>7</v>
      </c>
      <c r="L225" s="153" t="s">
        <v>21</v>
      </c>
      <c r="M225" s="154" t="s">
        <v>290</v>
      </c>
      <c r="N225" s="155" t="s">
        <v>370</v>
      </c>
      <c r="O225" s="155" t="s">
        <v>343</v>
      </c>
      <c r="P225" s="155"/>
      <c r="Q225" s="155"/>
      <c r="R225" s="155"/>
      <c r="S225" s="156"/>
      <c r="T225" s="156"/>
      <c r="U225" s="150"/>
      <c r="V225" s="150"/>
      <c r="W225" s="150"/>
      <c r="X225" s="157" t="s">
        <v>376</v>
      </c>
      <c r="Y225" s="150"/>
      <c r="Z225" s="150"/>
      <c r="AA225" s="158"/>
      <c r="AB225" s="155"/>
      <c r="AC225" s="150"/>
      <c r="AD225" s="155"/>
      <c r="AE225" s="155"/>
      <c r="AF225" s="150"/>
      <c r="AG225" s="159">
        <v>20</v>
      </c>
      <c r="AH225" s="159">
        <v>190.56630000000001</v>
      </c>
      <c r="AI225" s="202">
        <v>0</v>
      </c>
      <c r="AJ225" s="161">
        <v>7.0000000000000007E-2</v>
      </c>
      <c r="AK225" s="162">
        <v>0.05</v>
      </c>
      <c r="AL225" s="163"/>
      <c r="AM225" s="164">
        <f>(((IF(L225=$L$101,1,IF(L225=$L$47,1,0))*(AH225*(1-AK225)))*AG225)*(1-AL225))</f>
        <v>0</v>
      </c>
      <c r="AN225" s="165">
        <f>IF(K225=$K$50,AM225,IF(K225=$K$53,AM225,IF(K225=$K$54,AM225,IF(K225=$K$55,AM225,IF(K225=$K$56,AM225,IF(K225=$K$57,AM225,IF(K225=$K$58,AM225,IF(K225=$K$65,AM225,IF(K225=$K$66,AM225,IF(K225=$K$67,AM225,IF(K225=$K$68,AM225,IF(K225=$K$69,AM225,IF(K225=$K$51,AM225,(AM225*(1+AI225)))))))))))))))</f>
        <v>0</v>
      </c>
      <c r="AO225" s="166">
        <v>1.4</v>
      </c>
      <c r="AP225" s="160">
        <f t="shared" si="27"/>
        <v>0</v>
      </c>
      <c r="AQ225" s="167">
        <f t="shared" si="45"/>
        <v>0</v>
      </c>
      <c r="AR225" s="160">
        <f t="shared" si="28"/>
        <v>0</v>
      </c>
      <c r="AS225" s="168">
        <f t="shared" si="29"/>
        <v>0</v>
      </c>
      <c r="AT225" s="169" t="str">
        <f>K225</f>
        <v>MI</v>
      </c>
      <c r="AU225" s="169" t="str">
        <f>I225</f>
        <v>Mercadorias</v>
      </c>
      <c r="AV225" s="170"/>
      <c r="AW225" s="171">
        <f>IF(K225=$K$50,0,IF(K225=$K$53,0,IF(K225=$K$54,0,IF(K225=$K$55,0,IF(K225=$K$56,0,IF(K225=$K$57,0,IF(K225=$K$58,0,IF(K225=$K$65,0,IF(K225=$K$66,0,IF(K225=$K$67,0,IF(K225=$K$68,0,IF(K225=$K$69,0,IF(K225=$K$51,0,1))))))))))))*AM225*AI225)</f>
        <v>0</v>
      </c>
      <c r="AX225" s="172">
        <f>IF(K225=$K$50,0,IF(K225=$K$53,0,IF(K225=$K$54,0,IF(K225=$K$55,0,IF(K225=$K$56,0,IF(K225=$K$57,0,IF(K225=$K$58,0,IF(K225=$K$65,0,IF(K225=$K$66,0,IF(K225=$K$67,0,IF(K225=$K$68,0,IF(K225=$K$69,0,IF(K225=$K$51,0,1))))))))))))*AM225*AJ225*$AX$94)</f>
        <v>0</v>
      </c>
      <c r="AY225" s="172">
        <f>IF(K225=$K$53,0,IF(K225=$K$54,0,IF(K225=$K$55,0,IF(K225=$K$56,0,IF(K225=$K$58,0,IF(K225=$K$50,0,IF(K225=$K$65,0,IF(K225=$K$57,0,IF(K225=$K$51,0,AM225*$AY$102)))))))))</f>
        <v>0</v>
      </c>
      <c r="AZ225" s="172">
        <f>IF(K225=$K$53,0,IF(K225=$K$54,0,IF(K225=$K$55,0,IF(K225=$K$56,0,IF(K225=$K$58,0,IF(K225=$K$50,0,IF(K225=$K$65,0,IF(K225=$K$57,0,IF(K225=$K$51,0,AM225*$AZ$102)))))))))</f>
        <v>0</v>
      </c>
      <c r="BA225" s="172">
        <f t="shared" si="30"/>
        <v>0</v>
      </c>
      <c r="BB225" s="173">
        <f>IF($BA$97=1,AQ225*$BB$102,IF(K225=$K$50,0,IF(K225=$K$53,0,IF(K225=$K$54,0,IF(K225=$K$55,0,IF(K225=$K$56,0,IF(K225=$K$57,0,IF(K225=$K$58,0,IF(K225=$K$65,0,IF(K225=$K$66,0,IF(K225=$K$67,0,IF(K225=$K$68,0,IF(K225=$K$69,0,IF(K225=$K$51,0,1)))))))))))*AQ225*$BB$102)))</f>
        <v>0</v>
      </c>
      <c r="BC225" s="172">
        <f t="shared" si="31"/>
        <v>0</v>
      </c>
      <c r="BD225" s="172">
        <f t="shared" si="32"/>
        <v>0</v>
      </c>
      <c r="BE225" s="172">
        <f>IF($BE$95=I225,$BE$97,IF(I225=$BE$96,$BE$97,1))*($BE$102*AQ225)*$AZ$97</f>
        <v>0</v>
      </c>
      <c r="BF225" s="172">
        <f>IF('[1]Cockpit Retorno'!$C$65=Sim,Mestre!BA225,SUM(BB225:BE225)+(IF(K225=$K$56,AQ225*MOE_IRRF_LR,0)))</f>
        <v>0</v>
      </c>
      <c r="BG225" s="174">
        <f>IF(AA225&gt;0,0,IF(Z225=$Z$82,AG225*1,(IF(Z225=$Z$81,AG225*1,0))))</f>
        <v>0</v>
      </c>
      <c r="BH225" s="174">
        <f>IF(AA225&gt;0,0,IF(Z225=$Z$83,AG225*1,IF(Z225=$Z$81,AG225*1,0)))</f>
        <v>0</v>
      </c>
      <c r="BI225" s="174">
        <f>IF(AA225&gt;0,0,IF(Z225=$Z$84,AG225*1,IF(Z225=$Z$93,AG225*2,IF(Z225=$Z$100,AG225,IF(Z225=$Z$81,AG225*2,IF(Z225=$Z$80,AG225*1,IF(Z225=$Z$79,AG225*3,IF(Z225=$Z$78,AG225*2,0))))))))</f>
        <v>0</v>
      </c>
      <c r="BJ225" s="174">
        <f>IF(AA225&gt;0,0,IF(Z225=$Z$85,AG225,IF(Z225=$Z$93,AG225,IF(Z225=$Z$100,AG225,IF(Z225=$Z$81,AG225*1,IF(Z225=$Z$80,AG225*2,IF(Z225=$Z$79,AG225*2,IF(Z225=$Z$78,AG225*2,0))))))))</f>
        <v>0</v>
      </c>
      <c r="BK225" s="174">
        <f>IF(AA225&gt;0,0,IF(Z225=$Z$92,AG225,0))</f>
        <v>0</v>
      </c>
      <c r="BL225" s="174">
        <f>IF(AA225&gt;0,0,IF(Z225=$Z$91,AG225,0))</f>
        <v>0</v>
      </c>
      <c r="BM225" s="174">
        <f>IF(AA225&gt;0,0,IF(Z225=$Z$86,AG225,0))</f>
        <v>0</v>
      </c>
      <c r="BN225" s="174">
        <f>IF(AA225&gt;0,0,IF(Z225=$Z$87,AG225,0))</f>
        <v>0</v>
      </c>
      <c r="BO225" s="174">
        <f>IF(AA225&gt;0,0,IF(Z225=$Z$88,AG225,0))</f>
        <v>0</v>
      </c>
      <c r="BP225" s="174">
        <f>IF(AA225&gt;0,0,IF(Z225=$Z$89,AG225,0))</f>
        <v>0</v>
      </c>
      <c r="BQ225" s="174">
        <f>IF(AA225&gt;0,0,IF(Z225=$Z$90,AG225,0))</f>
        <v>0</v>
      </c>
      <c r="BR225" s="174">
        <f>IF(Z225=$Z$82,AA225*AG225,0)</f>
        <v>0</v>
      </c>
      <c r="BS225" s="174">
        <f>IF(Z225=$Z$83,AA225*AG225,0)</f>
        <v>0</v>
      </c>
      <c r="BT225" s="174">
        <f>IF(AA225&lt;1,0,IF(Z225=$Z$84,AA225*AG225,IF(Z225=$Z$93,"ERRO",IF(Z225=$Z$100,"ERRO",0))))</f>
        <v>0</v>
      </c>
      <c r="BU225" s="174">
        <f>IF(AA225&lt;1,0,IF(Z225=$Z$85,AA225*AG225,IF(Z225=$Z$93,"ERRO",IF(Z225=$Z$100,"ERRO",0))))</f>
        <v>0</v>
      </c>
      <c r="BV225" s="174">
        <f>IF(Z225=$Z$92,AA225*AG225,0)</f>
        <v>0</v>
      </c>
      <c r="BW225" s="174">
        <f>IF(Z225=$Z$91,AA225*AG225,0)</f>
        <v>0</v>
      </c>
      <c r="BX225" s="174">
        <f>IF(Z225=$Z$86,AA225*AG225,0)</f>
        <v>0</v>
      </c>
      <c r="BY225" s="174">
        <f>IF(Z225=$Z$87,AA225*AG225,0)</f>
        <v>0</v>
      </c>
      <c r="BZ225" s="174">
        <f>IF(Z225=$Z$88,AA225*AG225,0)</f>
        <v>0</v>
      </c>
      <c r="CA225" s="174">
        <f>IF(Z225=$Z$89,AA225*AG225,0)</f>
        <v>0</v>
      </c>
      <c r="CB225" s="174">
        <f>IF(Z225=$Z$90,AA225*AG225,0)</f>
        <v>0</v>
      </c>
      <c r="CC225" s="175">
        <f>IFERROR(IF(L225=$L$49,AG225*AH225*(1+AI225)*(1-AK225)*(1-AL225),0),0)</f>
        <v>3620.7597000000001</v>
      </c>
      <c r="CD225" s="203"/>
      <c r="CE225" s="203"/>
      <c r="CF225" s="204"/>
      <c r="CG225" s="203"/>
      <c r="CH225" s="204"/>
      <c r="CI225" s="203"/>
      <c r="CJ225" s="205"/>
      <c r="CK225" s="205"/>
      <c r="CL225" s="205"/>
      <c r="CM225" s="205"/>
      <c r="CN225" s="206"/>
      <c r="CO225" s="204"/>
      <c r="CP225" s="207"/>
      <c r="CQ225" s="208"/>
      <c r="CR225" s="209"/>
      <c r="CS225" s="49"/>
      <c r="CT225" s="49"/>
      <c r="CU225" s="49"/>
      <c r="CV225" s="49"/>
      <c r="CW225" s="49"/>
      <c r="CX225" s="49"/>
      <c r="CY225" s="49"/>
      <c r="CZ225" s="49"/>
      <c r="DA225" s="49"/>
      <c r="DB225" s="49"/>
      <c r="DC225" s="49"/>
      <c r="DD225" s="49"/>
      <c r="DE225" s="49"/>
      <c r="DF225" s="49"/>
      <c r="DG225" s="49"/>
      <c r="DH225" s="49"/>
      <c r="DI225" s="49"/>
      <c r="DJ225" s="49"/>
      <c r="DK225" s="49"/>
      <c r="DL225" s="49"/>
      <c r="DM225" s="49"/>
      <c r="DN225" s="49"/>
      <c r="DO225" s="49"/>
      <c r="DP225" s="49"/>
      <c r="DQ225" s="49"/>
      <c r="DR225" s="49"/>
      <c r="DS225" s="49"/>
      <c r="DT225" s="49"/>
      <c r="DU225" s="49"/>
      <c r="DV225" s="49"/>
      <c r="DW225" s="49"/>
      <c r="DX225" s="49"/>
      <c r="DY225" s="49"/>
      <c r="DZ225" s="49"/>
      <c r="EA225" s="49"/>
      <c r="EB225" s="49"/>
      <c r="EC225" s="49"/>
      <c r="ED225" s="49"/>
      <c r="EE225" s="49"/>
      <c r="EF225" s="49"/>
      <c r="EG225" s="49"/>
      <c r="EH225" s="49"/>
      <c r="EI225" s="49"/>
      <c r="EJ225" s="49"/>
      <c r="EK225" s="49"/>
      <c r="EL225" s="49"/>
      <c r="EM225" s="49"/>
      <c r="EN225" s="49"/>
      <c r="EO225" s="49"/>
      <c r="EP225" s="49"/>
      <c r="EQ225" s="49"/>
      <c r="ER225" s="49"/>
      <c r="ES225" s="49"/>
      <c r="ET225" s="49"/>
      <c r="EU225" s="49"/>
      <c r="EV225" s="49"/>
      <c r="EW225" s="49"/>
      <c r="EX225" s="49"/>
      <c r="EY225" s="49"/>
      <c r="EZ225" s="49"/>
      <c r="FA225" s="49"/>
    </row>
    <row r="226" spans="1:157" s="210" customFormat="1" ht="38.25" x14ac:dyDescent="0.25">
      <c r="A226" s="113"/>
      <c r="B226" s="113"/>
      <c r="C226" s="113"/>
      <c r="D226" s="148"/>
      <c r="E226" s="115"/>
      <c r="F226" s="116"/>
      <c r="G226" s="149"/>
      <c r="H226" s="150" t="s">
        <v>7</v>
      </c>
      <c r="I226" s="151" t="str">
        <f t="shared" si="26"/>
        <v>Mercadorias</v>
      </c>
      <c r="J226" s="150" t="s">
        <v>15</v>
      </c>
      <c r="K226" s="152" t="s">
        <v>7</v>
      </c>
      <c r="L226" s="153" t="s">
        <v>21</v>
      </c>
      <c r="M226" s="154" t="s">
        <v>290</v>
      </c>
      <c r="N226" s="155" t="s">
        <v>370</v>
      </c>
      <c r="O226" s="155" t="s">
        <v>343</v>
      </c>
      <c r="P226" s="155"/>
      <c r="Q226" s="155"/>
      <c r="R226" s="155"/>
      <c r="S226" s="156"/>
      <c r="T226" s="156"/>
      <c r="U226" s="150"/>
      <c r="V226" s="150"/>
      <c r="W226" s="150"/>
      <c r="X226" s="157" t="s">
        <v>377</v>
      </c>
      <c r="Y226" s="150"/>
      <c r="Z226" s="150"/>
      <c r="AA226" s="158"/>
      <c r="AB226" s="155"/>
      <c r="AC226" s="150"/>
      <c r="AD226" s="155"/>
      <c r="AE226" s="155"/>
      <c r="AF226" s="150"/>
      <c r="AG226" s="159">
        <v>75</v>
      </c>
      <c r="AH226" s="159">
        <v>24.877500000000001</v>
      </c>
      <c r="AI226" s="202">
        <v>0</v>
      </c>
      <c r="AJ226" s="161">
        <v>7.0000000000000007E-2</v>
      </c>
      <c r="AK226" s="162">
        <v>0.05</v>
      </c>
      <c r="AL226" s="163"/>
      <c r="AM226" s="164">
        <f>(((IF(L226=$L$101,1,IF(L226=$L$47,1,0))*(AH226*(1-AK226)))*AG226)*(1-AL226))</f>
        <v>0</v>
      </c>
      <c r="AN226" s="165">
        <f>IF(K226=$K$50,AM226,IF(K226=$K$53,AM226,IF(K226=$K$54,AM226,IF(K226=$K$55,AM226,IF(K226=$K$56,AM226,IF(K226=$K$57,AM226,IF(K226=$K$58,AM226,IF(K226=$K$65,AM226,IF(K226=$K$66,AM226,IF(K226=$K$67,AM226,IF(K226=$K$68,AM226,IF(K226=$K$69,AM226,IF(K226=$K$51,AM226,(AM226*(1+AI226)))))))))))))))</f>
        <v>0</v>
      </c>
      <c r="AO226" s="166">
        <v>1.4</v>
      </c>
      <c r="AP226" s="160">
        <f t="shared" si="27"/>
        <v>0</v>
      </c>
      <c r="AQ226" s="167">
        <f t="shared" si="45"/>
        <v>0</v>
      </c>
      <c r="AR226" s="160">
        <f t="shared" si="28"/>
        <v>0</v>
      </c>
      <c r="AS226" s="168">
        <f t="shared" si="29"/>
        <v>0</v>
      </c>
      <c r="AT226" s="169" t="str">
        <f>K226</f>
        <v>MI</v>
      </c>
      <c r="AU226" s="169" t="str">
        <f>I226</f>
        <v>Mercadorias</v>
      </c>
      <c r="AV226" s="170"/>
      <c r="AW226" s="171">
        <f>IF(K226=$K$50,0,IF(K226=$K$53,0,IF(K226=$K$54,0,IF(K226=$K$55,0,IF(K226=$K$56,0,IF(K226=$K$57,0,IF(K226=$K$58,0,IF(K226=$K$65,0,IF(K226=$K$66,0,IF(K226=$K$67,0,IF(K226=$K$68,0,IF(K226=$K$69,0,IF(K226=$K$51,0,1))))))))))))*AM226*AI226)</f>
        <v>0</v>
      </c>
      <c r="AX226" s="172">
        <f>IF(K226=$K$50,0,IF(K226=$K$53,0,IF(K226=$K$54,0,IF(K226=$K$55,0,IF(K226=$K$56,0,IF(K226=$K$57,0,IF(K226=$K$58,0,IF(K226=$K$65,0,IF(K226=$K$66,0,IF(K226=$K$67,0,IF(K226=$K$68,0,IF(K226=$K$69,0,IF(K226=$K$51,0,1))))))))))))*AM226*AJ226*$AX$94)</f>
        <v>0</v>
      </c>
      <c r="AY226" s="172">
        <f>IF(K226=$K$53,0,IF(K226=$K$54,0,IF(K226=$K$55,0,IF(K226=$K$56,0,IF(K226=$K$58,0,IF(K226=$K$50,0,IF(K226=$K$65,0,IF(K226=$K$57,0,IF(K226=$K$51,0,AM226*$AY$102)))))))))</f>
        <v>0</v>
      </c>
      <c r="AZ226" s="172">
        <f>IF(K226=$K$53,0,IF(K226=$K$54,0,IF(K226=$K$55,0,IF(K226=$K$56,0,IF(K226=$K$58,0,IF(K226=$K$50,0,IF(K226=$K$65,0,IF(K226=$K$57,0,IF(K226=$K$51,0,AM226*$AZ$102)))))))))</f>
        <v>0</v>
      </c>
      <c r="BA226" s="172">
        <f t="shared" si="30"/>
        <v>0</v>
      </c>
      <c r="BB226" s="173">
        <f>IF($BA$97=1,AQ226*$BB$102,IF(K226=$K$50,0,IF(K226=$K$53,0,IF(K226=$K$54,0,IF(K226=$K$55,0,IF(K226=$K$56,0,IF(K226=$K$57,0,IF(K226=$K$58,0,IF(K226=$K$65,0,IF(K226=$K$66,0,IF(K226=$K$67,0,IF(K226=$K$68,0,IF(K226=$K$69,0,IF(K226=$K$51,0,1)))))))))))*AQ226*$BB$102)))</f>
        <v>0</v>
      </c>
      <c r="BC226" s="172">
        <f t="shared" si="31"/>
        <v>0</v>
      </c>
      <c r="BD226" s="172">
        <f t="shared" si="32"/>
        <v>0</v>
      </c>
      <c r="BE226" s="172">
        <f>IF($BE$95=I226,$BE$97,IF(I226=$BE$96,$BE$97,1))*($BE$102*AQ226)*$AZ$97</f>
        <v>0</v>
      </c>
      <c r="BF226" s="172">
        <f>IF('[1]Cockpit Retorno'!$C$65=Sim,Mestre!BA226,SUM(BB226:BE226)+(IF(K226=$K$56,AQ226*MOE_IRRF_LR,0)))</f>
        <v>0</v>
      </c>
      <c r="BG226" s="174">
        <f>IF(AA226&gt;0,0,IF(Z226=$Z$82,AG226*1,(IF(Z226=$Z$81,AG226*1,0))))</f>
        <v>0</v>
      </c>
      <c r="BH226" s="174">
        <f>IF(AA226&gt;0,0,IF(Z226=$Z$83,AG226*1,IF(Z226=$Z$81,AG226*1,0)))</f>
        <v>0</v>
      </c>
      <c r="BI226" s="174">
        <f>IF(AA226&gt;0,0,IF(Z226=$Z$84,AG226*1,IF(Z226=$Z$93,AG226*2,IF(Z226=$Z$100,AG226,IF(Z226=$Z$81,AG226*2,IF(Z226=$Z$80,AG226*1,IF(Z226=$Z$79,AG226*3,IF(Z226=$Z$78,AG226*2,0))))))))</f>
        <v>0</v>
      </c>
      <c r="BJ226" s="174">
        <f>IF(AA226&gt;0,0,IF(Z226=$Z$85,AG226,IF(Z226=$Z$93,AG226,IF(Z226=$Z$100,AG226,IF(Z226=$Z$81,AG226*1,IF(Z226=$Z$80,AG226*2,IF(Z226=$Z$79,AG226*2,IF(Z226=$Z$78,AG226*2,0))))))))</f>
        <v>0</v>
      </c>
      <c r="BK226" s="174">
        <f>IF(AA226&gt;0,0,IF(Z226=$Z$92,AG226,0))</f>
        <v>0</v>
      </c>
      <c r="BL226" s="174">
        <f>IF(AA226&gt;0,0,IF(Z226=$Z$91,AG226,0))</f>
        <v>0</v>
      </c>
      <c r="BM226" s="174">
        <f>IF(AA226&gt;0,0,IF(Z226=$Z$86,AG226,0))</f>
        <v>0</v>
      </c>
      <c r="BN226" s="174">
        <f>IF(AA226&gt;0,0,IF(Z226=$Z$87,AG226,0))</f>
        <v>0</v>
      </c>
      <c r="BO226" s="174">
        <f>IF(AA226&gt;0,0,IF(Z226=$Z$88,AG226,0))</f>
        <v>0</v>
      </c>
      <c r="BP226" s="174">
        <f>IF(AA226&gt;0,0,IF(Z226=$Z$89,AG226,0))</f>
        <v>0</v>
      </c>
      <c r="BQ226" s="174">
        <f>IF(AA226&gt;0,0,IF(Z226=$Z$90,AG226,0))</f>
        <v>0</v>
      </c>
      <c r="BR226" s="174">
        <f>IF(Z226=$Z$82,AA226*AG226,0)</f>
        <v>0</v>
      </c>
      <c r="BS226" s="174">
        <f>IF(Z226=$Z$83,AA226*AG226,0)</f>
        <v>0</v>
      </c>
      <c r="BT226" s="174">
        <f>IF(AA226&lt;1,0,IF(Z226=$Z$84,AA226*AG226,IF(Z226=$Z$93,"ERRO",IF(Z226=$Z$100,"ERRO",0))))</f>
        <v>0</v>
      </c>
      <c r="BU226" s="174">
        <f>IF(AA226&lt;1,0,IF(Z226=$Z$85,AA226*AG226,IF(Z226=$Z$93,"ERRO",IF(Z226=$Z$100,"ERRO",0))))</f>
        <v>0</v>
      </c>
      <c r="BV226" s="174">
        <f>IF(Z226=$Z$92,AA226*AG226,0)</f>
        <v>0</v>
      </c>
      <c r="BW226" s="174">
        <f>IF(Z226=$Z$91,AA226*AG226,0)</f>
        <v>0</v>
      </c>
      <c r="BX226" s="174">
        <f>IF(Z226=$Z$86,AA226*AG226,0)</f>
        <v>0</v>
      </c>
      <c r="BY226" s="174">
        <f>IF(Z226=$Z$87,AA226*AG226,0)</f>
        <v>0</v>
      </c>
      <c r="BZ226" s="174">
        <f>IF(Z226=$Z$88,AA226*AG226,0)</f>
        <v>0</v>
      </c>
      <c r="CA226" s="174">
        <f>IF(Z226=$Z$89,AA226*AG226,0)</f>
        <v>0</v>
      </c>
      <c r="CB226" s="174">
        <f>IF(Z226=$Z$90,AA226*AG226,0)</f>
        <v>0</v>
      </c>
      <c r="CC226" s="175">
        <f>IFERROR(IF(L226=$L$49,AG226*AH226*(1+AI226)*(1-AK226)*(1-AL226),0),0)</f>
        <v>1772.5218749999999</v>
      </c>
      <c r="CD226" s="203"/>
      <c r="CE226" s="203"/>
      <c r="CF226" s="204"/>
      <c r="CG226" s="203"/>
      <c r="CH226" s="204"/>
      <c r="CI226" s="203"/>
      <c r="CJ226" s="205"/>
      <c r="CK226" s="205"/>
      <c r="CL226" s="205"/>
      <c r="CM226" s="205"/>
      <c r="CN226" s="206"/>
      <c r="CO226" s="204"/>
      <c r="CP226" s="207"/>
      <c r="CQ226" s="208"/>
      <c r="CR226" s="209"/>
      <c r="CS226" s="49"/>
      <c r="CT226" s="49"/>
      <c r="CU226" s="49"/>
      <c r="CV226" s="49"/>
      <c r="CW226" s="49"/>
      <c r="CX226" s="49"/>
      <c r="CY226" s="49"/>
      <c r="CZ226" s="49"/>
      <c r="DA226" s="49"/>
      <c r="DB226" s="49"/>
      <c r="DC226" s="49"/>
      <c r="DD226" s="49"/>
      <c r="DE226" s="49"/>
      <c r="DF226" s="49"/>
      <c r="DG226" s="49"/>
      <c r="DH226" s="49"/>
      <c r="DI226" s="49"/>
      <c r="DJ226" s="49"/>
      <c r="DK226" s="49"/>
      <c r="DL226" s="49"/>
      <c r="DM226" s="49"/>
      <c r="DN226" s="49"/>
      <c r="DO226" s="49"/>
      <c r="DP226" s="49"/>
      <c r="DQ226" s="49"/>
      <c r="DR226" s="49"/>
      <c r="DS226" s="49"/>
      <c r="DT226" s="49"/>
      <c r="DU226" s="49"/>
      <c r="DV226" s="49"/>
      <c r="DW226" s="49"/>
      <c r="DX226" s="49"/>
      <c r="DY226" s="49"/>
      <c r="DZ226" s="49"/>
      <c r="EA226" s="49"/>
      <c r="EB226" s="49"/>
      <c r="EC226" s="49"/>
      <c r="ED226" s="49"/>
      <c r="EE226" s="49"/>
      <c r="EF226" s="49"/>
      <c r="EG226" s="49"/>
      <c r="EH226" s="49"/>
      <c r="EI226" s="49"/>
      <c r="EJ226" s="49"/>
      <c r="EK226" s="49"/>
      <c r="EL226" s="49"/>
      <c r="EM226" s="49"/>
      <c r="EN226" s="49"/>
      <c r="EO226" s="49"/>
      <c r="EP226" s="49"/>
      <c r="EQ226" s="49"/>
      <c r="ER226" s="49"/>
      <c r="ES226" s="49"/>
      <c r="ET226" s="49"/>
      <c r="EU226" s="49"/>
      <c r="EV226" s="49"/>
      <c r="EW226" s="49"/>
      <c r="EX226" s="49"/>
      <c r="EY226" s="49"/>
      <c r="EZ226" s="49"/>
      <c r="FA226" s="49"/>
    </row>
    <row r="227" spans="1:157" s="210" customFormat="1" ht="38.25" x14ac:dyDescent="0.25">
      <c r="A227" s="113"/>
      <c r="B227" s="113"/>
      <c r="C227" s="113"/>
      <c r="D227" s="148"/>
      <c r="E227" s="115"/>
      <c r="F227" s="116"/>
      <c r="G227" s="149"/>
      <c r="H227" s="150" t="s">
        <v>7</v>
      </c>
      <c r="I227" s="151" t="str">
        <f t="shared" si="26"/>
        <v>Mercadorias</v>
      </c>
      <c r="J227" s="150" t="s">
        <v>15</v>
      </c>
      <c r="K227" s="152" t="s">
        <v>7</v>
      </c>
      <c r="L227" s="153" t="s">
        <v>21</v>
      </c>
      <c r="M227" s="154" t="s">
        <v>290</v>
      </c>
      <c r="N227" s="155" t="s">
        <v>370</v>
      </c>
      <c r="O227" s="155" t="s">
        <v>343</v>
      </c>
      <c r="P227" s="155"/>
      <c r="Q227" s="155"/>
      <c r="R227" s="155"/>
      <c r="S227" s="156"/>
      <c r="T227" s="156"/>
      <c r="U227" s="150"/>
      <c r="V227" s="150"/>
      <c r="W227" s="150"/>
      <c r="X227" s="157" t="s">
        <v>378</v>
      </c>
      <c r="Y227" s="150"/>
      <c r="Z227" s="150"/>
      <c r="AA227" s="158"/>
      <c r="AB227" s="155"/>
      <c r="AC227" s="150"/>
      <c r="AD227" s="155"/>
      <c r="AE227" s="155"/>
      <c r="AF227" s="150"/>
      <c r="AG227" s="159">
        <v>16</v>
      </c>
      <c r="AH227" s="159">
        <v>51.754500000000007</v>
      </c>
      <c r="AI227" s="202">
        <v>0</v>
      </c>
      <c r="AJ227" s="161">
        <v>7.0000000000000007E-2</v>
      </c>
      <c r="AK227" s="162">
        <v>0.05</v>
      </c>
      <c r="AL227" s="163"/>
      <c r="AM227" s="164">
        <f>(((IF(L227=$L$101,1,IF(L227=$L$47,1,0))*(AH227*(1-AK227)))*AG227)*(1-AL227))</f>
        <v>0</v>
      </c>
      <c r="AN227" s="165">
        <f>IF(K227=$K$50,AM227,IF(K227=$K$53,AM227,IF(K227=$K$54,AM227,IF(K227=$K$55,AM227,IF(K227=$K$56,AM227,IF(K227=$K$57,AM227,IF(K227=$K$58,AM227,IF(K227=$K$65,AM227,IF(K227=$K$66,AM227,IF(K227=$K$67,AM227,IF(K227=$K$68,AM227,IF(K227=$K$69,AM227,IF(K227=$K$51,AM227,(AM227*(1+AI227)))))))))))))))</f>
        <v>0</v>
      </c>
      <c r="AO227" s="166">
        <v>1.4</v>
      </c>
      <c r="AP227" s="160">
        <f t="shared" si="27"/>
        <v>0</v>
      </c>
      <c r="AQ227" s="167">
        <f t="shared" si="45"/>
        <v>0</v>
      </c>
      <c r="AR227" s="160">
        <f t="shared" si="28"/>
        <v>0</v>
      </c>
      <c r="AS227" s="168">
        <f t="shared" si="29"/>
        <v>0</v>
      </c>
      <c r="AT227" s="169" t="str">
        <f>K227</f>
        <v>MI</v>
      </c>
      <c r="AU227" s="169" t="str">
        <f>I227</f>
        <v>Mercadorias</v>
      </c>
      <c r="AV227" s="170"/>
      <c r="AW227" s="171">
        <f>IF(K227=$K$50,0,IF(K227=$K$53,0,IF(K227=$K$54,0,IF(K227=$K$55,0,IF(K227=$K$56,0,IF(K227=$K$57,0,IF(K227=$K$58,0,IF(K227=$K$65,0,IF(K227=$K$66,0,IF(K227=$K$67,0,IF(K227=$K$68,0,IF(K227=$K$69,0,IF(K227=$K$51,0,1))))))))))))*AM227*AI227)</f>
        <v>0</v>
      </c>
      <c r="AX227" s="172">
        <f>IF(K227=$K$50,0,IF(K227=$K$53,0,IF(K227=$K$54,0,IF(K227=$K$55,0,IF(K227=$K$56,0,IF(K227=$K$57,0,IF(K227=$K$58,0,IF(K227=$K$65,0,IF(K227=$K$66,0,IF(K227=$K$67,0,IF(K227=$K$68,0,IF(K227=$K$69,0,IF(K227=$K$51,0,1))))))))))))*AM227*AJ227*$AX$94)</f>
        <v>0</v>
      </c>
      <c r="AY227" s="172">
        <f>IF(K227=$K$53,0,IF(K227=$K$54,0,IF(K227=$K$55,0,IF(K227=$K$56,0,IF(K227=$K$58,0,IF(K227=$K$50,0,IF(K227=$K$65,0,IF(K227=$K$57,0,IF(K227=$K$51,0,AM227*$AY$102)))))))))</f>
        <v>0</v>
      </c>
      <c r="AZ227" s="172">
        <f>IF(K227=$K$53,0,IF(K227=$K$54,0,IF(K227=$K$55,0,IF(K227=$K$56,0,IF(K227=$K$58,0,IF(K227=$K$50,0,IF(K227=$K$65,0,IF(K227=$K$57,0,IF(K227=$K$51,0,AM227*$AZ$102)))))))))</f>
        <v>0</v>
      </c>
      <c r="BA227" s="172">
        <f t="shared" si="30"/>
        <v>0</v>
      </c>
      <c r="BB227" s="173">
        <f>IF($BA$97=1,AQ227*$BB$102,IF(K227=$K$50,0,IF(K227=$K$53,0,IF(K227=$K$54,0,IF(K227=$K$55,0,IF(K227=$K$56,0,IF(K227=$K$57,0,IF(K227=$K$58,0,IF(K227=$K$65,0,IF(K227=$K$66,0,IF(K227=$K$67,0,IF(K227=$K$68,0,IF(K227=$K$69,0,IF(K227=$K$51,0,1)))))))))))*AQ227*$BB$102)))</f>
        <v>0</v>
      </c>
      <c r="BC227" s="172">
        <f t="shared" si="31"/>
        <v>0</v>
      </c>
      <c r="BD227" s="172">
        <f t="shared" si="32"/>
        <v>0</v>
      </c>
      <c r="BE227" s="172">
        <f>IF($BE$95=I227,$BE$97,IF(I227=$BE$96,$BE$97,1))*($BE$102*AQ227)*$AZ$97</f>
        <v>0</v>
      </c>
      <c r="BF227" s="172">
        <f>IF('[1]Cockpit Retorno'!$C$65=Sim,Mestre!BA227,SUM(BB227:BE227)+(IF(K227=$K$56,AQ227*MOE_IRRF_LR,0)))</f>
        <v>0</v>
      </c>
      <c r="BG227" s="174">
        <f>IF(AA227&gt;0,0,IF(Z227=$Z$82,AG227*1,(IF(Z227=$Z$81,AG227*1,0))))</f>
        <v>0</v>
      </c>
      <c r="BH227" s="174">
        <f>IF(AA227&gt;0,0,IF(Z227=$Z$83,AG227*1,IF(Z227=$Z$81,AG227*1,0)))</f>
        <v>0</v>
      </c>
      <c r="BI227" s="174">
        <f>IF(AA227&gt;0,0,IF(Z227=$Z$84,AG227*1,IF(Z227=$Z$93,AG227*2,IF(Z227=$Z$100,AG227,IF(Z227=$Z$81,AG227*2,IF(Z227=$Z$80,AG227*1,IF(Z227=$Z$79,AG227*3,IF(Z227=$Z$78,AG227*2,0))))))))</f>
        <v>0</v>
      </c>
      <c r="BJ227" s="174">
        <f>IF(AA227&gt;0,0,IF(Z227=$Z$85,AG227,IF(Z227=$Z$93,AG227,IF(Z227=$Z$100,AG227,IF(Z227=$Z$81,AG227*1,IF(Z227=$Z$80,AG227*2,IF(Z227=$Z$79,AG227*2,IF(Z227=$Z$78,AG227*2,0))))))))</f>
        <v>0</v>
      </c>
      <c r="BK227" s="174">
        <f>IF(AA227&gt;0,0,IF(Z227=$Z$92,AG227,0))</f>
        <v>0</v>
      </c>
      <c r="BL227" s="174">
        <f>IF(AA227&gt;0,0,IF(Z227=$Z$91,AG227,0))</f>
        <v>0</v>
      </c>
      <c r="BM227" s="174">
        <f>IF(AA227&gt;0,0,IF(Z227=$Z$86,AG227,0))</f>
        <v>0</v>
      </c>
      <c r="BN227" s="174">
        <f>IF(AA227&gt;0,0,IF(Z227=$Z$87,AG227,0))</f>
        <v>0</v>
      </c>
      <c r="BO227" s="174">
        <f>IF(AA227&gt;0,0,IF(Z227=$Z$88,AG227,0))</f>
        <v>0</v>
      </c>
      <c r="BP227" s="174">
        <f>IF(AA227&gt;0,0,IF(Z227=$Z$89,AG227,0))</f>
        <v>0</v>
      </c>
      <c r="BQ227" s="174">
        <f>IF(AA227&gt;0,0,IF(Z227=$Z$90,AG227,0))</f>
        <v>0</v>
      </c>
      <c r="BR227" s="174">
        <f>IF(Z227=$Z$82,AA227*AG227,0)</f>
        <v>0</v>
      </c>
      <c r="BS227" s="174">
        <f>IF(Z227=$Z$83,AA227*AG227,0)</f>
        <v>0</v>
      </c>
      <c r="BT227" s="174">
        <f>IF(AA227&lt;1,0,IF(Z227=$Z$84,AA227*AG227,IF(Z227=$Z$93,"ERRO",IF(Z227=$Z$100,"ERRO",0))))</f>
        <v>0</v>
      </c>
      <c r="BU227" s="174">
        <f>IF(AA227&lt;1,0,IF(Z227=$Z$85,AA227*AG227,IF(Z227=$Z$93,"ERRO",IF(Z227=$Z$100,"ERRO",0))))</f>
        <v>0</v>
      </c>
      <c r="BV227" s="174">
        <f>IF(Z227=$Z$92,AA227*AG227,0)</f>
        <v>0</v>
      </c>
      <c r="BW227" s="174">
        <f>IF(Z227=$Z$91,AA227*AG227,0)</f>
        <v>0</v>
      </c>
      <c r="BX227" s="174">
        <f>IF(Z227=$Z$86,AA227*AG227,0)</f>
        <v>0</v>
      </c>
      <c r="BY227" s="174">
        <f>IF(Z227=$Z$87,AA227*AG227,0)</f>
        <v>0</v>
      </c>
      <c r="BZ227" s="174">
        <f>IF(Z227=$Z$88,AA227*AG227,0)</f>
        <v>0</v>
      </c>
      <c r="CA227" s="174">
        <f>IF(Z227=$Z$89,AA227*AG227,0)</f>
        <v>0</v>
      </c>
      <c r="CB227" s="174">
        <f>IF(Z227=$Z$90,AA227*AG227,0)</f>
        <v>0</v>
      </c>
      <c r="CC227" s="175">
        <f>IFERROR(IF(L227=$L$49,AG227*AH227*(1+AI227)*(1-AK227)*(1-AL227),0),0)</f>
        <v>786.66840000000002</v>
      </c>
      <c r="CD227" s="203"/>
      <c r="CE227" s="203"/>
      <c r="CF227" s="204"/>
      <c r="CG227" s="203"/>
      <c r="CH227" s="204"/>
      <c r="CI227" s="203"/>
      <c r="CJ227" s="205"/>
      <c r="CK227" s="205"/>
      <c r="CL227" s="205"/>
      <c r="CM227" s="205"/>
      <c r="CN227" s="206"/>
      <c r="CO227" s="204"/>
      <c r="CP227" s="207"/>
      <c r="CQ227" s="208"/>
      <c r="CR227" s="209"/>
      <c r="CS227" s="49"/>
      <c r="CT227" s="49"/>
      <c r="CU227" s="49"/>
      <c r="CV227" s="49"/>
      <c r="CW227" s="49"/>
      <c r="CX227" s="49"/>
      <c r="CY227" s="49"/>
      <c r="CZ227" s="49"/>
      <c r="DA227" s="49"/>
      <c r="DB227" s="49"/>
      <c r="DC227" s="49"/>
      <c r="DD227" s="49"/>
      <c r="DE227" s="49"/>
      <c r="DF227" s="49"/>
      <c r="DG227" s="49"/>
      <c r="DH227" s="49"/>
      <c r="DI227" s="49"/>
      <c r="DJ227" s="49"/>
      <c r="DK227" s="49"/>
      <c r="DL227" s="49"/>
      <c r="DM227" s="49"/>
      <c r="DN227" s="49"/>
      <c r="DO227" s="49"/>
      <c r="DP227" s="49"/>
      <c r="DQ227" s="49"/>
      <c r="DR227" s="49"/>
      <c r="DS227" s="49"/>
      <c r="DT227" s="49"/>
      <c r="DU227" s="49"/>
      <c r="DV227" s="49"/>
      <c r="DW227" s="49"/>
      <c r="DX227" s="49"/>
      <c r="DY227" s="49"/>
      <c r="DZ227" s="49"/>
      <c r="EA227" s="49"/>
      <c r="EB227" s="49"/>
      <c r="EC227" s="49"/>
      <c r="ED227" s="49"/>
      <c r="EE227" s="49"/>
      <c r="EF227" s="49"/>
      <c r="EG227" s="49"/>
      <c r="EH227" s="49"/>
      <c r="EI227" s="49"/>
      <c r="EJ227" s="49"/>
      <c r="EK227" s="49"/>
      <c r="EL227" s="49"/>
      <c r="EM227" s="49"/>
      <c r="EN227" s="49"/>
      <c r="EO227" s="49"/>
      <c r="EP227" s="49"/>
      <c r="EQ227" s="49"/>
      <c r="ER227" s="49"/>
      <c r="ES227" s="49"/>
      <c r="ET227" s="49"/>
      <c r="EU227" s="49"/>
      <c r="EV227" s="49"/>
      <c r="EW227" s="49"/>
      <c r="EX227" s="49"/>
      <c r="EY227" s="49"/>
      <c r="EZ227" s="49"/>
      <c r="FA227" s="49"/>
    </row>
    <row r="228" spans="1:157" s="210" customFormat="1" ht="38.25" x14ac:dyDescent="0.25">
      <c r="A228" s="113"/>
      <c r="B228" s="113"/>
      <c r="C228" s="113"/>
      <c r="D228" s="148"/>
      <c r="E228" s="115"/>
      <c r="F228" s="116"/>
      <c r="G228" s="149"/>
      <c r="H228" s="150" t="s">
        <v>7</v>
      </c>
      <c r="I228" s="151" t="str">
        <f t="shared" si="26"/>
        <v>Mercadorias</v>
      </c>
      <c r="J228" s="150" t="s">
        <v>15</v>
      </c>
      <c r="K228" s="152" t="s">
        <v>7</v>
      </c>
      <c r="L228" s="153" t="s">
        <v>21</v>
      </c>
      <c r="M228" s="154" t="s">
        <v>290</v>
      </c>
      <c r="N228" s="155" t="s">
        <v>370</v>
      </c>
      <c r="O228" s="155" t="s">
        <v>343</v>
      </c>
      <c r="P228" s="155"/>
      <c r="Q228" s="155"/>
      <c r="R228" s="155"/>
      <c r="S228" s="156"/>
      <c r="T228" s="156"/>
      <c r="U228" s="150"/>
      <c r="V228" s="150"/>
      <c r="W228" s="150"/>
      <c r="X228" s="157" t="s">
        <v>348</v>
      </c>
      <c r="Y228" s="150"/>
      <c r="Z228" s="150"/>
      <c r="AA228" s="158"/>
      <c r="AB228" s="155"/>
      <c r="AC228" s="150"/>
      <c r="AD228" s="155"/>
      <c r="AE228" s="155"/>
      <c r="AF228" s="150"/>
      <c r="AG228" s="159">
        <v>25</v>
      </c>
      <c r="AH228" s="159">
        <v>76.092600000000004</v>
      </c>
      <c r="AI228" s="202">
        <v>0</v>
      </c>
      <c r="AJ228" s="161">
        <v>7.0000000000000007E-2</v>
      </c>
      <c r="AK228" s="162">
        <v>0.05</v>
      </c>
      <c r="AL228" s="163"/>
      <c r="AM228" s="164">
        <f>(((IF(L228=$L$101,1,IF(L228=$L$47,1,0))*(AH228*(1-AK228)))*AG228)*(1-AL228))</f>
        <v>0</v>
      </c>
      <c r="AN228" s="165">
        <f>IF(K228=$K$50,AM228,IF(K228=$K$53,AM228,IF(K228=$K$54,AM228,IF(K228=$K$55,AM228,IF(K228=$K$56,AM228,IF(K228=$K$57,AM228,IF(K228=$K$58,AM228,IF(K228=$K$65,AM228,IF(K228=$K$66,AM228,IF(K228=$K$67,AM228,IF(K228=$K$68,AM228,IF(K228=$K$69,AM228,IF(K228=$K$51,AM228,(AM228*(1+AI228)))))))))))))))</f>
        <v>0</v>
      </c>
      <c r="AO228" s="166">
        <v>1.4</v>
      </c>
      <c r="AP228" s="160">
        <f t="shared" si="27"/>
        <v>0</v>
      </c>
      <c r="AQ228" s="167">
        <f t="shared" si="45"/>
        <v>0</v>
      </c>
      <c r="AR228" s="160">
        <f t="shared" si="28"/>
        <v>0</v>
      </c>
      <c r="AS228" s="168">
        <f t="shared" si="29"/>
        <v>0</v>
      </c>
      <c r="AT228" s="169" t="str">
        <f>K228</f>
        <v>MI</v>
      </c>
      <c r="AU228" s="169" t="str">
        <f>I228</f>
        <v>Mercadorias</v>
      </c>
      <c r="AV228" s="170"/>
      <c r="AW228" s="171">
        <f>IF(K228=$K$50,0,IF(K228=$K$53,0,IF(K228=$K$54,0,IF(K228=$K$55,0,IF(K228=$K$56,0,IF(K228=$K$57,0,IF(K228=$K$58,0,IF(K228=$K$65,0,IF(K228=$K$66,0,IF(K228=$K$67,0,IF(K228=$K$68,0,IF(K228=$K$69,0,IF(K228=$K$51,0,1))))))))))))*AM228*AI228)</f>
        <v>0</v>
      </c>
      <c r="AX228" s="172">
        <f>IF(K228=$K$50,0,IF(K228=$K$53,0,IF(K228=$K$54,0,IF(K228=$K$55,0,IF(K228=$K$56,0,IF(K228=$K$57,0,IF(K228=$K$58,0,IF(K228=$K$65,0,IF(K228=$K$66,0,IF(K228=$K$67,0,IF(K228=$K$68,0,IF(K228=$K$69,0,IF(K228=$K$51,0,1))))))))))))*AM228*AJ228*$AX$94)</f>
        <v>0</v>
      </c>
      <c r="AY228" s="172">
        <f>IF(K228=$K$53,0,IF(K228=$K$54,0,IF(K228=$K$55,0,IF(K228=$K$56,0,IF(K228=$K$58,0,IF(K228=$K$50,0,IF(K228=$K$65,0,IF(K228=$K$57,0,IF(K228=$K$51,0,AM228*$AY$102)))))))))</f>
        <v>0</v>
      </c>
      <c r="AZ228" s="172">
        <f>IF(K228=$K$53,0,IF(K228=$K$54,0,IF(K228=$K$55,0,IF(K228=$K$56,0,IF(K228=$K$58,0,IF(K228=$K$50,0,IF(K228=$K$65,0,IF(K228=$K$57,0,IF(K228=$K$51,0,AM228*$AZ$102)))))))))</f>
        <v>0</v>
      </c>
      <c r="BA228" s="172">
        <f t="shared" si="30"/>
        <v>0</v>
      </c>
      <c r="BB228" s="173">
        <f>IF($BA$97=1,AQ228*$BB$102,IF(K228=$K$50,0,IF(K228=$K$53,0,IF(K228=$K$54,0,IF(K228=$K$55,0,IF(K228=$K$56,0,IF(K228=$K$57,0,IF(K228=$K$58,0,IF(K228=$K$65,0,IF(K228=$K$66,0,IF(K228=$K$67,0,IF(K228=$K$68,0,IF(K228=$K$69,0,IF(K228=$K$51,0,1)))))))))))*AQ228*$BB$102)))</f>
        <v>0</v>
      </c>
      <c r="BC228" s="172">
        <f t="shared" si="31"/>
        <v>0</v>
      </c>
      <c r="BD228" s="172">
        <f t="shared" si="32"/>
        <v>0</v>
      </c>
      <c r="BE228" s="172">
        <f>IF($BE$95=I228,$BE$97,IF(I228=$BE$96,$BE$97,1))*($BE$102*AQ228)*$AZ$97</f>
        <v>0</v>
      </c>
      <c r="BF228" s="172">
        <f>IF('[1]Cockpit Retorno'!$C$65=Sim,Mestre!BA228,SUM(BB228:BE228)+(IF(K228=$K$56,AQ228*MOE_IRRF_LR,0)))</f>
        <v>0</v>
      </c>
      <c r="BG228" s="174">
        <f>IF(AA228&gt;0,0,IF(Z228=$Z$82,AG228*1,(IF(Z228=$Z$81,AG228*1,0))))</f>
        <v>0</v>
      </c>
      <c r="BH228" s="174">
        <f>IF(AA228&gt;0,0,IF(Z228=$Z$83,AG228*1,IF(Z228=$Z$81,AG228*1,0)))</f>
        <v>0</v>
      </c>
      <c r="BI228" s="174">
        <f>IF(AA228&gt;0,0,IF(Z228=$Z$84,AG228*1,IF(Z228=$Z$93,AG228*2,IF(Z228=$Z$100,AG228,IF(Z228=$Z$81,AG228*2,IF(Z228=$Z$80,AG228*1,IF(Z228=$Z$79,AG228*3,IF(Z228=$Z$78,AG228*2,0))))))))</f>
        <v>0</v>
      </c>
      <c r="BJ228" s="174">
        <f>IF(AA228&gt;0,0,IF(Z228=$Z$85,AG228,IF(Z228=$Z$93,AG228,IF(Z228=$Z$100,AG228,IF(Z228=$Z$81,AG228*1,IF(Z228=$Z$80,AG228*2,IF(Z228=$Z$79,AG228*2,IF(Z228=$Z$78,AG228*2,0))))))))</f>
        <v>0</v>
      </c>
      <c r="BK228" s="174">
        <f>IF(AA228&gt;0,0,IF(Z228=$Z$92,AG228,0))</f>
        <v>0</v>
      </c>
      <c r="BL228" s="174">
        <f>IF(AA228&gt;0,0,IF(Z228=$Z$91,AG228,0))</f>
        <v>0</v>
      </c>
      <c r="BM228" s="174">
        <f>IF(AA228&gt;0,0,IF(Z228=$Z$86,AG228,0))</f>
        <v>0</v>
      </c>
      <c r="BN228" s="174">
        <f>IF(AA228&gt;0,0,IF(Z228=$Z$87,AG228,0))</f>
        <v>0</v>
      </c>
      <c r="BO228" s="174">
        <f>IF(AA228&gt;0,0,IF(Z228=$Z$88,AG228,0))</f>
        <v>0</v>
      </c>
      <c r="BP228" s="174">
        <f>IF(AA228&gt;0,0,IF(Z228=$Z$89,AG228,0))</f>
        <v>0</v>
      </c>
      <c r="BQ228" s="174">
        <f>IF(AA228&gt;0,0,IF(Z228=$Z$90,AG228,0))</f>
        <v>0</v>
      </c>
      <c r="BR228" s="174">
        <f>IF(Z228=$Z$82,AA228*AG228,0)</f>
        <v>0</v>
      </c>
      <c r="BS228" s="174">
        <f>IF(Z228=$Z$83,AA228*AG228,0)</f>
        <v>0</v>
      </c>
      <c r="BT228" s="174">
        <f>IF(AA228&lt;1,0,IF(Z228=$Z$84,AA228*AG228,IF(Z228=$Z$93,"ERRO",IF(Z228=$Z$100,"ERRO",0))))</f>
        <v>0</v>
      </c>
      <c r="BU228" s="174">
        <f>IF(AA228&lt;1,0,IF(Z228=$Z$85,AA228*AG228,IF(Z228=$Z$93,"ERRO",IF(Z228=$Z$100,"ERRO",0))))</f>
        <v>0</v>
      </c>
      <c r="BV228" s="174">
        <f>IF(Z228=$Z$92,AA228*AG228,0)</f>
        <v>0</v>
      </c>
      <c r="BW228" s="174">
        <f>IF(Z228=$Z$91,AA228*AG228,0)</f>
        <v>0</v>
      </c>
      <c r="BX228" s="174">
        <f>IF(Z228=$Z$86,AA228*AG228,0)</f>
        <v>0</v>
      </c>
      <c r="BY228" s="174">
        <f>IF(Z228=$Z$87,AA228*AG228,0)</f>
        <v>0</v>
      </c>
      <c r="BZ228" s="174">
        <f>IF(Z228=$Z$88,AA228*AG228,0)</f>
        <v>0</v>
      </c>
      <c r="CA228" s="174">
        <f>IF(Z228=$Z$89,AA228*AG228,0)</f>
        <v>0</v>
      </c>
      <c r="CB228" s="174">
        <f>IF(Z228=$Z$90,AA228*AG228,0)</f>
        <v>0</v>
      </c>
      <c r="CC228" s="175">
        <f>IFERROR(IF(L228=$L$49,AG228*AH228*(1+AI228)*(1-AK228)*(1-AL228),0),0)</f>
        <v>1807.1992499999999</v>
      </c>
      <c r="CD228" s="203"/>
      <c r="CE228" s="203"/>
      <c r="CF228" s="204"/>
      <c r="CG228" s="203"/>
      <c r="CH228" s="204"/>
      <c r="CI228" s="203"/>
      <c r="CJ228" s="205"/>
      <c r="CK228" s="205"/>
      <c r="CL228" s="205"/>
      <c r="CM228" s="205"/>
      <c r="CN228" s="206"/>
      <c r="CO228" s="204"/>
      <c r="CP228" s="207"/>
      <c r="CQ228" s="208"/>
      <c r="CR228" s="209"/>
      <c r="CS228" s="49"/>
      <c r="CT228" s="49"/>
      <c r="CU228" s="49"/>
      <c r="CV228" s="49"/>
      <c r="CW228" s="49"/>
      <c r="CX228" s="49"/>
      <c r="CY228" s="49"/>
      <c r="CZ228" s="49"/>
      <c r="DA228" s="49"/>
      <c r="DB228" s="49"/>
      <c r="DC228" s="49"/>
      <c r="DD228" s="49"/>
      <c r="DE228" s="49"/>
      <c r="DF228" s="49"/>
      <c r="DG228" s="49"/>
      <c r="DH228" s="49"/>
      <c r="DI228" s="49"/>
      <c r="DJ228" s="49"/>
      <c r="DK228" s="49"/>
      <c r="DL228" s="49"/>
      <c r="DM228" s="49"/>
      <c r="DN228" s="49"/>
      <c r="DO228" s="49"/>
      <c r="DP228" s="49"/>
      <c r="DQ228" s="49"/>
      <c r="DR228" s="49"/>
      <c r="DS228" s="49"/>
      <c r="DT228" s="49"/>
      <c r="DU228" s="49"/>
      <c r="DV228" s="49"/>
      <c r="DW228" s="49"/>
      <c r="DX228" s="49"/>
      <c r="DY228" s="49"/>
      <c r="DZ228" s="49"/>
      <c r="EA228" s="49"/>
      <c r="EB228" s="49"/>
      <c r="EC228" s="49"/>
      <c r="ED228" s="49"/>
      <c r="EE228" s="49"/>
      <c r="EF228" s="49"/>
      <c r="EG228" s="49"/>
      <c r="EH228" s="49"/>
      <c r="EI228" s="49"/>
      <c r="EJ228" s="49"/>
      <c r="EK228" s="49"/>
      <c r="EL228" s="49"/>
      <c r="EM228" s="49"/>
      <c r="EN228" s="49"/>
      <c r="EO228" s="49"/>
      <c r="EP228" s="49"/>
      <c r="EQ228" s="49"/>
      <c r="ER228" s="49"/>
      <c r="ES228" s="49"/>
      <c r="ET228" s="49"/>
      <c r="EU228" s="49"/>
      <c r="EV228" s="49"/>
      <c r="EW228" s="49"/>
      <c r="EX228" s="49"/>
      <c r="EY228" s="49"/>
      <c r="EZ228" s="49"/>
      <c r="FA228" s="49"/>
    </row>
    <row r="229" spans="1:157" s="210" customFormat="1" ht="38.25" x14ac:dyDescent="0.25">
      <c r="A229" s="113"/>
      <c r="B229" s="113"/>
      <c r="C229" s="113"/>
      <c r="D229" s="148"/>
      <c r="E229" s="115"/>
      <c r="F229" s="116"/>
      <c r="G229" s="149"/>
      <c r="H229" s="150" t="s">
        <v>7</v>
      </c>
      <c r="I229" s="151" t="str">
        <f t="shared" si="26"/>
        <v>Mercadorias</v>
      </c>
      <c r="J229" s="150" t="s">
        <v>15</v>
      </c>
      <c r="K229" s="152" t="s">
        <v>7</v>
      </c>
      <c r="L229" s="153" t="s">
        <v>21</v>
      </c>
      <c r="M229" s="154" t="s">
        <v>290</v>
      </c>
      <c r="N229" s="155" t="s">
        <v>370</v>
      </c>
      <c r="O229" s="155" t="s">
        <v>343</v>
      </c>
      <c r="P229" s="155"/>
      <c r="Q229" s="155"/>
      <c r="R229" s="155"/>
      <c r="S229" s="156"/>
      <c r="T229" s="156"/>
      <c r="U229" s="150"/>
      <c r="V229" s="150"/>
      <c r="W229" s="150"/>
      <c r="X229" s="157" t="s">
        <v>379</v>
      </c>
      <c r="Y229" s="150"/>
      <c r="Z229" s="150"/>
      <c r="AA229" s="158"/>
      <c r="AB229" s="155"/>
      <c r="AC229" s="150"/>
      <c r="AD229" s="155"/>
      <c r="AE229" s="155"/>
      <c r="AF229" s="150"/>
      <c r="AG229" s="159">
        <v>90</v>
      </c>
      <c r="AH229" s="159">
        <v>109.4238</v>
      </c>
      <c r="AI229" s="202">
        <v>0</v>
      </c>
      <c r="AJ229" s="161">
        <v>7.0000000000000007E-2</v>
      </c>
      <c r="AK229" s="162">
        <v>0.05</v>
      </c>
      <c r="AL229" s="163"/>
      <c r="AM229" s="164">
        <f>(((IF(L229=$L$101,1,IF(L229=$L$47,1,0))*(AH229*(1-AK229)))*AG229)*(1-AL229))</f>
        <v>0</v>
      </c>
      <c r="AN229" s="165">
        <f>IF(K229=$K$50,AM229,IF(K229=$K$53,AM229,IF(K229=$K$54,AM229,IF(K229=$K$55,AM229,IF(K229=$K$56,AM229,IF(K229=$K$57,AM229,IF(K229=$K$58,AM229,IF(K229=$K$65,AM229,IF(K229=$K$66,AM229,IF(K229=$K$67,AM229,IF(K229=$K$68,AM229,IF(K229=$K$69,AM229,IF(K229=$K$51,AM229,(AM229*(1+AI229)))))))))))))))</f>
        <v>0</v>
      </c>
      <c r="AO229" s="166">
        <v>1.4</v>
      </c>
      <c r="AP229" s="160">
        <f t="shared" si="27"/>
        <v>0</v>
      </c>
      <c r="AQ229" s="167">
        <f t="shared" si="45"/>
        <v>0</v>
      </c>
      <c r="AR229" s="160">
        <f t="shared" si="28"/>
        <v>0</v>
      </c>
      <c r="AS229" s="168">
        <f t="shared" si="29"/>
        <v>0</v>
      </c>
      <c r="AT229" s="169" t="str">
        <f>K229</f>
        <v>MI</v>
      </c>
      <c r="AU229" s="169" t="str">
        <f>I229</f>
        <v>Mercadorias</v>
      </c>
      <c r="AV229" s="170"/>
      <c r="AW229" s="171">
        <f>IF(K229=$K$50,0,IF(K229=$K$53,0,IF(K229=$K$54,0,IF(K229=$K$55,0,IF(K229=$K$56,0,IF(K229=$K$57,0,IF(K229=$K$58,0,IF(K229=$K$65,0,IF(K229=$K$66,0,IF(K229=$K$67,0,IF(K229=$K$68,0,IF(K229=$K$69,0,IF(K229=$K$51,0,1))))))))))))*AM229*AI229)</f>
        <v>0</v>
      </c>
      <c r="AX229" s="172">
        <f>IF(K229=$K$50,0,IF(K229=$K$53,0,IF(K229=$K$54,0,IF(K229=$K$55,0,IF(K229=$K$56,0,IF(K229=$K$57,0,IF(K229=$K$58,0,IF(K229=$K$65,0,IF(K229=$K$66,0,IF(K229=$K$67,0,IF(K229=$K$68,0,IF(K229=$K$69,0,IF(K229=$K$51,0,1))))))))))))*AM229*AJ229*$AX$94)</f>
        <v>0</v>
      </c>
      <c r="AY229" s="172">
        <f>IF(K229=$K$53,0,IF(K229=$K$54,0,IF(K229=$K$55,0,IF(K229=$K$56,0,IF(K229=$K$58,0,IF(K229=$K$50,0,IF(K229=$K$65,0,IF(K229=$K$57,0,IF(K229=$K$51,0,AM229*$AY$102)))))))))</f>
        <v>0</v>
      </c>
      <c r="AZ229" s="172">
        <f>IF(K229=$K$53,0,IF(K229=$K$54,0,IF(K229=$K$55,0,IF(K229=$K$56,0,IF(K229=$K$58,0,IF(K229=$K$50,0,IF(K229=$K$65,0,IF(K229=$K$57,0,IF(K229=$K$51,0,AM229*$AZ$102)))))))))</f>
        <v>0</v>
      </c>
      <c r="BA229" s="172">
        <f t="shared" si="30"/>
        <v>0</v>
      </c>
      <c r="BB229" s="173">
        <f>IF($BA$97=1,AQ229*$BB$102,IF(K229=$K$50,0,IF(K229=$K$53,0,IF(K229=$K$54,0,IF(K229=$K$55,0,IF(K229=$K$56,0,IF(K229=$K$57,0,IF(K229=$K$58,0,IF(K229=$K$65,0,IF(K229=$K$66,0,IF(K229=$K$67,0,IF(K229=$K$68,0,IF(K229=$K$69,0,IF(K229=$K$51,0,1)))))))))))*AQ229*$BB$102)))</f>
        <v>0</v>
      </c>
      <c r="BC229" s="172">
        <f t="shared" si="31"/>
        <v>0</v>
      </c>
      <c r="BD229" s="172">
        <f t="shared" si="32"/>
        <v>0</v>
      </c>
      <c r="BE229" s="172">
        <f>IF($BE$95=I229,$BE$97,IF(I229=$BE$96,$BE$97,1))*($BE$102*AQ229)*$AZ$97</f>
        <v>0</v>
      </c>
      <c r="BF229" s="172">
        <f>IF('[1]Cockpit Retorno'!$C$65=Sim,Mestre!BA229,SUM(BB229:BE229)+(IF(K229=$K$56,AQ229*MOE_IRRF_LR,0)))</f>
        <v>0</v>
      </c>
      <c r="BG229" s="174">
        <f>IF(AA229&gt;0,0,IF(Z229=$Z$82,AG229*1,(IF(Z229=$Z$81,AG229*1,0))))</f>
        <v>0</v>
      </c>
      <c r="BH229" s="174">
        <f>IF(AA229&gt;0,0,IF(Z229=$Z$83,AG229*1,IF(Z229=$Z$81,AG229*1,0)))</f>
        <v>0</v>
      </c>
      <c r="BI229" s="174">
        <f>IF(AA229&gt;0,0,IF(Z229=$Z$84,AG229*1,IF(Z229=$Z$93,AG229*2,IF(Z229=$Z$100,AG229,IF(Z229=$Z$81,AG229*2,IF(Z229=$Z$80,AG229*1,IF(Z229=$Z$79,AG229*3,IF(Z229=$Z$78,AG229*2,0))))))))</f>
        <v>0</v>
      </c>
      <c r="BJ229" s="174">
        <f>IF(AA229&gt;0,0,IF(Z229=$Z$85,AG229,IF(Z229=$Z$93,AG229,IF(Z229=$Z$100,AG229,IF(Z229=$Z$81,AG229*1,IF(Z229=$Z$80,AG229*2,IF(Z229=$Z$79,AG229*2,IF(Z229=$Z$78,AG229*2,0))))))))</f>
        <v>0</v>
      </c>
      <c r="BK229" s="174">
        <f>IF(AA229&gt;0,0,IF(Z229=$Z$92,AG229,0))</f>
        <v>0</v>
      </c>
      <c r="BL229" s="174">
        <f>IF(AA229&gt;0,0,IF(Z229=$Z$91,AG229,0))</f>
        <v>0</v>
      </c>
      <c r="BM229" s="174">
        <f>IF(AA229&gt;0,0,IF(Z229=$Z$86,AG229,0))</f>
        <v>0</v>
      </c>
      <c r="BN229" s="174">
        <f>IF(AA229&gt;0,0,IF(Z229=$Z$87,AG229,0))</f>
        <v>0</v>
      </c>
      <c r="BO229" s="174">
        <f>IF(AA229&gt;0,0,IF(Z229=$Z$88,AG229,0))</f>
        <v>0</v>
      </c>
      <c r="BP229" s="174">
        <f>IF(AA229&gt;0,0,IF(Z229=$Z$89,AG229,0))</f>
        <v>0</v>
      </c>
      <c r="BQ229" s="174">
        <f>IF(AA229&gt;0,0,IF(Z229=$Z$90,AG229,0))</f>
        <v>0</v>
      </c>
      <c r="BR229" s="174">
        <f>IF(Z229=$Z$82,AA229*AG229,0)</f>
        <v>0</v>
      </c>
      <c r="BS229" s="174">
        <f>IF(Z229=$Z$83,AA229*AG229,0)</f>
        <v>0</v>
      </c>
      <c r="BT229" s="174">
        <f>IF(AA229&lt;1,0,IF(Z229=$Z$84,AA229*AG229,IF(Z229=$Z$93,"ERRO",IF(Z229=$Z$100,"ERRO",0))))</f>
        <v>0</v>
      </c>
      <c r="BU229" s="174">
        <f>IF(AA229&lt;1,0,IF(Z229=$Z$85,AA229*AG229,IF(Z229=$Z$93,"ERRO",IF(Z229=$Z$100,"ERRO",0))))</f>
        <v>0</v>
      </c>
      <c r="BV229" s="174">
        <f>IF(Z229=$Z$92,AA229*AG229,0)</f>
        <v>0</v>
      </c>
      <c r="BW229" s="174">
        <f>IF(Z229=$Z$91,AA229*AG229,0)</f>
        <v>0</v>
      </c>
      <c r="BX229" s="174">
        <f>IF(Z229=$Z$86,AA229*AG229,0)</f>
        <v>0</v>
      </c>
      <c r="BY229" s="174">
        <f>IF(Z229=$Z$87,AA229*AG229,0)</f>
        <v>0</v>
      </c>
      <c r="BZ229" s="174">
        <f>IF(Z229=$Z$88,AA229*AG229,0)</f>
        <v>0</v>
      </c>
      <c r="CA229" s="174">
        <f>IF(Z229=$Z$89,AA229*AG229,0)</f>
        <v>0</v>
      </c>
      <c r="CB229" s="174">
        <f>IF(Z229=$Z$90,AA229*AG229,0)</f>
        <v>0</v>
      </c>
      <c r="CC229" s="175">
        <f>IFERROR(IF(L229=$L$49,AG229*AH229*(1+AI229)*(1-AK229)*(1-AL229),0),0)</f>
        <v>9355.7348999999995</v>
      </c>
      <c r="CD229" s="203"/>
      <c r="CE229" s="203"/>
      <c r="CF229" s="204"/>
      <c r="CG229" s="203"/>
      <c r="CH229" s="204"/>
      <c r="CI229" s="203"/>
      <c r="CJ229" s="205"/>
      <c r="CK229" s="205"/>
      <c r="CL229" s="205"/>
      <c r="CM229" s="205"/>
      <c r="CN229" s="206"/>
      <c r="CO229" s="204"/>
      <c r="CP229" s="207"/>
      <c r="CQ229" s="208"/>
      <c r="CR229" s="209"/>
      <c r="CS229" s="49"/>
      <c r="CT229" s="49"/>
      <c r="CU229" s="49"/>
      <c r="CV229" s="49"/>
      <c r="CW229" s="49"/>
      <c r="CX229" s="49"/>
      <c r="CY229" s="49"/>
      <c r="CZ229" s="49"/>
      <c r="DA229" s="49"/>
      <c r="DB229" s="49"/>
      <c r="DC229" s="49"/>
      <c r="DD229" s="49"/>
      <c r="DE229" s="49"/>
      <c r="DF229" s="49"/>
      <c r="DG229" s="49"/>
      <c r="DH229" s="49"/>
      <c r="DI229" s="49"/>
      <c r="DJ229" s="49"/>
      <c r="DK229" s="49"/>
      <c r="DL229" s="49"/>
      <c r="DM229" s="49"/>
      <c r="DN229" s="49"/>
      <c r="DO229" s="49"/>
      <c r="DP229" s="49"/>
      <c r="DQ229" s="49"/>
      <c r="DR229" s="49"/>
      <c r="DS229" s="49"/>
      <c r="DT229" s="49"/>
      <c r="DU229" s="49"/>
      <c r="DV229" s="49"/>
      <c r="DW229" s="49"/>
      <c r="DX229" s="49"/>
      <c r="DY229" s="49"/>
      <c r="DZ229" s="49"/>
      <c r="EA229" s="49"/>
      <c r="EB229" s="49"/>
      <c r="EC229" s="49"/>
      <c r="ED229" s="49"/>
      <c r="EE229" s="49"/>
      <c r="EF229" s="49"/>
      <c r="EG229" s="49"/>
      <c r="EH229" s="49"/>
      <c r="EI229" s="49"/>
      <c r="EJ229" s="49"/>
      <c r="EK229" s="49"/>
      <c r="EL229" s="49"/>
      <c r="EM229" s="49"/>
      <c r="EN229" s="49"/>
      <c r="EO229" s="49"/>
      <c r="EP229" s="49"/>
      <c r="EQ229" s="49"/>
      <c r="ER229" s="49"/>
      <c r="ES229" s="49"/>
      <c r="ET229" s="49"/>
      <c r="EU229" s="49"/>
      <c r="EV229" s="49"/>
      <c r="EW229" s="49"/>
      <c r="EX229" s="49"/>
      <c r="EY229" s="49"/>
      <c r="EZ229" s="49"/>
      <c r="FA229" s="49"/>
    </row>
    <row r="230" spans="1:157" s="210" customFormat="1" ht="38.25" x14ac:dyDescent="0.25">
      <c r="A230" s="113"/>
      <c r="B230" s="113"/>
      <c r="C230" s="113"/>
      <c r="D230" s="148"/>
      <c r="E230" s="115"/>
      <c r="F230" s="116"/>
      <c r="G230" s="149"/>
      <c r="H230" s="150" t="s">
        <v>7</v>
      </c>
      <c r="I230" s="151" t="str">
        <f t="shared" si="26"/>
        <v>Mercadorias</v>
      </c>
      <c r="J230" s="150" t="s">
        <v>15</v>
      </c>
      <c r="K230" s="152" t="s">
        <v>7</v>
      </c>
      <c r="L230" s="153" t="s">
        <v>21</v>
      </c>
      <c r="M230" s="154" t="s">
        <v>290</v>
      </c>
      <c r="N230" s="155" t="s">
        <v>370</v>
      </c>
      <c r="O230" s="155" t="s">
        <v>343</v>
      </c>
      <c r="P230" s="155"/>
      <c r="Q230" s="155"/>
      <c r="R230" s="155"/>
      <c r="S230" s="156"/>
      <c r="T230" s="156"/>
      <c r="U230" s="150"/>
      <c r="V230" s="150"/>
      <c r="W230" s="150"/>
      <c r="X230" s="157" t="s">
        <v>380</v>
      </c>
      <c r="Y230" s="150"/>
      <c r="Z230" s="150"/>
      <c r="AA230" s="158"/>
      <c r="AB230" s="155"/>
      <c r="AC230" s="150"/>
      <c r="AD230" s="155"/>
      <c r="AE230" s="155"/>
      <c r="AF230" s="150"/>
      <c r="AG230" s="159">
        <v>40</v>
      </c>
      <c r="AH230" s="159">
        <v>39.469200000000008</v>
      </c>
      <c r="AI230" s="202">
        <v>0</v>
      </c>
      <c r="AJ230" s="161">
        <v>7.0000000000000007E-2</v>
      </c>
      <c r="AK230" s="162">
        <v>0.05</v>
      </c>
      <c r="AL230" s="163"/>
      <c r="AM230" s="164">
        <f>(((IF(L230=$L$101,1,IF(L230=$L$47,1,0))*(AH230*(1-AK230)))*AG230)*(1-AL230))</f>
        <v>0</v>
      </c>
      <c r="AN230" s="165">
        <f>IF(K230=$K$50,AM230,IF(K230=$K$53,AM230,IF(K230=$K$54,AM230,IF(K230=$K$55,AM230,IF(K230=$K$56,AM230,IF(K230=$K$57,AM230,IF(K230=$K$58,AM230,IF(K230=$K$65,AM230,IF(K230=$K$66,AM230,IF(K230=$K$67,AM230,IF(K230=$K$68,AM230,IF(K230=$K$69,AM230,IF(K230=$K$51,AM230,(AM230*(1+AI230)))))))))))))))</f>
        <v>0</v>
      </c>
      <c r="AO230" s="166">
        <v>1.4</v>
      </c>
      <c r="AP230" s="160">
        <f t="shared" si="27"/>
        <v>0</v>
      </c>
      <c r="AQ230" s="167">
        <f t="shared" si="45"/>
        <v>0</v>
      </c>
      <c r="AR230" s="160">
        <f t="shared" si="28"/>
        <v>0</v>
      </c>
      <c r="AS230" s="168">
        <f t="shared" si="29"/>
        <v>0</v>
      </c>
      <c r="AT230" s="169" t="str">
        <f>K230</f>
        <v>MI</v>
      </c>
      <c r="AU230" s="169" t="str">
        <f>I230</f>
        <v>Mercadorias</v>
      </c>
      <c r="AV230" s="170"/>
      <c r="AW230" s="171">
        <f>IF(K230=$K$50,0,IF(K230=$K$53,0,IF(K230=$K$54,0,IF(K230=$K$55,0,IF(K230=$K$56,0,IF(K230=$K$57,0,IF(K230=$K$58,0,IF(K230=$K$65,0,IF(K230=$K$66,0,IF(K230=$K$67,0,IF(K230=$K$68,0,IF(K230=$K$69,0,IF(K230=$K$51,0,1))))))))))))*AM230*AI230)</f>
        <v>0</v>
      </c>
      <c r="AX230" s="172">
        <f>IF(K230=$K$50,0,IF(K230=$K$53,0,IF(K230=$K$54,0,IF(K230=$K$55,0,IF(K230=$K$56,0,IF(K230=$K$57,0,IF(K230=$K$58,0,IF(K230=$K$65,0,IF(K230=$K$66,0,IF(K230=$K$67,0,IF(K230=$K$68,0,IF(K230=$K$69,0,IF(K230=$K$51,0,1))))))))))))*AM230*AJ230*$AX$94)</f>
        <v>0</v>
      </c>
      <c r="AY230" s="172">
        <f>IF(K230=$K$53,0,IF(K230=$K$54,0,IF(K230=$K$55,0,IF(K230=$K$56,0,IF(K230=$K$58,0,IF(K230=$K$50,0,IF(K230=$K$65,0,IF(K230=$K$57,0,IF(K230=$K$51,0,AM230*$AY$102)))))))))</f>
        <v>0</v>
      </c>
      <c r="AZ230" s="172">
        <f>IF(K230=$K$53,0,IF(K230=$K$54,0,IF(K230=$K$55,0,IF(K230=$K$56,0,IF(K230=$K$58,0,IF(K230=$K$50,0,IF(K230=$K$65,0,IF(K230=$K$57,0,IF(K230=$K$51,0,AM230*$AZ$102)))))))))</f>
        <v>0</v>
      </c>
      <c r="BA230" s="172">
        <f t="shared" si="30"/>
        <v>0</v>
      </c>
      <c r="BB230" s="173">
        <f>IF($BA$97=1,AQ230*$BB$102,IF(K230=$K$50,0,IF(K230=$K$53,0,IF(K230=$K$54,0,IF(K230=$K$55,0,IF(K230=$K$56,0,IF(K230=$K$57,0,IF(K230=$K$58,0,IF(K230=$K$65,0,IF(K230=$K$66,0,IF(K230=$K$67,0,IF(K230=$K$68,0,IF(K230=$K$69,0,IF(K230=$K$51,0,1)))))))))))*AQ230*$BB$102)))</f>
        <v>0</v>
      </c>
      <c r="BC230" s="172">
        <f t="shared" si="31"/>
        <v>0</v>
      </c>
      <c r="BD230" s="172">
        <f t="shared" si="32"/>
        <v>0</v>
      </c>
      <c r="BE230" s="172">
        <f>IF($BE$95=I230,$BE$97,IF(I230=$BE$96,$BE$97,1))*($BE$102*AQ230)*$AZ$97</f>
        <v>0</v>
      </c>
      <c r="BF230" s="172">
        <f>IF('[1]Cockpit Retorno'!$C$65=Sim,Mestre!BA230,SUM(BB230:BE230)+(IF(K230=$K$56,AQ230*MOE_IRRF_LR,0)))</f>
        <v>0</v>
      </c>
      <c r="BG230" s="174">
        <f>IF(AA230&gt;0,0,IF(Z230=$Z$82,AG230*1,(IF(Z230=$Z$81,AG230*1,0))))</f>
        <v>0</v>
      </c>
      <c r="BH230" s="174">
        <f>IF(AA230&gt;0,0,IF(Z230=$Z$83,AG230*1,IF(Z230=$Z$81,AG230*1,0)))</f>
        <v>0</v>
      </c>
      <c r="BI230" s="174">
        <f>IF(AA230&gt;0,0,IF(Z230=$Z$84,AG230*1,IF(Z230=$Z$93,AG230*2,IF(Z230=$Z$100,AG230,IF(Z230=$Z$81,AG230*2,IF(Z230=$Z$80,AG230*1,IF(Z230=$Z$79,AG230*3,IF(Z230=$Z$78,AG230*2,0))))))))</f>
        <v>0</v>
      </c>
      <c r="BJ230" s="174">
        <f>IF(AA230&gt;0,0,IF(Z230=$Z$85,AG230,IF(Z230=$Z$93,AG230,IF(Z230=$Z$100,AG230,IF(Z230=$Z$81,AG230*1,IF(Z230=$Z$80,AG230*2,IF(Z230=$Z$79,AG230*2,IF(Z230=$Z$78,AG230*2,0))))))))</f>
        <v>0</v>
      </c>
      <c r="BK230" s="174">
        <f>IF(AA230&gt;0,0,IF(Z230=$Z$92,AG230,0))</f>
        <v>0</v>
      </c>
      <c r="BL230" s="174">
        <f>IF(AA230&gt;0,0,IF(Z230=$Z$91,AG230,0))</f>
        <v>0</v>
      </c>
      <c r="BM230" s="174">
        <f>IF(AA230&gt;0,0,IF(Z230=$Z$86,AG230,0))</f>
        <v>0</v>
      </c>
      <c r="BN230" s="174">
        <f>IF(AA230&gt;0,0,IF(Z230=$Z$87,AG230,0))</f>
        <v>0</v>
      </c>
      <c r="BO230" s="174">
        <f>IF(AA230&gt;0,0,IF(Z230=$Z$88,AG230,0))</f>
        <v>0</v>
      </c>
      <c r="BP230" s="174">
        <f>IF(AA230&gt;0,0,IF(Z230=$Z$89,AG230,0))</f>
        <v>0</v>
      </c>
      <c r="BQ230" s="174">
        <f>IF(AA230&gt;0,0,IF(Z230=$Z$90,AG230,0))</f>
        <v>0</v>
      </c>
      <c r="BR230" s="174">
        <f>IF(Z230=$Z$82,AA230*AG230,0)</f>
        <v>0</v>
      </c>
      <c r="BS230" s="174">
        <f>IF(Z230=$Z$83,AA230*AG230,0)</f>
        <v>0</v>
      </c>
      <c r="BT230" s="174">
        <f>IF(AA230&lt;1,0,IF(Z230=$Z$84,AA230*AG230,IF(Z230=$Z$93,"ERRO",IF(Z230=$Z$100,"ERRO",0))))</f>
        <v>0</v>
      </c>
      <c r="BU230" s="174">
        <f>IF(AA230&lt;1,0,IF(Z230=$Z$85,AA230*AG230,IF(Z230=$Z$93,"ERRO",IF(Z230=$Z$100,"ERRO",0))))</f>
        <v>0</v>
      </c>
      <c r="BV230" s="174">
        <f>IF(Z230=$Z$92,AA230*AG230,0)</f>
        <v>0</v>
      </c>
      <c r="BW230" s="174">
        <f>IF(Z230=$Z$91,AA230*AG230,0)</f>
        <v>0</v>
      </c>
      <c r="BX230" s="174">
        <f>IF(Z230=$Z$86,AA230*AG230,0)</f>
        <v>0</v>
      </c>
      <c r="BY230" s="174">
        <f>IF(Z230=$Z$87,AA230*AG230,0)</f>
        <v>0</v>
      </c>
      <c r="BZ230" s="174">
        <f>IF(Z230=$Z$88,AA230*AG230,0)</f>
        <v>0</v>
      </c>
      <c r="CA230" s="174">
        <f>IF(Z230=$Z$89,AA230*AG230,0)</f>
        <v>0</v>
      </c>
      <c r="CB230" s="174">
        <f>IF(Z230=$Z$90,AA230*AG230,0)</f>
        <v>0</v>
      </c>
      <c r="CC230" s="175">
        <f>IFERROR(IF(L230=$L$49,AG230*AH230*(1+AI230)*(1-AK230)*(1-AL230),0),0)</f>
        <v>1499.8296000000003</v>
      </c>
      <c r="CD230" s="203"/>
      <c r="CE230" s="203"/>
      <c r="CF230" s="204"/>
      <c r="CG230" s="203"/>
      <c r="CH230" s="204"/>
      <c r="CI230" s="203"/>
      <c r="CJ230" s="205"/>
      <c r="CK230" s="205"/>
      <c r="CL230" s="205"/>
      <c r="CM230" s="205"/>
      <c r="CN230" s="206"/>
      <c r="CO230" s="204"/>
      <c r="CP230" s="207"/>
      <c r="CQ230" s="208"/>
      <c r="CR230" s="209"/>
      <c r="CS230" s="49"/>
      <c r="CT230" s="49"/>
      <c r="CU230" s="49"/>
      <c r="CV230" s="49"/>
      <c r="CW230" s="49"/>
      <c r="CX230" s="49"/>
      <c r="CY230" s="49"/>
      <c r="CZ230" s="49"/>
      <c r="DA230" s="49"/>
      <c r="DB230" s="49"/>
      <c r="DC230" s="49"/>
      <c r="DD230" s="49"/>
      <c r="DE230" s="49"/>
      <c r="DF230" s="49"/>
      <c r="DG230" s="49"/>
      <c r="DH230" s="49"/>
      <c r="DI230" s="49"/>
      <c r="DJ230" s="49"/>
      <c r="DK230" s="49"/>
      <c r="DL230" s="49"/>
      <c r="DM230" s="49"/>
      <c r="DN230" s="49"/>
      <c r="DO230" s="49"/>
      <c r="DP230" s="49"/>
      <c r="DQ230" s="49"/>
      <c r="DR230" s="49"/>
      <c r="DS230" s="49"/>
      <c r="DT230" s="49"/>
      <c r="DU230" s="49"/>
      <c r="DV230" s="49"/>
      <c r="DW230" s="49"/>
      <c r="DX230" s="49"/>
      <c r="DY230" s="49"/>
      <c r="DZ230" s="49"/>
      <c r="EA230" s="49"/>
      <c r="EB230" s="49"/>
      <c r="EC230" s="49"/>
      <c r="ED230" s="49"/>
      <c r="EE230" s="49"/>
      <c r="EF230" s="49"/>
      <c r="EG230" s="49"/>
      <c r="EH230" s="49"/>
      <c r="EI230" s="49"/>
      <c r="EJ230" s="49"/>
      <c r="EK230" s="49"/>
      <c r="EL230" s="49"/>
      <c r="EM230" s="49"/>
      <c r="EN230" s="49"/>
      <c r="EO230" s="49"/>
      <c r="EP230" s="49"/>
      <c r="EQ230" s="49"/>
      <c r="ER230" s="49"/>
      <c r="ES230" s="49"/>
      <c r="ET230" s="49"/>
      <c r="EU230" s="49"/>
      <c r="EV230" s="49"/>
      <c r="EW230" s="49"/>
      <c r="EX230" s="49"/>
      <c r="EY230" s="49"/>
      <c r="EZ230" s="49"/>
      <c r="FA230" s="49"/>
    </row>
    <row r="231" spans="1:157" s="210" customFormat="1" ht="38.25" x14ac:dyDescent="0.25">
      <c r="A231" s="113"/>
      <c r="B231" s="113"/>
      <c r="C231" s="113"/>
      <c r="D231" s="148"/>
      <c r="E231" s="115"/>
      <c r="F231" s="116"/>
      <c r="G231" s="149"/>
      <c r="H231" s="150" t="s">
        <v>7</v>
      </c>
      <c r="I231" s="151" t="str">
        <f t="shared" si="26"/>
        <v>Mercadorias</v>
      </c>
      <c r="J231" s="150" t="s">
        <v>15</v>
      </c>
      <c r="K231" s="152" t="s">
        <v>7</v>
      </c>
      <c r="L231" s="153" t="s">
        <v>21</v>
      </c>
      <c r="M231" s="154" t="s">
        <v>290</v>
      </c>
      <c r="N231" s="155" t="s">
        <v>370</v>
      </c>
      <c r="O231" s="155" t="s">
        <v>343</v>
      </c>
      <c r="P231" s="155"/>
      <c r="Q231" s="155"/>
      <c r="R231" s="155"/>
      <c r="S231" s="156"/>
      <c r="T231" s="156"/>
      <c r="U231" s="150"/>
      <c r="V231" s="150"/>
      <c r="W231" s="150"/>
      <c r="X231" s="157" t="s">
        <v>381</v>
      </c>
      <c r="Y231" s="150"/>
      <c r="Z231" s="150"/>
      <c r="AA231" s="158"/>
      <c r="AB231" s="155"/>
      <c r="AC231" s="150"/>
      <c r="AD231" s="155"/>
      <c r="AE231" s="155"/>
      <c r="AF231" s="150"/>
      <c r="AG231" s="159">
        <v>2</v>
      </c>
      <c r="AH231" s="159">
        <v>66.764700000000005</v>
      </c>
      <c r="AI231" s="202">
        <v>0</v>
      </c>
      <c r="AJ231" s="161">
        <v>7.0000000000000007E-2</v>
      </c>
      <c r="AK231" s="162">
        <v>0.05</v>
      </c>
      <c r="AL231" s="163"/>
      <c r="AM231" s="164">
        <f>(((IF(L231=$L$101,1,IF(L231=$L$47,1,0))*(AH231*(1-AK231)))*AG231)*(1-AL231))</f>
        <v>0</v>
      </c>
      <c r="AN231" s="165">
        <f>IF(K231=$K$50,AM231,IF(K231=$K$53,AM231,IF(K231=$K$54,AM231,IF(K231=$K$55,AM231,IF(K231=$K$56,AM231,IF(K231=$K$57,AM231,IF(K231=$K$58,AM231,IF(K231=$K$65,AM231,IF(K231=$K$66,AM231,IF(K231=$K$67,AM231,IF(K231=$K$68,AM231,IF(K231=$K$69,AM231,IF(K231=$K$51,AM231,(AM231*(1+AI231)))))))))))))))</f>
        <v>0</v>
      </c>
      <c r="AO231" s="166">
        <v>1.4</v>
      </c>
      <c r="AP231" s="160">
        <f t="shared" si="27"/>
        <v>0</v>
      </c>
      <c r="AQ231" s="167">
        <f t="shared" si="45"/>
        <v>0</v>
      </c>
      <c r="AR231" s="160">
        <f t="shared" si="28"/>
        <v>0</v>
      </c>
      <c r="AS231" s="168">
        <f t="shared" si="29"/>
        <v>0</v>
      </c>
      <c r="AT231" s="169" t="str">
        <f>K231</f>
        <v>MI</v>
      </c>
      <c r="AU231" s="169" t="str">
        <f>I231</f>
        <v>Mercadorias</v>
      </c>
      <c r="AV231" s="170"/>
      <c r="AW231" s="171">
        <f>IF(K231=$K$50,0,IF(K231=$K$53,0,IF(K231=$K$54,0,IF(K231=$K$55,0,IF(K231=$K$56,0,IF(K231=$K$57,0,IF(K231=$K$58,0,IF(K231=$K$65,0,IF(K231=$K$66,0,IF(K231=$K$67,0,IF(K231=$K$68,0,IF(K231=$K$69,0,IF(K231=$K$51,0,1))))))))))))*AM231*AI231)</f>
        <v>0</v>
      </c>
      <c r="AX231" s="172">
        <f>IF(K231=$K$50,0,IF(K231=$K$53,0,IF(K231=$K$54,0,IF(K231=$K$55,0,IF(K231=$K$56,0,IF(K231=$K$57,0,IF(K231=$K$58,0,IF(K231=$K$65,0,IF(K231=$K$66,0,IF(K231=$K$67,0,IF(K231=$K$68,0,IF(K231=$K$69,0,IF(K231=$K$51,0,1))))))))))))*AM231*AJ231*$AX$94)</f>
        <v>0</v>
      </c>
      <c r="AY231" s="172">
        <f>IF(K231=$K$53,0,IF(K231=$K$54,0,IF(K231=$K$55,0,IF(K231=$K$56,0,IF(K231=$K$58,0,IF(K231=$K$50,0,IF(K231=$K$65,0,IF(K231=$K$57,0,IF(K231=$K$51,0,AM231*$AY$102)))))))))</f>
        <v>0</v>
      </c>
      <c r="AZ231" s="172">
        <f>IF(K231=$K$53,0,IF(K231=$K$54,0,IF(K231=$K$55,0,IF(K231=$K$56,0,IF(K231=$K$58,0,IF(K231=$K$50,0,IF(K231=$K$65,0,IF(K231=$K$57,0,IF(K231=$K$51,0,AM231*$AZ$102)))))))))</f>
        <v>0</v>
      </c>
      <c r="BA231" s="172">
        <f t="shared" si="30"/>
        <v>0</v>
      </c>
      <c r="BB231" s="173">
        <f>IF($BA$97=1,AQ231*$BB$102,IF(K231=$K$50,0,IF(K231=$K$53,0,IF(K231=$K$54,0,IF(K231=$K$55,0,IF(K231=$K$56,0,IF(K231=$K$57,0,IF(K231=$K$58,0,IF(K231=$K$65,0,IF(K231=$K$66,0,IF(K231=$K$67,0,IF(K231=$K$68,0,IF(K231=$K$69,0,IF(K231=$K$51,0,1)))))))))))*AQ231*$BB$102)))</f>
        <v>0</v>
      </c>
      <c r="BC231" s="172">
        <f t="shared" si="31"/>
        <v>0</v>
      </c>
      <c r="BD231" s="172">
        <f t="shared" si="32"/>
        <v>0</v>
      </c>
      <c r="BE231" s="172">
        <f>IF($BE$95=I231,$BE$97,IF(I231=$BE$96,$BE$97,1))*($BE$102*AQ231)*$AZ$97</f>
        <v>0</v>
      </c>
      <c r="BF231" s="172">
        <f>IF('[1]Cockpit Retorno'!$C$65=Sim,Mestre!BA231,SUM(BB231:BE231)+(IF(K231=$K$56,AQ231*MOE_IRRF_LR,0)))</f>
        <v>0</v>
      </c>
      <c r="BG231" s="174">
        <f>IF(AA231&gt;0,0,IF(Z231=$Z$82,AG231*1,(IF(Z231=$Z$81,AG231*1,0))))</f>
        <v>0</v>
      </c>
      <c r="BH231" s="174">
        <f>IF(AA231&gt;0,0,IF(Z231=$Z$83,AG231*1,IF(Z231=$Z$81,AG231*1,0)))</f>
        <v>0</v>
      </c>
      <c r="BI231" s="174">
        <f>IF(AA231&gt;0,0,IF(Z231=$Z$84,AG231*1,IF(Z231=$Z$93,AG231*2,IF(Z231=$Z$100,AG231,IF(Z231=$Z$81,AG231*2,IF(Z231=$Z$80,AG231*1,IF(Z231=$Z$79,AG231*3,IF(Z231=$Z$78,AG231*2,0))))))))</f>
        <v>0</v>
      </c>
      <c r="BJ231" s="174">
        <f>IF(AA231&gt;0,0,IF(Z231=$Z$85,AG231,IF(Z231=$Z$93,AG231,IF(Z231=$Z$100,AG231,IF(Z231=$Z$81,AG231*1,IF(Z231=$Z$80,AG231*2,IF(Z231=$Z$79,AG231*2,IF(Z231=$Z$78,AG231*2,0))))))))</f>
        <v>0</v>
      </c>
      <c r="BK231" s="174">
        <f>IF(AA231&gt;0,0,IF(Z231=$Z$92,AG231,0))</f>
        <v>0</v>
      </c>
      <c r="BL231" s="174">
        <f>IF(AA231&gt;0,0,IF(Z231=$Z$91,AG231,0))</f>
        <v>0</v>
      </c>
      <c r="BM231" s="174">
        <f>IF(AA231&gt;0,0,IF(Z231=$Z$86,AG231,0))</f>
        <v>0</v>
      </c>
      <c r="BN231" s="174">
        <f>IF(AA231&gt;0,0,IF(Z231=$Z$87,AG231,0))</f>
        <v>0</v>
      </c>
      <c r="BO231" s="174">
        <f>IF(AA231&gt;0,0,IF(Z231=$Z$88,AG231,0))</f>
        <v>0</v>
      </c>
      <c r="BP231" s="174">
        <f>IF(AA231&gt;0,0,IF(Z231=$Z$89,AG231,0))</f>
        <v>0</v>
      </c>
      <c r="BQ231" s="174">
        <f>IF(AA231&gt;0,0,IF(Z231=$Z$90,AG231,0))</f>
        <v>0</v>
      </c>
      <c r="BR231" s="174">
        <f>IF(Z231=$Z$82,AA231*AG231,0)</f>
        <v>0</v>
      </c>
      <c r="BS231" s="174">
        <f>IF(Z231=$Z$83,AA231*AG231,0)</f>
        <v>0</v>
      </c>
      <c r="BT231" s="174">
        <f>IF(AA231&lt;1,0,IF(Z231=$Z$84,AA231*AG231,IF(Z231=$Z$93,"ERRO",IF(Z231=$Z$100,"ERRO",0))))</f>
        <v>0</v>
      </c>
      <c r="BU231" s="174">
        <f>IF(AA231&lt;1,0,IF(Z231=$Z$85,AA231*AG231,IF(Z231=$Z$93,"ERRO",IF(Z231=$Z$100,"ERRO",0))))</f>
        <v>0</v>
      </c>
      <c r="BV231" s="174">
        <f>IF(Z231=$Z$92,AA231*AG231,0)</f>
        <v>0</v>
      </c>
      <c r="BW231" s="174">
        <f>IF(Z231=$Z$91,AA231*AG231,0)</f>
        <v>0</v>
      </c>
      <c r="BX231" s="174">
        <f>IF(Z231=$Z$86,AA231*AG231,0)</f>
        <v>0</v>
      </c>
      <c r="BY231" s="174">
        <f>IF(Z231=$Z$87,AA231*AG231,0)</f>
        <v>0</v>
      </c>
      <c r="BZ231" s="174">
        <f>IF(Z231=$Z$88,AA231*AG231,0)</f>
        <v>0</v>
      </c>
      <c r="CA231" s="174">
        <f>IF(Z231=$Z$89,AA231*AG231,0)</f>
        <v>0</v>
      </c>
      <c r="CB231" s="174">
        <f>IF(Z231=$Z$90,AA231*AG231,0)</f>
        <v>0</v>
      </c>
      <c r="CC231" s="175">
        <f>IFERROR(IF(L231=$L$49,AG231*AH231*(1+AI231)*(1-AK231)*(1-AL231),0),0)</f>
        <v>126.85293</v>
      </c>
      <c r="CD231" s="203"/>
      <c r="CE231" s="203"/>
      <c r="CF231" s="204"/>
      <c r="CG231" s="203"/>
      <c r="CH231" s="204"/>
      <c r="CI231" s="203"/>
      <c r="CJ231" s="205"/>
      <c r="CK231" s="205"/>
      <c r="CL231" s="205"/>
      <c r="CM231" s="205"/>
      <c r="CN231" s="206"/>
      <c r="CO231" s="204"/>
      <c r="CP231" s="207"/>
      <c r="CQ231" s="208"/>
      <c r="CR231" s="209"/>
      <c r="CS231" s="49"/>
      <c r="CT231" s="49"/>
      <c r="CU231" s="49"/>
      <c r="CV231" s="49"/>
      <c r="CW231" s="49"/>
      <c r="CX231" s="49"/>
      <c r="CY231" s="49"/>
      <c r="CZ231" s="49"/>
      <c r="DA231" s="49"/>
      <c r="DB231" s="49"/>
      <c r="DC231" s="49"/>
      <c r="DD231" s="49"/>
      <c r="DE231" s="49"/>
      <c r="DF231" s="49"/>
      <c r="DG231" s="49"/>
      <c r="DH231" s="49"/>
      <c r="DI231" s="49"/>
      <c r="DJ231" s="49"/>
      <c r="DK231" s="49"/>
      <c r="DL231" s="49"/>
      <c r="DM231" s="49"/>
      <c r="DN231" s="49"/>
      <c r="DO231" s="49"/>
      <c r="DP231" s="49"/>
      <c r="DQ231" s="49"/>
      <c r="DR231" s="49"/>
      <c r="DS231" s="49"/>
      <c r="DT231" s="49"/>
      <c r="DU231" s="49"/>
      <c r="DV231" s="49"/>
      <c r="DW231" s="49"/>
      <c r="DX231" s="49"/>
      <c r="DY231" s="49"/>
      <c r="DZ231" s="49"/>
      <c r="EA231" s="49"/>
      <c r="EB231" s="49"/>
      <c r="EC231" s="49"/>
      <c r="ED231" s="49"/>
      <c r="EE231" s="49"/>
      <c r="EF231" s="49"/>
      <c r="EG231" s="49"/>
      <c r="EH231" s="49"/>
      <c r="EI231" s="49"/>
      <c r="EJ231" s="49"/>
      <c r="EK231" s="49"/>
      <c r="EL231" s="49"/>
      <c r="EM231" s="49"/>
      <c r="EN231" s="49"/>
      <c r="EO231" s="49"/>
      <c r="EP231" s="49"/>
      <c r="EQ231" s="49"/>
      <c r="ER231" s="49"/>
      <c r="ES231" s="49"/>
      <c r="ET231" s="49"/>
      <c r="EU231" s="49"/>
      <c r="EV231" s="49"/>
      <c r="EW231" s="49"/>
      <c r="EX231" s="49"/>
      <c r="EY231" s="49"/>
      <c r="EZ231" s="49"/>
      <c r="FA231" s="49"/>
    </row>
    <row r="232" spans="1:157" s="210" customFormat="1" ht="38.25" x14ac:dyDescent="0.25">
      <c r="A232" s="113"/>
      <c r="B232" s="113"/>
      <c r="C232" s="113"/>
      <c r="D232" s="148"/>
      <c r="E232" s="115"/>
      <c r="F232" s="116"/>
      <c r="G232" s="149"/>
      <c r="H232" s="150" t="s">
        <v>7</v>
      </c>
      <c r="I232" s="151" t="str">
        <f t="shared" si="26"/>
        <v>Mercadorias</v>
      </c>
      <c r="J232" s="150" t="s">
        <v>15</v>
      </c>
      <c r="K232" s="152" t="s">
        <v>7</v>
      </c>
      <c r="L232" s="153" t="s">
        <v>21</v>
      </c>
      <c r="M232" s="154" t="s">
        <v>290</v>
      </c>
      <c r="N232" s="155" t="s">
        <v>370</v>
      </c>
      <c r="O232" s="155" t="s">
        <v>343</v>
      </c>
      <c r="P232" s="155"/>
      <c r="Q232" s="155"/>
      <c r="R232" s="155"/>
      <c r="S232" s="156"/>
      <c r="T232" s="156"/>
      <c r="U232" s="150"/>
      <c r="V232" s="150"/>
      <c r="W232" s="150"/>
      <c r="X232" s="157" t="s">
        <v>349</v>
      </c>
      <c r="Y232" s="150"/>
      <c r="Z232" s="150"/>
      <c r="AA232" s="158"/>
      <c r="AB232" s="155"/>
      <c r="AC232" s="150"/>
      <c r="AD232" s="155"/>
      <c r="AE232" s="155"/>
      <c r="AF232" s="150"/>
      <c r="AG232" s="159">
        <v>25</v>
      </c>
      <c r="AH232" s="159">
        <v>84.611400000000003</v>
      </c>
      <c r="AI232" s="202">
        <v>0</v>
      </c>
      <c r="AJ232" s="161">
        <v>7.0000000000000007E-2</v>
      </c>
      <c r="AK232" s="162">
        <v>0.05</v>
      </c>
      <c r="AL232" s="163"/>
      <c r="AM232" s="164">
        <f>(((IF(L232=$L$101,1,IF(L232=$L$47,1,0))*(AH232*(1-AK232)))*AG232)*(1-AL232))</f>
        <v>0</v>
      </c>
      <c r="AN232" s="165">
        <f>IF(K232=$K$50,AM232,IF(K232=$K$53,AM232,IF(K232=$K$54,AM232,IF(K232=$K$55,AM232,IF(K232=$K$56,AM232,IF(K232=$K$57,AM232,IF(K232=$K$58,AM232,IF(K232=$K$65,AM232,IF(K232=$K$66,AM232,IF(K232=$K$67,AM232,IF(K232=$K$68,AM232,IF(K232=$K$69,AM232,IF(K232=$K$51,AM232,(AM232*(1+AI232)))))))))))))))</f>
        <v>0</v>
      </c>
      <c r="AO232" s="166">
        <v>1.4</v>
      </c>
      <c r="AP232" s="160">
        <f t="shared" si="27"/>
        <v>0</v>
      </c>
      <c r="AQ232" s="167">
        <f t="shared" si="45"/>
        <v>0</v>
      </c>
      <c r="AR232" s="160">
        <f t="shared" si="28"/>
        <v>0</v>
      </c>
      <c r="AS232" s="168">
        <f t="shared" si="29"/>
        <v>0</v>
      </c>
      <c r="AT232" s="169" t="str">
        <f>K232</f>
        <v>MI</v>
      </c>
      <c r="AU232" s="169" t="str">
        <f>I232</f>
        <v>Mercadorias</v>
      </c>
      <c r="AV232" s="170"/>
      <c r="AW232" s="171">
        <f>IF(K232=$K$50,0,IF(K232=$K$53,0,IF(K232=$K$54,0,IF(K232=$K$55,0,IF(K232=$K$56,0,IF(K232=$K$57,0,IF(K232=$K$58,0,IF(K232=$K$65,0,IF(K232=$K$66,0,IF(K232=$K$67,0,IF(K232=$K$68,0,IF(K232=$K$69,0,IF(K232=$K$51,0,1))))))))))))*AM232*AI232)</f>
        <v>0</v>
      </c>
      <c r="AX232" s="172">
        <f>IF(K232=$K$50,0,IF(K232=$K$53,0,IF(K232=$K$54,0,IF(K232=$K$55,0,IF(K232=$K$56,0,IF(K232=$K$57,0,IF(K232=$K$58,0,IF(K232=$K$65,0,IF(K232=$K$66,0,IF(K232=$K$67,0,IF(K232=$K$68,0,IF(K232=$K$69,0,IF(K232=$K$51,0,1))))))))))))*AM232*AJ232*$AX$94)</f>
        <v>0</v>
      </c>
      <c r="AY232" s="172">
        <f>IF(K232=$K$53,0,IF(K232=$K$54,0,IF(K232=$K$55,0,IF(K232=$K$56,0,IF(K232=$K$58,0,IF(K232=$K$50,0,IF(K232=$K$65,0,IF(K232=$K$57,0,IF(K232=$K$51,0,AM232*$AY$102)))))))))</f>
        <v>0</v>
      </c>
      <c r="AZ232" s="172">
        <f>IF(K232=$K$53,0,IF(K232=$K$54,0,IF(K232=$K$55,0,IF(K232=$K$56,0,IF(K232=$K$58,0,IF(K232=$K$50,0,IF(K232=$K$65,0,IF(K232=$K$57,0,IF(K232=$K$51,0,AM232*$AZ$102)))))))))</f>
        <v>0</v>
      </c>
      <c r="BA232" s="172">
        <f t="shared" si="30"/>
        <v>0</v>
      </c>
      <c r="BB232" s="173">
        <f>IF($BA$97=1,AQ232*$BB$102,IF(K232=$K$50,0,IF(K232=$K$53,0,IF(K232=$K$54,0,IF(K232=$K$55,0,IF(K232=$K$56,0,IF(K232=$K$57,0,IF(K232=$K$58,0,IF(K232=$K$65,0,IF(K232=$K$66,0,IF(K232=$K$67,0,IF(K232=$K$68,0,IF(K232=$K$69,0,IF(K232=$K$51,0,1)))))))))))*AQ232*$BB$102)))</f>
        <v>0</v>
      </c>
      <c r="BC232" s="172">
        <f t="shared" si="31"/>
        <v>0</v>
      </c>
      <c r="BD232" s="172">
        <f t="shared" si="32"/>
        <v>0</v>
      </c>
      <c r="BE232" s="172">
        <f>IF($BE$95=I232,$BE$97,IF(I232=$BE$96,$BE$97,1))*($BE$102*AQ232)*$AZ$97</f>
        <v>0</v>
      </c>
      <c r="BF232" s="172">
        <f>IF('[1]Cockpit Retorno'!$C$65=Sim,Mestre!BA232,SUM(BB232:BE232)+(IF(K232=$K$56,AQ232*MOE_IRRF_LR,0)))</f>
        <v>0</v>
      </c>
      <c r="BG232" s="174">
        <f>IF(AA232&gt;0,0,IF(Z232=$Z$82,AG232*1,(IF(Z232=$Z$81,AG232*1,0))))</f>
        <v>0</v>
      </c>
      <c r="BH232" s="174">
        <f>IF(AA232&gt;0,0,IF(Z232=$Z$83,AG232*1,IF(Z232=$Z$81,AG232*1,0)))</f>
        <v>0</v>
      </c>
      <c r="BI232" s="174">
        <f>IF(AA232&gt;0,0,IF(Z232=$Z$84,AG232*1,IF(Z232=$Z$93,AG232*2,IF(Z232=$Z$100,AG232,IF(Z232=$Z$81,AG232*2,IF(Z232=$Z$80,AG232*1,IF(Z232=$Z$79,AG232*3,IF(Z232=$Z$78,AG232*2,0))))))))</f>
        <v>0</v>
      </c>
      <c r="BJ232" s="174">
        <f>IF(AA232&gt;0,0,IF(Z232=$Z$85,AG232,IF(Z232=$Z$93,AG232,IF(Z232=$Z$100,AG232,IF(Z232=$Z$81,AG232*1,IF(Z232=$Z$80,AG232*2,IF(Z232=$Z$79,AG232*2,IF(Z232=$Z$78,AG232*2,0))))))))</f>
        <v>0</v>
      </c>
      <c r="BK232" s="174">
        <f>IF(AA232&gt;0,0,IF(Z232=$Z$92,AG232,0))</f>
        <v>0</v>
      </c>
      <c r="BL232" s="174">
        <f>IF(AA232&gt;0,0,IF(Z232=$Z$91,AG232,0))</f>
        <v>0</v>
      </c>
      <c r="BM232" s="174">
        <f>IF(AA232&gt;0,0,IF(Z232=$Z$86,AG232,0))</f>
        <v>0</v>
      </c>
      <c r="BN232" s="174">
        <f>IF(AA232&gt;0,0,IF(Z232=$Z$87,AG232,0))</f>
        <v>0</v>
      </c>
      <c r="BO232" s="174">
        <f>IF(AA232&gt;0,0,IF(Z232=$Z$88,AG232,0))</f>
        <v>0</v>
      </c>
      <c r="BP232" s="174">
        <f>IF(AA232&gt;0,0,IF(Z232=$Z$89,AG232,0))</f>
        <v>0</v>
      </c>
      <c r="BQ232" s="174">
        <f>IF(AA232&gt;0,0,IF(Z232=$Z$90,AG232,0))</f>
        <v>0</v>
      </c>
      <c r="BR232" s="174">
        <f>IF(Z232=$Z$82,AA232*AG232,0)</f>
        <v>0</v>
      </c>
      <c r="BS232" s="174">
        <f>IF(Z232=$Z$83,AA232*AG232,0)</f>
        <v>0</v>
      </c>
      <c r="BT232" s="174">
        <f>IF(AA232&lt;1,0,IF(Z232=$Z$84,AA232*AG232,IF(Z232=$Z$93,"ERRO",IF(Z232=$Z$100,"ERRO",0))))</f>
        <v>0</v>
      </c>
      <c r="BU232" s="174">
        <f>IF(AA232&lt;1,0,IF(Z232=$Z$85,AA232*AG232,IF(Z232=$Z$93,"ERRO",IF(Z232=$Z$100,"ERRO",0))))</f>
        <v>0</v>
      </c>
      <c r="BV232" s="174">
        <f>IF(Z232=$Z$92,AA232*AG232,0)</f>
        <v>0</v>
      </c>
      <c r="BW232" s="174">
        <f>IF(Z232=$Z$91,AA232*AG232,0)</f>
        <v>0</v>
      </c>
      <c r="BX232" s="174">
        <f>IF(Z232=$Z$86,AA232*AG232,0)</f>
        <v>0</v>
      </c>
      <c r="BY232" s="174">
        <f>IF(Z232=$Z$87,AA232*AG232,0)</f>
        <v>0</v>
      </c>
      <c r="BZ232" s="174">
        <f>IF(Z232=$Z$88,AA232*AG232,0)</f>
        <v>0</v>
      </c>
      <c r="CA232" s="174">
        <f>IF(Z232=$Z$89,AA232*AG232,0)</f>
        <v>0</v>
      </c>
      <c r="CB232" s="174">
        <f>IF(Z232=$Z$90,AA232*AG232,0)</f>
        <v>0</v>
      </c>
      <c r="CC232" s="175">
        <f>IFERROR(IF(L232=$L$49,AG232*AH232*(1+AI232)*(1-AK232)*(1-AL232),0),0)</f>
        <v>2009.5207499999997</v>
      </c>
      <c r="CD232" s="203"/>
      <c r="CE232" s="203"/>
      <c r="CF232" s="204"/>
      <c r="CG232" s="203"/>
      <c r="CH232" s="204"/>
      <c r="CI232" s="203"/>
      <c r="CJ232" s="205"/>
      <c r="CK232" s="205"/>
      <c r="CL232" s="205"/>
      <c r="CM232" s="205"/>
      <c r="CN232" s="206"/>
      <c r="CO232" s="204"/>
      <c r="CP232" s="207"/>
      <c r="CQ232" s="208"/>
      <c r="CR232" s="209"/>
      <c r="CS232" s="49"/>
      <c r="CT232" s="49"/>
      <c r="CU232" s="49"/>
      <c r="CV232" s="49"/>
      <c r="CW232" s="49"/>
      <c r="CX232" s="49"/>
      <c r="CY232" s="49"/>
      <c r="CZ232" s="49"/>
      <c r="DA232" s="49"/>
      <c r="DB232" s="49"/>
      <c r="DC232" s="49"/>
      <c r="DD232" s="49"/>
      <c r="DE232" s="49"/>
      <c r="DF232" s="49"/>
      <c r="DG232" s="49"/>
      <c r="DH232" s="49"/>
      <c r="DI232" s="49"/>
      <c r="DJ232" s="49"/>
      <c r="DK232" s="49"/>
      <c r="DL232" s="49"/>
      <c r="DM232" s="49"/>
      <c r="DN232" s="49"/>
      <c r="DO232" s="49"/>
      <c r="DP232" s="49"/>
      <c r="DQ232" s="49"/>
      <c r="DR232" s="49"/>
      <c r="DS232" s="49"/>
      <c r="DT232" s="49"/>
      <c r="DU232" s="49"/>
      <c r="DV232" s="49"/>
      <c r="DW232" s="49"/>
      <c r="DX232" s="49"/>
      <c r="DY232" s="49"/>
      <c r="DZ232" s="49"/>
      <c r="EA232" s="49"/>
      <c r="EB232" s="49"/>
      <c r="EC232" s="49"/>
      <c r="ED232" s="49"/>
      <c r="EE232" s="49"/>
      <c r="EF232" s="49"/>
      <c r="EG232" s="49"/>
      <c r="EH232" s="49"/>
      <c r="EI232" s="49"/>
      <c r="EJ232" s="49"/>
      <c r="EK232" s="49"/>
      <c r="EL232" s="49"/>
      <c r="EM232" s="49"/>
      <c r="EN232" s="49"/>
      <c r="EO232" s="49"/>
      <c r="EP232" s="49"/>
      <c r="EQ232" s="49"/>
      <c r="ER232" s="49"/>
      <c r="ES232" s="49"/>
      <c r="ET232" s="49"/>
      <c r="EU232" s="49"/>
      <c r="EV232" s="49"/>
      <c r="EW232" s="49"/>
      <c r="EX232" s="49"/>
      <c r="EY232" s="49"/>
      <c r="EZ232" s="49"/>
      <c r="FA232" s="49"/>
    </row>
    <row r="233" spans="1:157" s="210" customFormat="1" ht="38.25" x14ac:dyDescent="0.25">
      <c r="A233" s="113"/>
      <c r="B233" s="113"/>
      <c r="C233" s="113"/>
      <c r="D233" s="148"/>
      <c r="E233" s="115"/>
      <c r="F233" s="116"/>
      <c r="G233" s="149"/>
      <c r="H233" s="150" t="s">
        <v>7</v>
      </c>
      <c r="I233" s="151" t="str">
        <f t="shared" ref="I233:I296" si="46">VLOOKUP(K233,$N$74:$O$95,2)</f>
        <v>Mercadorias</v>
      </c>
      <c r="J233" s="150" t="s">
        <v>15</v>
      </c>
      <c r="K233" s="152" t="s">
        <v>7</v>
      </c>
      <c r="L233" s="153" t="s">
        <v>21</v>
      </c>
      <c r="M233" s="154" t="s">
        <v>290</v>
      </c>
      <c r="N233" s="155" t="s">
        <v>370</v>
      </c>
      <c r="O233" s="155" t="s">
        <v>343</v>
      </c>
      <c r="P233" s="155"/>
      <c r="Q233" s="155"/>
      <c r="R233" s="155"/>
      <c r="S233" s="156"/>
      <c r="T233" s="156"/>
      <c r="U233" s="150"/>
      <c r="V233" s="150"/>
      <c r="W233" s="150"/>
      <c r="X233" s="157" t="s">
        <v>382</v>
      </c>
      <c r="Y233" s="150"/>
      <c r="Z233" s="150"/>
      <c r="AA233" s="158"/>
      <c r="AB233" s="155"/>
      <c r="AC233" s="150"/>
      <c r="AD233" s="155"/>
      <c r="AE233" s="155"/>
      <c r="AF233" s="150"/>
      <c r="AG233" s="159">
        <v>30</v>
      </c>
      <c r="AH233" s="159">
        <v>96.701400000000007</v>
      </c>
      <c r="AI233" s="202">
        <v>0</v>
      </c>
      <c r="AJ233" s="161">
        <v>7.0000000000000007E-2</v>
      </c>
      <c r="AK233" s="162">
        <v>0.05</v>
      </c>
      <c r="AL233" s="163"/>
      <c r="AM233" s="164">
        <f>(((IF(L233=$L$101,1,IF(L233=$L$47,1,0))*(AH233*(1-AK233)))*AG233)*(1-AL233))</f>
        <v>0</v>
      </c>
      <c r="AN233" s="165">
        <f>IF(K233=$K$50,AM233,IF(K233=$K$53,AM233,IF(K233=$K$54,AM233,IF(K233=$K$55,AM233,IF(K233=$K$56,AM233,IF(K233=$K$57,AM233,IF(K233=$K$58,AM233,IF(K233=$K$65,AM233,IF(K233=$K$66,AM233,IF(K233=$K$67,AM233,IF(K233=$K$68,AM233,IF(K233=$K$69,AM233,IF(K233=$K$51,AM233,(AM233*(1+AI233)))))))))))))))</f>
        <v>0</v>
      </c>
      <c r="AO233" s="166">
        <v>1.4</v>
      </c>
      <c r="AP233" s="160">
        <f t="shared" ref="AP233:AP296" si="47">AM233*AO233</f>
        <v>0</v>
      </c>
      <c r="AQ233" s="167">
        <f t="shared" si="45"/>
        <v>0</v>
      </c>
      <c r="AR233" s="160">
        <f t="shared" ref="AR233:AR296" si="48">AO233*AN233</f>
        <v>0</v>
      </c>
      <c r="AS233" s="168">
        <f t="shared" ref="AS233:AS296" si="49">IFERROR(IF($AX$94=0,(CQ233/AN233),CQ233/AM233),0)</f>
        <v>0</v>
      </c>
      <c r="AT233" s="169" t="str">
        <f>K233</f>
        <v>MI</v>
      </c>
      <c r="AU233" s="169" t="str">
        <f>I233</f>
        <v>Mercadorias</v>
      </c>
      <c r="AV233" s="170"/>
      <c r="AW233" s="171">
        <f>IF(K233=$K$50,0,IF(K233=$K$53,0,IF(K233=$K$54,0,IF(K233=$K$55,0,IF(K233=$K$56,0,IF(K233=$K$57,0,IF(K233=$K$58,0,IF(K233=$K$65,0,IF(K233=$K$66,0,IF(K233=$K$67,0,IF(K233=$K$68,0,IF(K233=$K$69,0,IF(K233=$K$51,0,1))))))))))))*AM233*AI233)</f>
        <v>0</v>
      </c>
      <c r="AX233" s="172">
        <f>IF(K233=$K$50,0,IF(K233=$K$53,0,IF(K233=$K$54,0,IF(K233=$K$55,0,IF(K233=$K$56,0,IF(K233=$K$57,0,IF(K233=$K$58,0,IF(K233=$K$65,0,IF(K233=$K$66,0,IF(K233=$K$67,0,IF(K233=$K$68,0,IF(K233=$K$69,0,IF(K233=$K$51,0,1))))))))))))*AM233*AJ233*$AX$94)</f>
        <v>0</v>
      </c>
      <c r="AY233" s="172">
        <f>IF(K233=$K$53,0,IF(K233=$K$54,0,IF(K233=$K$55,0,IF(K233=$K$56,0,IF(K233=$K$58,0,IF(K233=$K$50,0,IF(K233=$K$65,0,IF(K233=$K$57,0,IF(K233=$K$51,0,AM233*$AY$102)))))))))</f>
        <v>0</v>
      </c>
      <c r="AZ233" s="172">
        <f>IF(K233=$K$53,0,IF(K233=$K$54,0,IF(K233=$K$55,0,IF(K233=$K$56,0,IF(K233=$K$58,0,IF(K233=$K$50,0,IF(K233=$K$65,0,IF(K233=$K$57,0,IF(K233=$K$51,0,AM233*$AZ$102)))))))))</f>
        <v>0</v>
      </c>
      <c r="BA233" s="172">
        <f t="shared" ref="BA233:BA296" si="50">AZ233+AY233+AX233</f>
        <v>0</v>
      </c>
      <c r="BB233" s="173">
        <f>IF($BA$97=1,AQ233*$BB$102,IF(K233=$K$50,0,IF(K233=$K$53,0,IF(K233=$K$54,0,IF(K233=$K$55,0,IF(K233=$K$56,0,IF(K233=$K$57,0,IF(K233=$K$58,0,IF(K233=$K$65,0,IF(K233=$K$66,0,IF(K233=$K$67,0,IF(K233=$K$68,0,IF(K233=$K$69,0,IF(K233=$K$51,0,1)))))))))))*AQ233*$BB$102)))</f>
        <v>0</v>
      </c>
      <c r="BC233" s="172">
        <f t="shared" ref="BC233:BC296" si="51">AQ233*$BC$102</f>
        <v>0</v>
      </c>
      <c r="BD233" s="172">
        <f t="shared" ref="BD233:BD296" si="52">$BD$102*AQ233</f>
        <v>0</v>
      </c>
      <c r="BE233" s="172">
        <f>IF($BE$95=I233,$BE$97,IF(I233=$BE$96,$BE$97,1))*($BE$102*AQ233)*$AZ$97</f>
        <v>0</v>
      </c>
      <c r="BF233" s="172">
        <f>IF('[1]Cockpit Retorno'!$C$65=Sim,Mestre!BA233,SUM(BB233:BE233)+(IF(K233=$K$56,AQ233*MOE_IRRF_LR,0)))</f>
        <v>0</v>
      </c>
      <c r="BG233" s="174">
        <f>IF(AA233&gt;0,0,IF(Z233=$Z$82,AG233*1,(IF(Z233=$Z$81,AG233*1,0))))</f>
        <v>0</v>
      </c>
      <c r="BH233" s="174">
        <f>IF(AA233&gt;0,0,IF(Z233=$Z$83,AG233*1,IF(Z233=$Z$81,AG233*1,0)))</f>
        <v>0</v>
      </c>
      <c r="BI233" s="174">
        <f>IF(AA233&gt;0,0,IF(Z233=$Z$84,AG233*1,IF(Z233=$Z$93,AG233*2,IF(Z233=$Z$100,AG233,IF(Z233=$Z$81,AG233*2,IF(Z233=$Z$80,AG233*1,IF(Z233=$Z$79,AG233*3,IF(Z233=$Z$78,AG233*2,0))))))))</f>
        <v>0</v>
      </c>
      <c r="BJ233" s="174">
        <f>IF(AA233&gt;0,0,IF(Z233=$Z$85,AG233,IF(Z233=$Z$93,AG233,IF(Z233=$Z$100,AG233,IF(Z233=$Z$81,AG233*1,IF(Z233=$Z$80,AG233*2,IF(Z233=$Z$79,AG233*2,IF(Z233=$Z$78,AG233*2,0))))))))</f>
        <v>0</v>
      </c>
      <c r="BK233" s="174">
        <f>IF(AA233&gt;0,0,IF(Z233=$Z$92,AG233,0))</f>
        <v>0</v>
      </c>
      <c r="BL233" s="174">
        <f>IF(AA233&gt;0,0,IF(Z233=$Z$91,AG233,0))</f>
        <v>0</v>
      </c>
      <c r="BM233" s="174">
        <f>IF(AA233&gt;0,0,IF(Z233=$Z$86,AG233,0))</f>
        <v>0</v>
      </c>
      <c r="BN233" s="174">
        <f>IF(AA233&gt;0,0,IF(Z233=$Z$87,AG233,0))</f>
        <v>0</v>
      </c>
      <c r="BO233" s="174">
        <f>IF(AA233&gt;0,0,IF(Z233=$Z$88,AG233,0))</f>
        <v>0</v>
      </c>
      <c r="BP233" s="174">
        <f>IF(AA233&gt;0,0,IF(Z233=$Z$89,AG233,0))</f>
        <v>0</v>
      </c>
      <c r="BQ233" s="174">
        <f>IF(AA233&gt;0,0,IF(Z233=$Z$90,AG233,0))</f>
        <v>0</v>
      </c>
      <c r="BR233" s="174">
        <f>IF(Z233=$Z$82,AA233*AG233,0)</f>
        <v>0</v>
      </c>
      <c r="BS233" s="174">
        <f>IF(Z233=$Z$83,AA233*AG233,0)</f>
        <v>0</v>
      </c>
      <c r="BT233" s="174">
        <f>IF(AA233&lt;1,0,IF(Z233=$Z$84,AA233*AG233,IF(Z233=$Z$93,"ERRO",IF(Z233=$Z$100,"ERRO",0))))</f>
        <v>0</v>
      </c>
      <c r="BU233" s="174">
        <f>IF(AA233&lt;1,0,IF(Z233=$Z$85,AA233*AG233,IF(Z233=$Z$93,"ERRO",IF(Z233=$Z$100,"ERRO",0))))</f>
        <v>0</v>
      </c>
      <c r="BV233" s="174">
        <f>IF(Z233=$Z$92,AA233*AG233,0)</f>
        <v>0</v>
      </c>
      <c r="BW233" s="174">
        <f>IF(Z233=$Z$91,AA233*AG233,0)</f>
        <v>0</v>
      </c>
      <c r="BX233" s="174">
        <f>IF(Z233=$Z$86,AA233*AG233,0)</f>
        <v>0</v>
      </c>
      <c r="BY233" s="174">
        <f>IF(Z233=$Z$87,AA233*AG233,0)</f>
        <v>0</v>
      </c>
      <c r="BZ233" s="174">
        <f>IF(Z233=$Z$88,AA233*AG233,0)</f>
        <v>0</v>
      </c>
      <c r="CA233" s="174">
        <f>IF(Z233=$Z$89,AA233*AG233,0)</f>
        <v>0</v>
      </c>
      <c r="CB233" s="174">
        <f>IF(Z233=$Z$90,AA233*AG233,0)</f>
        <v>0</v>
      </c>
      <c r="CC233" s="175">
        <f>IFERROR(IF(L233=$L$49,AG233*AH233*(1+AI233)*(1-AK233)*(1-AL233),0),0)</f>
        <v>2755.9899</v>
      </c>
      <c r="CD233" s="203"/>
      <c r="CE233" s="203"/>
      <c r="CF233" s="204"/>
      <c r="CG233" s="203"/>
      <c r="CH233" s="204"/>
      <c r="CI233" s="203"/>
      <c r="CJ233" s="205"/>
      <c r="CK233" s="205"/>
      <c r="CL233" s="205"/>
      <c r="CM233" s="205"/>
      <c r="CN233" s="206"/>
      <c r="CO233" s="204"/>
      <c r="CP233" s="207"/>
      <c r="CQ233" s="208"/>
      <c r="CR233" s="209"/>
      <c r="CS233" s="49"/>
      <c r="CT233" s="49"/>
      <c r="CU233" s="49"/>
      <c r="CV233" s="49"/>
      <c r="CW233" s="49"/>
      <c r="CX233" s="49"/>
      <c r="CY233" s="49"/>
      <c r="CZ233" s="49"/>
      <c r="DA233" s="49"/>
      <c r="DB233" s="49"/>
      <c r="DC233" s="49"/>
      <c r="DD233" s="49"/>
      <c r="DE233" s="49"/>
      <c r="DF233" s="49"/>
      <c r="DG233" s="49"/>
      <c r="DH233" s="49"/>
      <c r="DI233" s="49"/>
      <c r="DJ233" s="49"/>
      <c r="DK233" s="49"/>
      <c r="DL233" s="49"/>
      <c r="DM233" s="49"/>
      <c r="DN233" s="49"/>
      <c r="DO233" s="49"/>
      <c r="DP233" s="49"/>
      <c r="DQ233" s="49"/>
      <c r="DR233" s="49"/>
      <c r="DS233" s="49"/>
      <c r="DT233" s="49"/>
      <c r="DU233" s="49"/>
      <c r="DV233" s="49"/>
      <c r="DW233" s="49"/>
      <c r="DX233" s="49"/>
      <c r="DY233" s="49"/>
      <c r="DZ233" s="49"/>
      <c r="EA233" s="49"/>
      <c r="EB233" s="49"/>
      <c r="EC233" s="49"/>
      <c r="ED233" s="49"/>
      <c r="EE233" s="49"/>
      <c r="EF233" s="49"/>
      <c r="EG233" s="49"/>
      <c r="EH233" s="49"/>
      <c r="EI233" s="49"/>
      <c r="EJ233" s="49"/>
      <c r="EK233" s="49"/>
      <c r="EL233" s="49"/>
      <c r="EM233" s="49"/>
      <c r="EN233" s="49"/>
      <c r="EO233" s="49"/>
      <c r="EP233" s="49"/>
      <c r="EQ233" s="49"/>
      <c r="ER233" s="49"/>
      <c r="ES233" s="49"/>
      <c r="ET233" s="49"/>
      <c r="EU233" s="49"/>
      <c r="EV233" s="49"/>
      <c r="EW233" s="49"/>
      <c r="EX233" s="49"/>
      <c r="EY233" s="49"/>
      <c r="EZ233" s="49"/>
      <c r="FA233" s="49"/>
    </row>
    <row r="234" spans="1:157" s="210" customFormat="1" ht="38.25" x14ac:dyDescent="0.25">
      <c r="A234" s="113"/>
      <c r="B234" s="113"/>
      <c r="C234" s="113"/>
      <c r="D234" s="148"/>
      <c r="E234" s="115"/>
      <c r="F234" s="116"/>
      <c r="G234" s="149"/>
      <c r="H234" s="150" t="s">
        <v>7</v>
      </c>
      <c r="I234" s="151" t="str">
        <f t="shared" si="46"/>
        <v>Mercadorias</v>
      </c>
      <c r="J234" s="150" t="s">
        <v>15</v>
      </c>
      <c r="K234" s="152" t="s">
        <v>7</v>
      </c>
      <c r="L234" s="153" t="s">
        <v>21</v>
      </c>
      <c r="M234" s="154" t="s">
        <v>290</v>
      </c>
      <c r="N234" s="155" t="s">
        <v>370</v>
      </c>
      <c r="O234" s="155" t="s">
        <v>343</v>
      </c>
      <c r="P234" s="155"/>
      <c r="Q234" s="155"/>
      <c r="R234" s="155"/>
      <c r="S234" s="156"/>
      <c r="T234" s="156"/>
      <c r="U234" s="150"/>
      <c r="V234" s="150"/>
      <c r="W234" s="150"/>
      <c r="X234" s="157" t="s">
        <v>383</v>
      </c>
      <c r="Y234" s="150"/>
      <c r="Z234" s="150"/>
      <c r="AA234" s="158"/>
      <c r="AB234" s="155"/>
      <c r="AC234" s="150"/>
      <c r="AD234" s="155"/>
      <c r="AE234" s="155"/>
      <c r="AF234" s="150"/>
      <c r="AG234" s="159">
        <v>40</v>
      </c>
      <c r="AH234" s="159">
        <v>24.217200000000002</v>
      </c>
      <c r="AI234" s="202">
        <v>0</v>
      </c>
      <c r="AJ234" s="161">
        <v>7.0000000000000007E-2</v>
      </c>
      <c r="AK234" s="162">
        <v>0.05</v>
      </c>
      <c r="AL234" s="163"/>
      <c r="AM234" s="164">
        <f>(((IF(L234=$L$101,1,IF(L234=$L$47,1,0))*(AH234*(1-AK234)))*AG234)*(1-AL234))</f>
        <v>0</v>
      </c>
      <c r="AN234" s="165">
        <f>IF(K234=$K$50,AM234,IF(K234=$K$53,AM234,IF(K234=$K$54,AM234,IF(K234=$K$55,AM234,IF(K234=$K$56,AM234,IF(K234=$K$57,AM234,IF(K234=$K$58,AM234,IF(K234=$K$65,AM234,IF(K234=$K$66,AM234,IF(K234=$K$67,AM234,IF(K234=$K$68,AM234,IF(K234=$K$69,AM234,IF(K234=$K$51,AM234,(AM234*(1+AI234)))))))))))))))</f>
        <v>0</v>
      </c>
      <c r="AO234" s="166">
        <v>1.4</v>
      </c>
      <c r="AP234" s="160">
        <f t="shared" si="47"/>
        <v>0</v>
      </c>
      <c r="AQ234" s="167">
        <f t="shared" si="45"/>
        <v>0</v>
      </c>
      <c r="AR234" s="160">
        <f t="shared" si="48"/>
        <v>0</v>
      </c>
      <c r="AS234" s="168">
        <f t="shared" si="49"/>
        <v>0</v>
      </c>
      <c r="AT234" s="169" t="str">
        <f>K234</f>
        <v>MI</v>
      </c>
      <c r="AU234" s="169" t="str">
        <f>I234</f>
        <v>Mercadorias</v>
      </c>
      <c r="AV234" s="170"/>
      <c r="AW234" s="171">
        <f>IF(K234=$K$50,0,IF(K234=$K$53,0,IF(K234=$K$54,0,IF(K234=$K$55,0,IF(K234=$K$56,0,IF(K234=$K$57,0,IF(K234=$K$58,0,IF(K234=$K$65,0,IF(K234=$K$66,0,IF(K234=$K$67,0,IF(K234=$K$68,0,IF(K234=$K$69,0,IF(K234=$K$51,0,1))))))))))))*AM234*AI234)</f>
        <v>0</v>
      </c>
      <c r="AX234" s="172">
        <f>IF(K234=$K$50,0,IF(K234=$K$53,0,IF(K234=$K$54,0,IF(K234=$K$55,0,IF(K234=$K$56,0,IF(K234=$K$57,0,IF(K234=$K$58,0,IF(K234=$K$65,0,IF(K234=$K$66,0,IF(K234=$K$67,0,IF(K234=$K$68,0,IF(K234=$K$69,0,IF(K234=$K$51,0,1))))))))))))*AM234*AJ234*$AX$94)</f>
        <v>0</v>
      </c>
      <c r="AY234" s="172">
        <f>IF(K234=$K$53,0,IF(K234=$K$54,0,IF(K234=$K$55,0,IF(K234=$K$56,0,IF(K234=$K$58,0,IF(K234=$K$50,0,IF(K234=$K$65,0,IF(K234=$K$57,0,IF(K234=$K$51,0,AM234*$AY$102)))))))))</f>
        <v>0</v>
      </c>
      <c r="AZ234" s="172">
        <f>IF(K234=$K$53,0,IF(K234=$K$54,0,IF(K234=$K$55,0,IF(K234=$K$56,0,IF(K234=$K$58,0,IF(K234=$K$50,0,IF(K234=$K$65,0,IF(K234=$K$57,0,IF(K234=$K$51,0,AM234*$AZ$102)))))))))</f>
        <v>0</v>
      </c>
      <c r="BA234" s="172">
        <f t="shared" si="50"/>
        <v>0</v>
      </c>
      <c r="BB234" s="173">
        <f>IF($BA$97=1,AQ234*$BB$102,IF(K234=$K$50,0,IF(K234=$K$53,0,IF(K234=$K$54,0,IF(K234=$K$55,0,IF(K234=$K$56,0,IF(K234=$K$57,0,IF(K234=$K$58,0,IF(K234=$K$65,0,IF(K234=$K$66,0,IF(K234=$K$67,0,IF(K234=$K$68,0,IF(K234=$K$69,0,IF(K234=$K$51,0,1)))))))))))*AQ234*$BB$102)))</f>
        <v>0</v>
      </c>
      <c r="BC234" s="172">
        <f t="shared" si="51"/>
        <v>0</v>
      </c>
      <c r="BD234" s="172">
        <f t="shared" si="52"/>
        <v>0</v>
      </c>
      <c r="BE234" s="172">
        <f>IF($BE$95=I234,$BE$97,IF(I234=$BE$96,$BE$97,1))*($BE$102*AQ234)*$AZ$97</f>
        <v>0</v>
      </c>
      <c r="BF234" s="172">
        <f>IF('[1]Cockpit Retorno'!$C$65=Sim,Mestre!BA234,SUM(BB234:BE234)+(IF(K234=$K$56,AQ234*MOE_IRRF_LR,0)))</f>
        <v>0</v>
      </c>
      <c r="BG234" s="174">
        <f>IF(AA234&gt;0,0,IF(Z234=$Z$82,AG234*1,(IF(Z234=$Z$81,AG234*1,0))))</f>
        <v>0</v>
      </c>
      <c r="BH234" s="174">
        <f>IF(AA234&gt;0,0,IF(Z234=$Z$83,AG234*1,IF(Z234=$Z$81,AG234*1,0)))</f>
        <v>0</v>
      </c>
      <c r="BI234" s="174">
        <f>IF(AA234&gt;0,0,IF(Z234=$Z$84,AG234*1,IF(Z234=$Z$93,AG234*2,IF(Z234=$Z$100,AG234,IF(Z234=$Z$81,AG234*2,IF(Z234=$Z$80,AG234*1,IF(Z234=$Z$79,AG234*3,IF(Z234=$Z$78,AG234*2,0))))))))</f>
        <v>0</v>
      </c>
      <c r="BJ234" s="174">
        <f>IF(AA234&gt;0,0,IF(Z234=$Z$85,AG234,IF(Z234=$Z$93,AG234,IF(Z234=$Z$100,AG234,IF(Z234=$Z$81,AG234*1,IF(Z234=$Z$80,AG234*2,IF(Z234=$Z$79,AG234*2,IF(Z234=$Z$78,AG234*2,0))))))))</f>
        <v>0</v>
      </c>
      <c r="BK234" s="174">
        <f>IF(AA234&gt;0,0,IF(Z234=$Z$92,AG234,0))</f>
        <v>0</v>
      </c>
      <c r="BL234" s="174">
        <f>IF(AA234&gt;0,0,IF(Z234=$Z$91,AG234,0))</f>
        <v>0</v>
      </c>
      <c r="BM234" s="174">
        <f>IF(AA234&gt;0,0,IF(Z234=$Z$86,AG234,0))</f>
        <v>0</v>
      </c>
      <c r="BN234" s="174">
        <f>IF(AA234&gt;0,0,IF(Z234=$Z$87,AG234,0))</f>
        <v>0</v>
      </c>
      <c r="BO234" s="174">
        <f>IF(AA234&gt;0,0,IF(Z234=$Z$88,AG234,0))</f>
        <v>0</v>
      </c>
      <c r="BP234" s="174">
        <f>IF(AA234&gt;0,0,IF(Z234=$Z$89,AG234,0))</f>
        <v>0</v>
      </c>
      <c r="BQ234" s="174">
        <f>IF(AA234&gt;0,0,IF(Z234=$Z$90,AG234,0))</f>
        <v>0</v>
      </c>
      <c r="BR234" s="174">
        <f>IF(Z234=$Z$82,AA234*AG234,0)</f>
        <v>0</v>
      </c>
      <c r="BS234" s="174">
        <f>IF(Z234=$Z$83,AA234*AG234,0)</f>
        <v>0</v>
      </c>
      <c r="BT234" s="174">
        <f>IF(AA234&lt;1,0,IF(Z234=$Z$84,AA234*AG234,IF(Z234=$Z$93,"ERRO",IF(Z234=$Z$100,"ERRO",0))))</f>
        <v>0</v>
      </c>
      <c r="BU234" s="174">
        <f>IF(AA234&lt;1,0,IF(Z234=$Z$85,AA234*AG234,IF(Z234=$Z$93,"ERRO",IF(Z234=$Z$100,"ERRO",0))))</f>
        <v>0</v>
      </c>
      <c r="BV234" s="174">
        <f>IF(Z234=$Z$92,AA234*AG234,0)</f>
        <v>0</v>
      </c>
      <c r="BW234" s="174">
        <f>IF(Z234=$Z$91,AA234*AG234,0)</f>
        <v>0</v>
      </c>
      <c r="BX234" s="174">
        <f>IF(Z234=$Z$86,AA234*AG234,0)</f>
        <v>0</v>
      </c>
      <c r="BY234" s="174">
        <f>IF(Z234=$Z$87,AA234*AG234,0)</f>
        <v>0</v>
      </c>
      <c r="BZ234" s="174">
        <f>IF(Z234=$Z$88,AA234*AG234,0)</f>
        <v>0</v>
      </c>
      <c r="CA234" s="174">
        <f>IF(Z234=$Z$89,AA234*AG234,0)</f>
        <v>0</v>
      </c>
      <c r="CB234" s="174">
        <f>IF(Z234=$Z$90,AA234*AG234,0)</f>
        <v>0</v>
      </c>
      <c r="CC234" s="175">
        <f>IFERROR(IF(L234=$L$49,AG234*AH234*(1+AI234)*(1-AK234)*(1-AL234),0),0)</f>
        <v>920.25360000000001</v>
      </c>
      <c r="CD234" s="203"/>
      <c r="CE234" s="203"/>
      <c r="CF234" s="204"/>
      <c r="CG234" s="203"/>
      <c r="CH234" s="204"/>
      <c r="CI234" s="203"/>
      <c r="CJ234" s="205"/>
      <c r="CK234" s="205"/>
      <c r="CL234" s="205"/>
      <c r="CM234" s="205"/>
      <c r="CN234" s="206"/>
      <c r="CO234" s="204"/>
      <c r="CP234" s="207"/>
      <c r="CQ234" s="208"/>
      <c r="CR234" s="209"/>
      <c r="CS234" s="49"/>
      <c r="CT234" s="49"/>
      <c r="CU234" s="49"/>
      <c r="CV234" s="49"/>
      <c r="CW234" s="49"/>
      <c r="CX234" s="49"/>
      <c r="CY234" s="49"/>
      <c r="CZ234" s="49"/>
      <c r="DA234" s="49"/>
      <c r="DB234" s="49"/>
      <c r="DC234" s="49"/>
      <c r="DD234" s="49"/>
      <c r="DE234" s="49"/>
      <c r="DF234" s="49"/>
      <c r="DG234" s="49"/>
      <c r="DH234" s="49"/>
      <c r="DI234" s="49"/>
      <c r="DJ234" s="49"/>
      <c r="DK234" s="49"/>
      <c r="DL234" s="49"/>
      <c r="DM234" s="49"/>
      <c r="DN234" s="49"/>
      <c r="DO234" s="49"/>
      <c r="DP234" s="49"/>
      <c r="DQ234" s="49"/>
      <c r="DR234" s="49"/>
      <c r="DS234" s="49"/>
      <c r="DT234" s="49"/>
      <c r="DU234" s="49"/>
      <c r="DV234" s="49"/>
      <c r="DW234" s="49"/>
      <c r="DX234" s="49"/>
      <c r="DY234" s="49"/>
      <c r="DZ234" s="49"/>
      <c r="EA234" s="49"/>
      <c r="EB234" s="49"/>
      <c r="EC234" s="49"/>
      <c r="ED234" s="49"/>
      <c r="EE234" s="49"/>
      <c r="EF234" s="49"/>
      <c r="EG234" s="49"/>
      <c r="EH234" s="49"/>
      <c r="EI234" s="49"/>
      <c r="EJ234" s="49"/>
      <c r="EK234" s="49"/>
      <c r="EL234" s="49"/>
      <c r="EM234" s="49"/>
      <c r="EN234" s="49"/>
      <c r="EO234" s="49"/>
      <c r="EP234" s="49"/>
      <c r="EQ234" s="49"/>
      <c r="ER234" s="49"/>
      <c r="ES234" s="49"/>
      <c r="ET234" s="49"/>
      <c r="EU234" s="49"/>
      <c r="EV234" s="49"/>
      <c r="EW234" s="49"/>
      <c r="EX234" s="49"/>
      <c r="EY234" s="49"/>
      <c r="EZ234" s="49"/>
      <c r="FA234" s="49"/>
    </row>
    <row r="235" spans="1:157" s="210" customFormat="1" ht="38.25" x14ac:dyDescent="0.25">
      <c r="A235" s="113"/>
      <c r="B235" s="113"/>
      <c r="C235" s="113"/>
      <c r="D235" s="148"/>
      <c r="E235" s="115"/>
      <c r="F235" s="116"/>
      <c r="G235" s="149"/>
      <c r="H235" s="150" t="s">
        <v>7</v>
      </c>
      <c r="I235" s="151" t="str">
        <f t="shared" si="46"/>
        <v>Mercadorias</v>
      </c>
      <c r="J235" s="150" t="s">
        <v>15</v>
      </c>
      <c r="K235" s="152" t="s">
        <v>7</v>
      </c>
      <c r="L235" s="153" t="s">
        <v>21</v>
      </c>
      <c r="M235" s="154" t="s">
        <v>290</v>
      </c>
      <c r="N235" s="155" t="s">
        <v>370</v>
      </c>
      <c r="O235" s="155" t="s">
        <v>343</v>
      </c>
      <c r="P235" s="155"/>
      <c r="Q235" s="155"/>
      <c r="R235" s="155"/>
      <c r="S235" s="156"/>
      <c r="T235" s="156"/>
      <c r="U235" s="150"/>
      <c r="V235" s="150"/>
      <c r="W235" s="150"/>
      <c r="X235" s="157" t="s">
        <v>384</v>
      </c>
      <c r="Y235" s="150"/>
      <c r="Z235" s="150"/>
      <c r="AA235" s="158"/>
      <c r="AB235" s="155"/>
      <c r="AC235" s="150"/>
      <c r="AD235" s="155"/>
      <c r="AE235" s="155"/>
      <c r="AF235" s="150"/>
      <c r="AG235" s="159">
        <v>8</v>
      </c>
      <c r="AH235" s="159">
        <v>41.589600000000004</v>
      </c>
      <c r="AI235" s="202">
        <v>0</v>
      </c>
      <c r="AJ235" s="161">
        <v>7.0000000000000007E-2</v>
      </c>
      <c r="AK235" s="162">
        <v>0.05</v>
      </c>
      <c r="AL235" s="163"/>
      <c r="AM235" s="164">
        <f>(((IF(L235=$L$101,1,IF(L235=$L$47,1,0))*(AH235*(1-AK235)))*AG235)*(1-AL235))</f>
        <v>0</v>
      </c>
      <c r="AN235" s="165">
        <f>IF(K235=$K$50,AM235,IF(K235=$K$53,AM235,IF(K235=$K$54,AM235,IF(K235=$K$55,AM235,IF(K235=$K$56,AM235,IF(K235=$K$57,AM235,IF(K235=$K$58,AM235,IF(K235=$K$65,AM235,IF(K235=$K$66,AM235,IF(K235=$K$67,AM235,IF(K235=$K$68,AM235,IF(K235=$K$69,AM235,IF(K235=$K$51,AM235,(AM235*(1+AI235)))))))))))))))</f>
        <v>0</v>
      </c>
      <c r="AO235" s="166">
        <v>1.4</v>
      </c>
      <c r="AP235" s="160">
        <f t="shared" si="47"/>
        <v>0</v>
      </c>
      <c r="AQ235" s="167">
        <f t="shared" si="45"/>
        <v>0</v>
      </c>
      <c r="AR235" s="160">
        <f t="shared" si="48"/>
        <v>0</v>
      </c>
      <c r="AS235" s="168">
        <f t="shared" si="49"/>
        <v>0</v>
      </c>
      <c r="AT235" s="169" t="str">
        <f>K235</f>
        <v>MI</v>
      </c>
      <c r="AU235" s="169" t="str">
        <f>I235</f>
        <v>Mercadorias</v>
      </c>
      <c r="AV235" s="170"/>
      <c r="AW235" s="171">
        <f>IF(K235=$K$50,0,IF(K235=$K$53,0,IF(K235=$K$54,0,IF(K235=$K$55,0,IF(K235=$K$56,0,IF(K235=$K$57,0,IF(K235=$K$58,0,IF(K235=$K$65,0,IF(K235=$K$66,0,IF(K235=$K$67,0,IF(K235=$K$68,0,IF(K235=$K$69,0,IF(K235=$K$51,0,1))))))))))))*AM235*AI235)</f>
        <v>0</v>
      </c>
      <c r="AX235" s="172">
        <f>IF(K235=$K$50,0,IF(K235=$K$53,0,IF(K235=$K$54,0,IF(K235=$K$55,0,IF(K235=$K$56,0,IF(K235=$K$57,0,IF(K235=$K$58,0,IF(K235=$K$65,0,IF(K235=$K$66,0,IF(K235=$K$67,0,IF(K235=$K$68,0,IF(K235=$K$69,0,IF(K235=$K$51,0,1))))))))))))*AM235*AJ235*$AX$94)</f>
        <v>0</v>
      </c>
      <c r="AY235" s="172">
        <f>IF(K235=$K$53,0,IF(K235=$K$54,0,IF(K235=$K$55,0,IF(K235=$K$56,0,IF(K235=$K$58,0,IF(K235=$K$50,0,IF(K235=$K$65,0,IF(K235=$K$57,0,IF(K235=$K$51,0,AM235*$AY$102)))))))))</f>
        <v>0</v>
      </c>
      <c r="AZ235" s="172">
        <f>IF(K235=$K$53,0,IF(K235=$K$54,0,IF(K235=$K$55,0,IF(K235=$K$56,0,IF(K235=$K$58,0,IF(K235=$K$50,0,IF(K235=$K$65,0,IF(K235=$K$57,0,IF(K235=$K$51,0,AM235*$AZ$102)))))))))</f>
        <v>0</v>
      </c>
      <c r="BA235" s="172">
        <f t="shared" si="50"/>
        <v>0</v>
      </c>
      <c r="BB235" s="173">
        <f>IF($BA$97=1,AQ235*$BB$102,IF(K235=$K$50,0,IF(K235=$K$53,0,IF(K235=$K$54,0,IF(K235=$K$55,0,IF(K235=$K$56,0,IF(K235=$K$57,0,IF(K235=$K$58,0,IF(K235=$K$65,0,IF(K235=$K$66,0,IF(K235=$K$67,0,IF(K235=$K$68,0,IF(K235=$K$69,0,IF(K235=$K$51,0,1)))))))))))*AQ235*$BB$102)))</f>
        <v>0</v>
      </c>
      <c r="BC235" s="172">
        <f t="shared" si="51"/>
        <v>0</v>
      </c>
      <c r="BD235" s="172">
        <f t="shared" si="52"/>
        <v>0</v>
      </c>
      <c r="BE235" s="172">
        <f>IF($BE$95=I235,$BE$97,IF(I235=$BE$96,$BE$97,1))*($BE$102*AQ235)*$AZ$97</f>
        <v>0</v>
      </c>
      <c r="BF235" s="172">
        <f>IF('[1]Cockpit Retorno'!$C$65=Sim,Mestre!BA235,SUM(BB235:BE235)+(IF(K235=$K$56,AQ235*MOE_IRRF_LR,0)))</f>
        <v>0</v>
      </c>
      <c r="BG235" s="174">
        <f>IF(AA235&gt;0,0,IF(Z235=$Z$82,AG235*1,(IF(Z235=$Z$81,AG235*1,0))))</f>
        <v>0</v>
      </c>
      <c r="BH235" s="174">
        <f>IF(AA235&gt;0,0,IF(Z235=$Z$83,AG235*1,IF(Z235=$Z$81,AG235*1,0)))</f>
        <v>0</v>
      </c>
      <c r="BI235" s="174">
        <f>IF(AA235&gt;0,0,IF(Z235=$Z$84,AG235*1,IF(Z235=$Z$93,AG235*2,IF(Z235=$Z$100,AG235,IF(Z235=$Z$81,AG235*2,IF(Z235=$Z$80,AG235*1,IF(Z235=$Z$79,AG235*3,IF(Z235=$Z$78,AG235*2,0))))))))</f>
        <v>0</v>
      </c>
      <c r="BJ235" s="174">
        <f>IF(AA235&gt;0,0,IF(Z235=$Z$85,AG235,IF(Z235=$Z$93,AG235,IF(Z235=$Z$100,AG235,IF(Z235=$Z$81,AG235*1,IF(Z235=$Z$80,AG235*2,IF(Z235=$Z$79,AG235*2,IF(Z235=$Z$78,AG235*2,0))))))))</f>
        <v>0</v>
      </c>
      <c r="BK235" s="174">
        <f>IF(AA235&gt;0,0,IF(Z235=$Z$92,AG235,0))</f>
        <v>0</v>
      </c>
      <c r="BL235" s="174">
        <f>IF(AA235&gt;0,0,IF(Z235=$Z$91,AG235,0))</f>
        <v>0</v>
      </c>
      <c r="BM235" s="174">
        <f>IF(AA235&gt;0,0,IF(Z235=$Z$86,AG235,0))</f>
        <v>0</v>
      </c>
      <c r="BN235" s="174">
        <f>IF(AA235&gt;0,0,IF(Z235=$Z$87,AG235,0))</f>
        <v>0</v>
      </c>
      <c r="BO235" s="174">
        <f>IF(AA235&gt;0,0,IF(Z235=$Z$88,AG235,0))</f>
        <v>0</v>
      </c>
      <c r="BP235" s="174">
        <f>IF(AA235&gt;0,0,IF(Z235=$Z$89,AG235,0))</f>
        <v>0</v>
      </c>
      <c r="BQ235" s="174">
        <f>IF(AA235&gt;0,0,IF(Z235=$Z$90,AG235,0))</f>
        <v>0</v>
      </c>
      <c r="BR235" s="174">
        <f>IF(Z235=$Z$82,AA235*AG235,0)</f>
        <v>0</v>
      </c>
      <c r="BS235" s="174">
        <f>IF(Z235=$Z$83,AA235*AG235,0)</f>
        <v>0</v>
      </c>
      <c r="BT235" s="174">
        <f>IF(AA235&lt;1,0,IF(Z235=$Z$84,AA235*AG235,IF(Z235=$Z$93,"ERRO",IF(Z235=$Z$100,"ERRO",0))))</f>
        <v>0</v>
      </c>
      <c r="BU235" s="174">
        <f>IF(AA235&lt;1,0,IF(Z235=$Z$85,AA235*AG235,IF(Z235=$Z$93,"ERRO",IF(Z235=$Z$100,"ERRO",0))))</f>
        <v>0</v>
      </c>
      <c r="BV235" s="174">
        <f>IF(Z235=$Z$92,AA235*AG235,0)</f>
        <v>0</v>
      </c>
      <c r="BW235" s="174">
        <f>IF(Z235=$Z$91,AA235*AG235,0)</f>
        <v>0</v>
      </c>
      <c r="BX235" s="174">
        <f>IF(Z235=$Z$86,AA235*AG235,0)</f>
        <v>0</v>
      </c>
      <c r="BY235" s="174">
        <f>IF(Z235=$Z$87,AA235*AG235,0)</f>
        <v>0</v>
      </c>
      <c r="BZ235" s="174">
        <f>IF(Z235=$Z$88,AA235*AG235,0)</f>
        <v>0</v>
      </c>
      <c r="CA235" s="174">
        <f>IF(Z235=$Z$89,AA235*AG235,0)</f>
        <v>0</v>
      </c>
      <c r="CB235" s="174">
        <f>IF(Z235=$Z$90,AA235*AG235,0)</f>
        <v>0</v>
      </c>
      <c r="CC235" s="175">
        <f>IFERROR(IF(L235=$L$49,AG235*AH235*(1+AI235)*(1-AK235)*(1-AL235),0),0)</f>
        <v>316.08096</v>
      </c>
      <c r="CD235" s="203"/>
      <c r="CE235" s="203"/>
      <c r="CF235" s="204"/>
      <c r="CG235" s="203"/>
      <c r="CH235" s="204"/>
      <c r="CI235" s="203"/>
      <c r="CJ235" s="205"/>
      <c r="CK235" s="205"/>
      <c r="CL235" s="205"/>
      <c r="CM235" s="205"/>
      <c r="CN235" s="206"/>
      <c r="CO235" s="204"/>
      <c r="CP235" s="207"/>
      <c r="CQ235" s="208"/>
      <c r="CR235" s="209"/>
      <c r="CS235" s="49"/>
      <c r="CT235" s="49"/>
      <c r="CU235" s="49"/>
      <c r="CV235" s="49"/>
      <c r="CW235" s="49"/>
      <c r="CX235" s="49"/>
      <c r="CY235" s="49"/>
      <c r="CZ235" s="49"/>
      <c r="DA235" s="49"/>
      <c r="DB235" s="49"/>
      <c r="DC235" s="49"/>
      <c r="DD235" s="49"/>
      <c r="DE235" s="49"/>
      <c r="DF235" s="49"/>
      <c r="DG235" s="49"/>
      <c r="DH235" s="49"/>
      <c r="DI235" s="49"/>
      <c r="DJ235" s="49"/>
      <c r="DK235" s="49"/>
      <c r="DL235" s="49"/>
      <c r="DM235" s="49"/>
      <c r="DN235" s="49"/>
      <c r="DO235" s="49"/>
      <c r="DP235" s="49"/>
      <c r="DQ235" s="49"/>
      <c r="DR235" s="49"/>
      <c r="DS235" s="49"/>
      <c r="DT235" s="49"/>
      <c r="DU235" s="49"/>
      <c r="DV235" s="49"/>
      <c r="DW235" s="49"/>
      <c r="DX235" s="49"/>
      <c r="DY235" s="49"/>
      <c r="DZ235" s="49"/>
      <c r="EA235" s="49"/>
      <c r="EB235" s="49"/>
      <c r="EC235" s="49"/>
      <c r="ED235" s="49"/>
      <c r="EE235" s="49"/>
      <c r="EF235" s="49"/>
      <c r="EG235" s="49"/>
      <c r="EH235" s="49"/>
      <c r="EI235" s="49"/>
      <c r="EJ235" s="49"/>
      <c r="EK235" s="49"/>
      <c r="EL235" s="49"/>
      <c r="EM235" s="49"/>
      <c r="EN235" s="49"/>
      <c r="EO235" s="49"/>
      <c r="EP235" s="49"/>
      <c r="EQ235" s="49"/>
      <c r="ER235" s="49"/>
      <c r="ES235" s="49"/>
      <c r="ET235" s="49"/>
      <c r="EU235" s="49"/>
      <c r="EV235" s="49"/>
      <c r="EW235" s="49"/>
      <c r="EX235" s="49"/>
      <c r="EY235" s="49"/>
      <c r="EZ235" s="49"/>
      <c r="FA235" s="49"/>
    </row>
    <row r="236" spans="1:157" s="210" customFormat="1" ht="38.25" x14ac:dyDescent="0.25">
      <c r="A236" s="113"/>
      <c r="B236" s="113"/>
      <c r="C236" s="113"/>
      <c r="D236" s="148"/>
      <c r="E236" s="115"/>
      <c r="F236" s="116"/>
      <c r="G236" s="149"/>
      <c r="H236" s="150" t="s">
        <v>7</v>
      </c>
      <c r="I236" s="151" t="str">
        <f t="shared" si="46"/>
        <v>Mercadorias</v>
      </c>
      <c r="J236" s="150" t="s">
        <v>15</v>
      </c>
      <c r="K236" s="152" t="s">
        <v>7</v>
      </c>
      <c r="L236" s="153" t="s">
        <v>21</v>
      </c>
      <c r="M236" s="154" t="s">
        <v>290</v>
      </c>
      <c r="N236" s="155" t="s">
        <v>370</v>
      </c>
      <c r="O236" s="155" t="s">
        <v>343</v>
      </c>
      <c r="P236" s="155"/>
      <c r="Q236" s="155"/>
      <c r="R236" s="155"/>
      <c r="S236" s="156"/>
      <c r="T236" s="156"/>
      <c r="U236" s="150"/>
      <c r="V236" s="150"/>
      <c r="W236" s="150"/>
      <c r="X236" s="157" t="s">
        <v>350</v>
      </c>
      <c r="Y236" s="150"/>
      <c r="Z236" s="150"/>
      <c r="AA236" s="158"/>
      <c r="AB236" s="155"/>
      <c r="AC236" s="150"/>
      <c r="AD236" s="155"/>
      <c r="AE236" s="155"/>
      <c r="AF236" s="150"/>
      <c r="AG236" s="159">
        <v>2</v>
      </c>
      <c r="AH236" s="159">
        <v>52.768200000000007</v>
      </c>
      <c r="AI236" s="202">
        <v>0</v>
      </c>
      <c r="AJ236" s="161">
        <v>7.0000000000000007E-2</v>
      </c>
      <c r="AK236" s="162">
        <v>0.05</v>
      </c>
      <c r="AL236" s="163"/>
      <c r="AM236" s="164">
        <f>(((IF(L236=$L$101,1,IF(L236=$L$47,1,0))*(AH236*(1-AK236)))*AG236)*(1-AL236))</f>
        <v>0</v>
      </c>
      <c r="AN236" s="165">
        <f>IF(K236=$K$50,AM236,IF(K236=$K$53,AM236,IF(K236=$K$54,AM236,IF(K236=$K$55,AM236,IF(K236=$K$56,AM236,IF(K236=$K$57,AM236,IF(K236=$K$58,AM236,IF(K236=$K$65,AM236,IF(K236=$K$66,AM236,IF(K236=$K$67,AM236,IF(K236=$K$68,AM236,IF(K236=$K$69,AM236,IF(K236=$K$51,AM236,(AM236*(1+AI236)))))))))))))))</f>
        <v>0</v>
      </c>
      <c r="AO236" s="166">
        <v>1.4</v>
      </c>
      <c r="AP236" s="160">
        <f t="shared" si="47"/>
        <v>0</v>
      </c>
      <c r="AQ236" s="167">
        <f t="shared" si="45"/>
        <v>0</v>
      </c>
      <c r="AR236" s="160">
        <f t="shared" si="48"/>
        <v>0</v>
      </c>
      <c r="AS236" s="168">
        <f t="shared" si="49"/>
        <v>0</v>
      </c>
      <c r="AT236" s="169" t="str">
        <f>K236</f>
        <v>MI</v>
      </c>
      <c r="AU236" s="169" t="str">
        <f>I236</f>
        <v>Mercadorias</v>
      </c>
      <c r="AV236" s="170"/>
      <c r="AW236" s="171">
        <f>IF(K236=$K$50,0,IF(K236=$K$53,0,IF(K236=$K$54,0,IF(K236=$K$55,0,IF(K236=$K$56,0,IF(K236=$K$57,0,IF(K236=$K$58,0,IF(K236=$K$65,0,IF(K236=$K$66,0,IF(K236=$K$67,0,IF(K236=$K$68,0,IF(K236=$K$69,0,IF(K236=$K$51,0,1))))))))))))*AM236*AI236)</f>
        <v>0</v>
      </c>
      <c r="AX236" s="172">
        <f>IF(K236=$K$50,0,IF(K236=$K$53,0,IF(K236=$K$54,0,IF(K236=$K$55,0,IF(K236=$K$56,0,IF(K236=$K$57,0,IF(K236=$K$58,0,IF(K236=$K$65,0,IF(K236=$K$66,0,IF(K236=$K$67,0,IF(K236=$K$68,0,IF(K236=$K$69,0,IF(K236=$K$51,0,1))))))))))))*AM236*AJ236*$AX$94)</f>
        <v>0</v>
      </c>
      <c r="AY236" s="172">
        <f>IF(K236=$K$53,0,IF(K236=$K$54,0,IF(K236=$K$55,0,IF(K236=$K$56,0,IF(K236=$K$58,0,IF(K236=$K$50,0,IF(K236=$K$65,0,IF(K236=$K$57,0,IF(K236=$K$51,0,AM236*$AY$102)))))))))</f>
        <v>0</v>
      </c>
      <c r="AZ236" s="172">
        <f>IF(K236=$K$53,0,IF(K236=$K$54,0,IF(K236=$K$55,0,IF(K236=$K$56,0,IF(K236=$K$58,0,IF(K236=$K$50,0,IF(K236=$K$65,0,IF(K236=$K$57,0,IF(K236=$K$51,0,AM236*$AZ$102)))))))))</f>
        <v>0</v>
      </c>
      <c r="BA236" s="172">
        <f t="shared" si="50"/>
        <v>0</v>
      </c>
      <c r="BB236" s="173">
        <f>IF($BA$97=1,AQ236*$BB$102,IF(K236=$K$50,0,IF(K236=$K$53,0,IF(K236=$K$54,0,IF(K236=$K$55,0,IF(K236=$K$56,0,IF(K236=$K$57,0,IF(K236=$K$58,0,IF(K236=$K$65,0,IF(K236=$K$66,0,IF(K236=$K$67,0,IF(K236=$K$68,0,IF(K236=$K$69,0,IF(K236=$K$51,0,1)))))))))))*AQ236*$BB$102)))</f>
        <v>0</v>
      </c>
      <c r="BC236" s="172">
        <f t="shared" si="51"/>
        <v>0</v>
      </c>
      <c r="BD236" s="172">
        <f t="shared" si="52"/>
        <v>0</v>
      </c>
      <c r="BE236" s="172">
        <f>IF($BE$95=I236,$BE$97,IF(I236=$BE$96,$BE$97,1))*($BE$102*AQ236)*$AZ$97</f>
        <v>0</v>
      </c>
      <c r="BF236" s="172">
        <f>IF('[1]Cockpit Retorno'!$C$65=Sim,Mestre!BA236,SUM(BB236:BE236)+(IF(K236=$K$56,AQ236*MOE_IRRF_LR,0)))</f>
        <v>0</v>
      </c>
      <c r="BG236" s="174">
        <f>IF(AA236&gt;0,0,IF(Z236=$Z$82,AG236*1,(IF(Z236=$Z$81,AG236*1,0))))</f>
        <v>0</v>
      </c>
      <c r="BH236" s="174">
        <f>IF(AA236&gt;0,0,IF(Z236=$Z$83,AG236*1,IF(Z236=$Z$81,AG236*1,0)))</f>
        <v>0</v>
      </c>
      <c r="BI236" s="174">
        <f>IF(AA236&gt;0,0,IF(Z236=$Z$84,AG236*1,IF(Z236=$Z$93,AG236*2,IF(Z236=$Z$100,AG236,IF(Z236=$Z$81,AG236*2,IF(Z236=$Z$80,AG236*1,IF(Z236=$Z$79,AG236*3,IF(Z236=$Z$78,AG236*2,0))))))))</f>
        <v>0</v>
      </c>
      <c r="BJ236" s="174">
        <f>IF(AA236&gt;0,0,IF(Z236=$Z$85,AG236,IF(Z236=$Z$93,AG236,IF(Z236=$Z$100,AG236,IF(Z236=$Z$81,AG236*1,IF(Z236=$Z$80,AG236*2,IF(Z236=$Z$79,AG236*2,IF(Z236=$Z$78,AG236*2,0))))))))</f>
        <v>0</v>
      </c>
      <c r="BK236" s="174">
        <f>IF(AA236&gt;0,0,IF(Z236=$Z$92,AG236,0))</f>
        <v>0</v>
      </c>
      <c r="BL236" s="174">
        <f>IF(AA236&gt;0,0,IF(Z236=$Z$91,AG236,0))</f>
        <v>0</v>
      </c>
      <c r="BM236" s="174">
        <f>IF(AA236&gt;0,0,IF(Z236=$Z$86,AG236,0))</f>
        <v>0</v>
      </c>
      <c r="BN236" s="174">
        <f>IF(AA236&gt;0,0,IF(Z236=$Z$87,AG236,0))</f>
        <v>0</v>
      </c>
      <c r="BO236" s="174">
        <f>IF(AA236&gt;0,0,IF(Z236=$Z$88,AG236,0))</f>
        <v>0</v>
      </c>
      <c r="BP236" s="174">
        <f>IF(AA236&gt;0,0,IF(Z236=$Z$89,AG236,0))</f>
        <v>0</v>
      </c>
      <c r="BQ236" s="174">
        <f>IF(AA236&gt;0,0,IF(Z236=$Z$90,AG236,0))</f>
        <v>0</v>
      </c>
      <c r="BR236" s="174">
        <f>IF(Z236=$Z$82,AA236*AG236,0)</f>
        <v>0</v>
      </c>
      <c r="BS236" s="174">
        <f>IF(Z236=$Z$83,AA236*AG236,0)</f>
        <v>0</v>
      </c>
      <c r="BT236" s="174">
        <f>IF(AA236&lt;1,0,IF(Z236=$Z$84,AA236*AG236,IF(Z236=$Z$93,"ERRO",IF(Z236=$Z$100,"ERRO",0))))</f>
        <v>0</v>
      </c>
      <c r="BU236" s="174">
        <f>IF(AA236&lt;1,0,IF(Z236=$Z$85,AA236*AG236,IF(Z236=$Z$93,"ERRO",IF(Z236=$Z$100,"ERRO",0))))</f>
        <v>0</v>
      </c>
      <c r="BV236" s="174">
        <f>IF(Z236=$Z$92,AA236*AG236,0)</f>
        <v>0</v>
      </c>
      <c r="BW236" s="174">
        <f>IF(Z236=$Z$91,AA236*AG236,0)</f>
        <v>0</v>
      </c>
      <c r="BX236" s="174">
        <f>IF(Z236=$Z$86,AA236*AG236,0)</f>
        <v>0</v>
      </c>
      <c r="BY236" s="174">
        <f>IF(Z236=$Z$87,AA236*AG236,0)</f>
        <v>0</v>
      </c>
      <c r="BZ236" s="174">
        <f>IF(Z236=$Z$88,AA236*AG236,0)</f>
        <v>0</v>
      </c>
      <c r="CA236" s="174">
        <f>IF(Z236=$Z$89,AA236*AG236,0)</f>
        <v>0</v>
      </c>
      <c r="CB236" s="174">
        <f>IF(Z236=$Z$90,AA236*AG236,0)</f>
        <v>0</v>
      </c>
      <c r="CC236" s="175">
        <f>IFERROR(IF(L236=$L$49,AG236*AH236*(1+AI236)*(1-AK236)*(1-AL236),0),0)</f>
        <v>100.25958000000001</v>
      </c>
      <c r="CD236" s="203"/>
      <c r="CE236" s="203"/>
      <c r="CF236" s="204"/>
      <c r="CG236" s="203"/>
      <c r="CH236" s="204"/>
      <c r="CI236" s="203"/>
      <c r="CJ236" s="205"/>
      <c r="CK236" s="205"/>
      <c r="CL236" s="205"/>
      <c r="CM236" s="205"/>
      <c r="CN236" s="206"/>
      <c r="CO236" s="204"/>
      <c r="CP236" s="207"/>
      <c r="CQ236" s="208"/>
      <c r="CR236" s="209"/>
      <c r="CS236" s="49"/>
      <c r="CT236" s="49"/>
      <c r="CU236" s="49"/>
      <c r="CV236" s="49"/>
      <c r="CW236" s="49"/>
      <c r="CX236" s="49"/>
      <c r="CY236" s="49"/>
      <c r="CZ236" s="49"/>
      <c r="DA236" s="49"/>
      <c r="DB236" s="49"/>
      <c r="DC236" s="49"/>
      <c r="DD236" s="49"/>
      <c r="DE236" s="49"/>
      <c r="DF236" s="49"/>
      <c r="DG236" s="49"/>
      <c r="DH236" s="49"/>
      <c r="DI236" s="49"/>
      <c r="DJ236" s="49"/>
      <c r="DK236" s="49"/>
      <c r="DL236" s="49"/>
      <c r="DM236" s="49"/>
      <c r="DN236" s="49"/>
      <c r="DO236" s="49"/>
      <c r="DP236" s="49"/>
      <c r="DQ236" s="49"/>
      <c r="DR236" s="49"/>
      <c r="DS236" s="49"/>
      <c r="DT236" s="49"/>
      <c r="DU236" s="49"/>
      <c r="DV236" s="49"/>
      <c r="DW236" s="49"/>
      <c r="DX236" s="49"/>
      <c r="DY236" s="49"/>
      <c r="DZ236" s="49"/>
      <c r="EA236" s="49"/>
      <c r="EB236" s="49"/>
      <c r="EC236" s="49"/>
      <c r="ED236" s="49"/>
      <c r="EE236" s="49"/>
      <c r="EF236" s="49"/>
      <c r="EG236" s="49"/>
      <c r="EH236" s="49"/>
      <c r="EI236" s="49"/>
      <c r="EJ236" s="49"/>
      <c r="EK236" s="49"/>
      <c r="EL236" s="49"/>
      <c r="EM236" s="49"/>
      <c r="EN236" s="49"/>
      <c r="EO236" s="49"/>
      <c r="EP236" s="49"/>
      <c r="EQ236" s="49"/>
      <c r="ER236" s="49"/>
      <c r="ES236" s="49"/>
      <c r="ET236" s="49"/>
      <c r="EU236" s="49"/>
      <c r="EV236" s="49"/>
      <c r="EW236" s="49"/>
      <c r="EX236" s="49"/>
      <c r="EY236" s="49"/>
      <c r="EZ236" s="49"/>
      <c r="FA236" s="49"/>
    </row>
    <row r="237" spans="1:157" s="210" customFormat="1" ht="38.25" x14ac:dyDescent="0.25">
      <c r="A237" s="113"/>
      <c r="B237" s="113"/>
      <c r="C237" s="113"/>
      <c r="D237" s="148"/>
      <c r="E237" s="115"/>
      <c r="F237" s="116"/>
      <c r="G237" s="149"/>
      <c r="H237" s="150" t="s">
        <v>7</v>
      </c>
      <c r="I237" s="151" t="str">
        <f t="shared" si="46"/>
        <v>Mercadorias</v>
      </c>
      <c r="J237" s="150" t="s">
        <v>15</v>
      </c>
      <c r="K237" s="152" t="s">
        <v>7</v>
      </c>
      <c r="L237" s="153" t="s">
        <v>21</v>
      </c>
      <c r="M237" s="154" t="s">
        <v>290</v>
      </c>
      <c r="N237" s="155" t="s">
        <v>370</v>
      </c>
      <c r="O237" s="155" t="s">
        <v>343</v>
      </c>
      <c r="P237" s="155"/>
      <c r="Q237" s="155"/>
      <c r="R237" s="155"/>
      <c r="S237" s="156"/>
      <c r="T237" s="156"/>
      <c r="U237" s="150"/>
      <c r="V237" s="150"/>
      <c r="W237" s="150"/>
      <c r="X237" s="157" t="s">
        <v>385</v>
      </c>
      <c r="Y237" s="150"/>
      <c r="Z237" s="150"/>
      <c r="AA237" s="158"/>
      <c r="AB237" s="155"/>
      <c r="AC237" s="150"/>
      <c r="AD237" s="155"/>
      <c r="AE237" s="155"/>
      <c r="AF237" s="150"/>
      <c r="AG237" s="159">
        <v>25</v>
      </c>
      <c r="AH237" s="159">
        <v>66.160200000000003</v>
      </c>
      <c r="AI237" s="202">
        <v>0</v>
      </c>
      <c r="AJ237" s="161">
        <v>7.0000000000000007E-2</v>
      </c>
      <c r="AK237" s="162">
        <v>0.05</v>
      </c>
      <c r="AL237" s="163"/>
      <c r="AM237" s="164">
        <f>(((IF(L237=$L$101,1,IF(L237=$L$47,1,0))*(AH237*(1-AK237)))*AG237)*(1-AL237))</f>
        <v>0</v>
      </c>
      <c r="AN237" s="165">
        <f>IF(K237=$K$50,AM237,IF(K237=$K$53,AM237,IF(K237=$K$54,AM237,IF(K237=$K$55,AM237,IF(K237=$K$56,AM237,IF(K237=$K$57,AM237,IF(K237=$K$58,AM237,IF(K237=$K$65,AM237,IF(K237=$K$66,AM237,IF(K237=$K$67,AM237,IF(K237=$K$68,AM237,IF(K237=$K$69,AM237,IF(K237=$K$51,AM237,(AM237*(1+AI237)))))))))))))))</f>
        <v>0</v>
      </c>
      <c r="AO237" s="166">
        <v>1.4</v>
      </c>
      <c r="AP237" s="160">
        <f t="shared" si="47"/>
        <v>0</v>
      </c>
      <c r="AQ237" s="167">
        <f t="shared" si="45"/>
        <v>0</v>
      </c>
      <c r="AR237" s="160">
        <f t="shared" si="48"/>
        <v>0</v>
      </c>
      <c r="AS237" s="168">
        <f t="shared" si="49"/>
        <v>0</v>
      </c>
      <c r="AT237" s="169" t="str">
        <f>K237</f>
        <v>MI</v>
      </c>
      <c r="AU237" s="169" t="str">
        <f>I237</f>
        <v>Mercadorias</v>
      </c>
      <c r="AV237" s="170"/>
      <c r="AW237" s="171">
        <f>IF(K237=$K$50,0,IF(K237=$K$53,0,IF(K237=$K$54,0,IF(K237=$K$55,0,IF(K237=$K$56,0,IF(K237=$K$57,0,IF(K237=$K$58,0,IF(K237=$K$65,0,IF(K237=$K$66,0,IF(K237=$K$67,0,IF(K237=$K$68,0,IF(K237=$K$69,0,IF(K237=$K$51,0,1))))))))))))*AM237*AI237)</f>
        <v>0</v>
      </c>
      <c r="AX237" s="172">
        <f>IF(K237=$K$50,0,IF(K237=$K$53,0,IF(K237=$K$54,0,IF(K237=$K$55,0,IF(K237=$K$56,0,IF(K237=$K$57,0,IF(K237=$K$58,0,IF(K237=$K$65,0,IF(K237=$K$66,0,IF(K237=$K$67,0,IF(K237=$K$68,0,IF(K237=$K$69,0,IF(K237=$K$51,0,1))))))))))))*AM237*AJ237*$AX$94)</f>
        <v>0</v>
      </c>
      <c r="AY237" s="172">
        <f>IF(K237=$K$53,0,IF(K237=$K$54,0,IF(K237=$K$55,0,IF(K237=$K$56,0,IF(K237=$K$58,0,IF(K237=$K$50,0,IF(K237=$K$65,0,IF(K237=$K$57,0,IF(K237=$K$51,0,AM237*$AY$102)))))))))</f>
        <v>0</v>
      </c>
      <c r="AZ237" s="172">
        <f>IF(K237=$K$53,0,IF(K237=$K$54,0,IF(K237=$K$55,0,IF(K237=$K$56,0,IF(K237=$K$58,0,IF(K237=$K$50,0,IF(K237=$K$65,0,IF(K237=$K$57,0,IF(K237=$K$51,0,AM237*$AZ$102)))))))))</f>
        <v>0</v>
      </c>
      <c r="BA237" s="172">
        <f t="shared" si="50"/>
        <v>0</v>
      </c>
      <c r="BB237" s="173">
        <f>IF($BA$97=1,AQ237*$BB$102,IF(K237=$K$50,0,IF(K237=$K$53,0,IF(K237=$K$54,0,IF(K237=$K$55,0,IF(K237=$K$56,0,IF(K237=$K$57,0,IF(K237=$K$58,0,IF(K237=$K$65,0,IF(K237=$K$66,0,IF(K237=$K$67,0,IF(K237=$K$68,0,IF(K237=$K$69,0,IF(K237=$K$51,0,1)))))))))))*AQ237*$BB$102)))</f>
        <v>0</v>
      </c>
      <c r="BC237" s="172">
        <f t="shared" si="51"/>
        <v>0</v>
      </c>
      <c r="BD237" s="172">
        <f t="shared" si="52"/>
        <v>0</v>
      </c>
      <c r="BE237" s="172">
        <f>IF($BE$95=I237,$BE$97,IF(I237=$BE$96,$BE$97,1))*($BE$102*AQ237)*$AZ$97</f>
        <v>0</v>
      </c>
      <c r="BF237" s="172">
        <f>IF('[1]Cockpit Retorno'!$C$65=Sim,Mestre!BA237,SUM(BB237:BE237)+(IF(K237=$K$56,AQ237*MOE_IRRF_LR,0)))</f>
        <v>0</v>
      </c>
      <c r="BG237" s="174">
        <f>IF(AA237&gt;0,0,IF(Z237=$Z$82,AG237*1,(IF(Z237=$Z$81,AG237*1,0))))</f>
        <v>0</v>
      </c>
      <c r="BH237" s="174">
        <f>IF(AA237&gt;0,0,IF(Z237=$Z$83,AG237*1,IF(Z237=$Z$81,AG237*1,0)))</f>
        <v>0</v>
      </c>
      <c r="BI237" s="174">
        <f>IF(AA237&gt;0,0,IF(Z237=$Z$84,AG237*1,IF(Z237=$Z$93,AG237*2,IF(Z237=$Z$100,AG237,IF(Z237=$Z$81,AG237*2,IF(Z237=$Z$80,AG237*1,IF(Z237=$Z$79,AG237*3,IF(Z237=$Z$78,AG237*2,0))))))))</f>
        <v>0</v>
      </c>
      <c r="BJ237" s="174">
        <f>IF(AA237&gt;0,0,IF(Z237=$Z$85,AG237,IF(Z237=$Z$93,AG237,IF(Z237=$Z$100,AG237,IF(Z237=$Z$81,AG237*1,IF(Z237=$Z$80,AG237*2,IF(Z237=$Z$79,AG237*2,IF(Z237=$Z$78,AG237*2,0))))))))</f>
        <v>0</v>
      </c>
      <c r="BK237" s="174">
        <f>IF(AA237&gt;0,0,IF(Z237=$Z$92,AG237,0))</f>
        <v>0</v>
      </c>
      <c r="BL237" s="174">
        <f>IF(AA237&gt;0,0,IF(Z237=$Z$91,AG237,0))</f>
        <v>0</v>
      </c>
      <c r="BM237" s="174">
        <f>IF(AA237&gt;0,0,IF(Z237=$Z$86,AG237,0))</f>
        <v>0</v>
      </c>
      <c r="BN237" s="174">
        <f>IF(AA237&gt;0,0,IF(Z237=$Z$87,AG237,0))</f>
        <v>0</v>
      </c>
      <c r="BO237" s="174">
        <f>IF(AA237&gt;0,0,IF(Z237=$Z$88,AG237,0))</f>
        <v>0</v>
      </c>
      <c r="BP237" s="174">
        <f>IF(AA237&gt;0,0,IF(Z237=$Z$89,AG237,0))</f>
        <v>0</v>
      </c>
      <c r="BQ237" s="174">
        <f>IF(AA237&gt;0,0,IF(Z237=$Z$90,AG237,0))</f>
        <v>0</v>
      </c>
      <c r="BR237" s="174">
        <f>IF(Z237=$Z$82,AA237*AG237,0)</f>
        <v>0</v>
      </c>
      <c r="BS237" s="174">
        <f>IF(Z237=$Z$83,AA237*AG237,0)</f>
        <v>0</v>
      </c>
      <c r="BT237" s="174">
        <f>IF(AA237&lt;1,0,IF(Z237=$Z$84,AA237*AG237,IF(Z237=$Z$93,"ERRO",IF(Z237=$Z$100,"ERRO",0))))</f>
        <v>0</v>
      </c>
      <c r="BU237" s="174">
        <f>IF(AA237&lt;1,0,IF(Z237=$Z$85,AA237*AG237,IF(Z237=$Z$93,"ERRO",IF(Z237=$Z$100,"ERRO",0))))</f>
        <v>0</v>
      </c>
      <c r="BV237" s="174">
        <f>IF(Z237=$Z$92,AA237*AG237,0)</f>
        <v>0</v>
      </c>
      <c r="BW237" s="174">
        <f>IF(Z237=$Z$91,AA237*AG237,0)</f>
        <v>0</v>
      </c>
      <c r="BX237" s="174">
        <f>IF(Z237=$Z$86,AA237*AG237,0)</f>
        <v>0</v>
      </c>
      <c r="BY237" s="174">
        <f>IF(Z237=$Z$87,AA237*AG237,0)</f>
        <v>0</v>
      </c>
      <c r="BZ237" s="174">
        <f>IF(Z237=$Z$88,AA237*AG237,0)</f>
        <v>0</v>
      </c>
      <c r="CA237" s="174">
        <f>IF(Z237=$Z$89,AA237*AG237,0)</f>
        <v>0</v>
      </c>
      <c r="CB237" s="174">
        <f>IF(Z237=$Z$90,AA237*AG237,0)</f>
        <v>0</v>
      </c>
      <c r="CC237" s="175">
        <f>IFERROR(IF(L237=$L$49,AG237*AH237*(1+AI237)*(1-AK237)*(1-AL237),0),0)</f>
        <v>1571.30475</v>
      </c>
      <c r="CD237" s="203"/>
      <c r="CE237" s="203"/>
      <c r="CF237" s="204"/>
      <c r="CG237" s="203"/>
      <c r="CH237" s="204"/>
      <c r="CI237" s="203"/>
      <c r="CJ237" s="205"/>
      <c r="CK237" s="205"/>
      <c r="CL237" s="205"/>
      <c r="CM237" s="205"/>
      <c r="CN237" s="206"/>
      <c r="CO237" s="204"/>
      <c r="CP237" s="207"/>
      <c r="CQ237" s="208"/>
      <c r="CR237" s="209"/>
      <c r="CS237" s="49"/>
      <c r="CT237" s="49"/>
      <c r="CU237" s="49"/>
      <c r="CV237" s="49"/>
      <c r="CW237" s="49"/>
      <c r="CX237" s="49"/>
      <c r="CY237" s="49"/>
      <c r="CZ237" s="49"/>
      <c r="DA237" s="49"/>
      <c r="DB237" s="49"/>
      <c r="DC237" s="49"/>
      <c r="DD237" s="49"/>
      <c r="DE237" s="49"/>
      <c r="DF237" s="49"/>
      <c r="DG237" s="49"/>
      <c r="DH237" s="49"/>
      <c r="DI237" s="49"/>
      <c r="DJ237" s="49"/>
      <c r="DK237" s="49"/>
      <c r="DL237" s="49"/>
      <c r="DM237" s="49"/>
      <c r="DN237" s="49"/>
      <c r="DO237" s="49"/>
      <c r="DP237" s="49"/>
      <c r="DQ237" s="49"/>
      <c r="DR237" s="49"/>
      <c r="DS237" s="49"/>
      <c r="DT237" s="49"/>
      <c r="DU237" s="49"/>
      <c r="DV237" s="49"/>
      <c r="DW237" s="49"/>
      <c r="DX237" s="49"/>
      <c r="DY237" s="49"/>
      <c r="DZ237" s="49"/>
      <c r="EA237" s="49"/>
      <c r="EB237" s="49"/>
      <c r="EC237" s="49"/>
      <c r="ED237" s="49"/>
      <c r="EE237" s="49"/>
      <c r="EF237" s="49"/>
      <c r="EG237" s="49"/>
      <c r="EH237" s="49"/>
      <c r="EI237" s="49"/>
      <c r="EJ237" s="49"/>
      <c r="EK237" s="49"/>
      <c r="EL237" s="49"/>
      <c r="EM237" s="49"/>
      <c r="EN237" s="49"/>
      <c r="EO237" s="49"/>
      <c r="EP237" s="49"/>
      <c r="EQ237" s="49"/>
      <c r="ER237" s="49"/>
      <c r="ES237" s="49"/>
      <c r="ET237" s="49"/>
      <c r="EU237" s="49"/>
      <c r="EV237" s="49"/>
      <c r="EW237" s="49"/>
      <c r="EX237" s="49"/>
      <c r="EY237" s="49"/>
      <c r="EZ237" s="49"/>
      <c r="FA237" s="49"/>
    </row>
    <row r="238" spans="1:157" s="210" customFormat="1" ht="38.25" x14ac:dyDescent="0.25">
      <c r="A238" s="113"/>
      <c r="B238" s="113"/>
      <c r="C238" s="113"/>
      <c r="D238" s="148"/>
      <c r="E238" s="115"/>
      <c r="F238" s="116"/>
      <c r="G238" s="149"/>
      <c r="H238" s="150" t="s">
        <v>7</v>
      </c>
      <c r="I238" s="151" t="str">
        <f t="shared" si="46"/>
        <v>Mercadorias</v>
      </c>
      <c r="J238" s="150" t="s">
        <v>15</v>
      </c>
      <c r="K238" s="152" t="s">
        <v>7</v>
      </c>
      <c r="L238" s="153" t="s">
        <v>21</v>
      </c>
      <c r="M238" s="154" t="s">
        <v>290</v>
      </c>
      <c r="N238" s="155" t="s">
        <v>370</v>
      </c>
      <c r="O238" s="155" t="s">
        <v>343</v>
      </c>
      <c r="P238" s="155"/>
      <c r="Q238" s="155"/>
      <c r="R238" s="155"/>
      <c r="S238" s="156"/>
      <c r="T238" s="156"/>
      <c r="U238" s="150"/>
      <c r="V238" s="150"/>
      <c r="W238" s="150"/>
      <c r="X238" s="157" t="s">
        <v>386</v>
      </c>
      <c r="Y238" s="150"/>
      <c r="Z238" s="150"/>
      <c r="AA238" s="158"/>
      <c r="AB238" s="155"/>
      <c r="AC238" s="150"/>
      <c r="AD238" s="155"/>
      <c r="AE238" s="155"/>
      <c r="AF238" s="150"/>
      <c r="AG238" s="159">
        <v>50</v>
      </c>
      <c r="AH238" s="159">
        <v>29.406600000000001</v>
      </c>
      <c r="AI238" s="202">
        <v>0</v>
      </c>
      <c r="AJ238" s="161">
        <v>7.0000000000000007E-2</v>
      </c>
      <c r="AK238" s="162">
        <v>0.05</v>
      </c>
      <c r="AL238" s="163"/>
      <c r="AM238" s="164">
        <f>(((IF(L238=$L$101,1,IF(L238=$L$47,1,0))*(AH238*(1-AK238)))*AG238)*(1-AL238))</f>
        <v>0</v>
      </c>
      <c r="AN238" s="165">
        <f>IF(K238=$K$50,AM238,IF(K238=$K$53,AM238,IF(K238=$K$54,AM238,IF(K238=$K$55,AM238,IF(K238=$K$56,AM238,IF(K238=$K$57,AM238,IF(K238=$K$58,AM238,IF(K238=$K$65,AM238,IF(K238=$K$66,AM238,IF(K238=$K$67,AM238,IF(K238=$K$68,AM238,IF(K238=$K$69,AM238,IF(K238=$K$51,AM238,(AM238*(1+AI238)))))))))))))))</f>
        <v>0</v>
      </c>
      <c r="AO238" s="166">
        <v>1.4</v>
      </c>
      <c r="AP238" s="160">
        <f t="shared" si="47"/>
        <v>0</v>
      </c>
      <c r="AQ238" s="167">
        <f t="shared" si="45"/>
        <v>0</v>
      </c>
      <c r="AR238" s="160">
        <f t="shared" si="48"/>
        <v>0</v>
      </c>
      <c r="AS238" s="168">
        <f t="shared" si="49"/>
        <v>0</v>
      </c>
      <c r="AT238" s="169" t="str">
        <f>K238</f>
        <v>MI</v>
      </c>
      <c r="AU238" s="169" t="str">
        <f>I238</f>
        <v>Mercadorias</v>
      </c>
      <c r="AV238" s="170"/>
      <c r="AW238" s="171">
        <f>IF(K238=$K$50,0,IF(K238=$K$53,0,IF(K238=$K$54,0,IF(K238=$K$55,0,IF(K238=$K$56,0,IF(K238=$K$57,0,IF(K238=$K$58,0,IF(K238=$K$65,0,IF(K238=$K$66,0,IF(K238=$K$67,0,IF(K238=$K$68,0,IF(K238=$K$69,0,IF(K238=$K$51,0,1))))))))))))*AM238*AI238)</f>
        <v>0</v>
      </c>
      <c r="AX238" s="172">
        <f>IF(K238=$K$50,0,IF(K238=$K$53,0,IF(K238=$K$54,0,IF(K238=$K$55,0,IF(K238=$K$56,0,IF(K238=$K$57,0,IF(K238=$K$58,0,IF(K238=$K$65,0,IF(K238=$K$66,0,IF(K238=$K$67,0,IF(K238=$K$68,0,IF(K238=$K$69,0,IF(K238=$K$51,0,1))))))))))))*AM238*AJ238*$AX$94)</f>
        <v>0</v>
      </c>
      <c r="AY238" s="172">
        <f>IF(K238=$K$53,0,IF(K238=$K$54,0,IF(K238=$K$55,0,IF(K238=$K$56,0,IF(K238=$K$58,0,IF(K238=$K$50,0,IF(K238=$K$65,0,IF(K238=$K$57,0,IF(K238=$K$51,0,AM238*$AY$102)))))))))</f>
        <v>0</v>
      </c>
      <c r="AZ238" s="172">
        <f>IF(K238=$K$53,0,IF(K238=$K$54,0,IF(K238=$K$55,0,IF(K238=$K$56,0,IF(K238=$K$58,0,IF(K238=$K$50,0,IF(K238=$K$65,0,IF(K238=$K$57,0,IF(K238=$K$51,0,AM238*$AZ$102)))))))))</f>
        <v>0</v>
      </c>
      <c r="BA238" s="172">
        <f t="shared" si="50"/>
        <v>0</v>
      </c>
      <c r="BB238" s="173">
        <f>IF($BA$97=1,AQ238*$BB$102,IF(K238=$K$50,0,IF(K238=$K$53,0,IF(K238=$K$54,0,IF(K238=$K$55,0,IF(K238=$K$56,0,IF(K238=$K$57,0,IF(K238=$K$58,0,IF(K238=$K$65,0,IF(K238=$K$66,0,IF(K238=$K$67,0,IF(K238=$K$68,0,IF(K238=$K$69,0,IF(K238=$K$51,0,1)))))))))))*AQ238*$BB$102)))</f>
        <v>0</v>
      </c>
      <c r="BC238" s="172">
        <f t="shared" si="51"/>
        <v>0</v>
      </c>
      <c r="BD238" s="172">
        <f t="shared" si="52"/>
        <v>0</v>
      </c>
      <c r="BE238" s="172">
        <f>IF($BE$95=I238,$BE$97,IF(I238=$BE$96,$BE$97,1))*($BE$102*AQ238)*$AZ$97</f>
        <v>0</v>
      </c>
      <c r="BF238" s="172">
        <f>IF('[1]Cockpit Retorno'!$C$65=Sim,Mestre!BA238,SUM(BB238:BE238)+(IF(K238=$K$56,AQ238*MOE_IRRF_LR,0)))</f>
        <v>0</v>
      </c>
      <c r="BG238" s="174">
        <f>IF(AA238&gt;0,0,IF(Z238=$Z$82,AG238*1,(IF(Z238=$Z$81,AG238*1,0))))</f>
        <v>0</v>
      </c>
      <c r="BH238" s="174">
        <f>IF(AA238&gt;0,0,IF(Z238=$Z$83,AG238*1,IF(Z238=$Z$81,AG238*1,0)))</f>
        <v>0</v>
      </c>
      <c r="BI238" s="174">
        <f>IF(AA238&gt;0,0,IF(Z238=$Z$84,AG238*1,IF(Z238=$Z$93,AG238*2,IF(Z238=$Z$100,AG238,IF(Z238=$Z$81,AG238*2,IF(Z238=$Z$80,AG238*1,IF(Z238=$Z$79,AG238*3,IF(Z238=$Z$78,AG238*2,0))))))))</f>
        <v>0</v>
      </c>
      <c r="BJ238" s="174">
        <f>IF(AA238&gt;0,0,IF(Z238=$Z$85,AG238,IF(Z238=$Z$93,AG238,IF(Z238=$Z$100,AG238,IF(Z238=$Z$81,AG238*1,IF(Z238=$Z$80,AG238*2,IF(Z238=$Z$79,AG238*2,IF(Z238=$Z$78,AG238*2,0))))))))</f>
        <v>0</v>
      </c>
      <c r="BK238" s="174">
        <f>IF(AA238&gt;0,0,IF(Z238=$Z$92,AG238,0))</f>
        <v>0</v>
      </c>
      <c r="BL238" s="174">
        <f>IF(AA238&gt;0,0,IF(Z238=$Z$91,AG238,0))</f>
        <v>0</v>
      </c>
      <c r="BM238" s="174">
        <f>IF(AA238&gt;0,0,IF(Z238=$Z$86,AG238,0))</f>
        <v>0</v>
      </c>
      <c r="BN238" s="174">
        <f>IF(AA238&gt;0,0,IF(Z238=$Z$87,AG238,0))</f>
        <v>0</v>
      </c>
      <c r="BO238" s="174">
        <f>IF(AA238&gt;0,0,IF(Z238=$Z$88,AG238,0))</f>
        <v>0</v>
      </c>
      <c r="BP238" s="174">
        <f>IF(AA238&gt;0,0,IF(Z238=$Z$89,AG238,0))</f>
        <v>0</v>
      </c>
      <c r="BQ238" s="174">
        <f>IF(AA238&gt;0,0,IF(Z238=$Z$90,AG238,0))</f>
        <v>0</v>
      </c>
      <c r="BR238" s="174">
        <f>IF(Z238=$Z$82,AA238*AG238,0)</f>
        <v>0</v>
      </c>
      <c r="BS238" s="174">
        <f>IF(Z238=$Z$83,AA238*AG238,0)</f>
        <v>0</v>
      </c>
      <c r="BT238" s="174">
        <f>IF(AA238&lt;1,0,IF(Z238=$Z$84,AA238*AG238,IF(Z238=$Z$93,"ERRO",IF(Z238=$Z$100,"ERRO",0))))</f>
        <v>0</v>
      </c>
      <c r="BU238" s="174">
        <f>IF(AA238&lt;1,0,IF(Z238=$Z$85,AA238*AG238,IF(Z238=$Z$93,"ERRO",IF(Z238=$Z$100,"ERRO",0))))</f>
        <v>0</v>
      </c>
      <c r="BV238" s="174">
        <f>IF(Z238=$Z$92,AA238*AG238,0)</f>
        <v>0</v>
      </c>
      <c r="BW238" s="174">
        <f>IF(Z238=$Z$91,AA238*AG238,0)</f>
        <v>0</v>
      </c>
      <c r="BX238" s="174">
        <f>IF(Z238=$Z$86,AA238*AG238,0)</f>
        <v>0</v>
      </c>
      <c r="BY238" s="174">
        <f>IF(Z238=$Z$87,AA238*AG238,0)</f>
        <v>0</v>
      </c>
      <c r="BZ238" s="174">
        <f>IF(Z238=$Z$88,AA238*AG238,0)</f>
        <v>0</v>
      </c>
      <c r="CA238" s="174">
        <f>IF(Z238=$Z$89,AA238*AG238,0)</f>
        <v>0</v>
      </c>
      <c r="CB238" s="174">
        <f>IF(Z238=$Z$90,AA238*AG238,0)</f>
        <v>0</v>
      </c>
      <c r="CC238" s="175">
        <f>IFERROR(IF(L238=$L$49,AG238*AH238*(1+AI238)*(1-AK238)*(1-AL238),0),0)</f>
        <v>1396.8135</v>
      </c>
      <c r="CD238" s="203"/>
      <c r="CE238" s="203"/>
      <c r="CF238" s="204"/>
      <c r="CG238" s="203"/>
      <c r="CH238" s="204"/>
      <c r="CI238" s="203"/>
      <c r="CJ238" s="205"/>
      <c r="CK238" s="205"/>
      <c r="CL238" s="205"/>
      <c r="CM238" s="205"/>
      <c r="CN238" s="206"/>
      <c r="CO238" s="204"/>
      <c r="CP238" s="207"/>
      <c r="CQ238" s="208"/>
      <c r="CR238" s="209"/>
      <c r="CS238" s="49"/>
      <c r="CT238" s="49"/>
      <c r="CU238" s="49"/>
      <c r="CV238" s="49"/>
      <c r="CW238" s="49"/>
      <c r="CX238" s="49"/>
      <c r="CY238" s="49"/>
      <c r="CZ238" s="49"/>
      <c r="DA238" s="49"/>
      <c r="DB238" s="49"/>
      <c r="DC238" s="49"/>
      <c r="DD238" s="49"/>
      <c r="DE238" s="49"/>
      <c r="DF238" s="49"/>
      <c r="DG238" s="49"/>
      <c r="DH238" s="49"/>
      <c r="DI238" s="49"/>
      <c r="DJ238" s="49"/>
      <c r="DK238" s="49"/>
      <c r="DL238" s="49"/>
      <c r="DM238" s="49"/>
      <c r="DN238" s="49"/>
      <c r="DO238" s="49"/>
      <c r="DP238" s="49"/>
      <c r="DQ238" s="49"/>
      <c r="DR238" s="49"/>
      <c r="DS238" s="49"/>
      <c r="DT238" s="49"/>
      <c r="DU238" s="49"/>
      <c r="DV238" s="49"/>
      <c r="DW238" s="49"/>
      <c r="DX238" s="49"/>
      <c r="DY238" s="49"/>
      <c r="DZ238" s="49"/>
      <c r="EA238" s="49"/>
      <c r="EB238" s="49"/>
      <c r="EC238" s="49"/>
      <c r="ED238" s="49"/>
      <c r="EE238" s="49"/>
      <c r="EF238" s="49"/>
      <c r="EG238" s="49"/>
      <c r="EH238" s="49"/>
      <c r="EI238" s="49"/>
      <c r="EJ238" s="49"/>
      <c r="EK238" s="49"/>
      <c r="EL238" s="49"/>
      <c r="EM238" s="49"/>
      <c r="EN238" s="49"/>
      <c r="EO238" s="49"/>
      <c r="EP238" s="49"/>
      <c r="EQ238" s="49"/>
      <c r="ER238" s="49"/>
      <c r="ES238" s="49"/>
      <c r="ET238" s="49"/>
      <c r="EU238" s="49"/>
      <c r="EV238" s="49"/>
      <c r="EW238" s="49"/>
      <c r="EX238" s="49"/>
      <c r="EY238" s="49"/>
      <c r="EZ238" s="49"/>
      <c r="FA238" s="49"/>
    </row>
    <row r="239" spans="1:157" s="210" customFormat="1" ht="38.25" x14ac:dyDescent="0.25">
      <c r="A239" s="113"/>
      <c r="B239" s="113"/>
      <c r="C239" s="113"/>
      <c r="D239" s="148"/>
      <c r="E239" s="115"/>
      <c r="F239" s="116"/>
      <c r="G239" s="149"/>
      <c r="H239" s="150" t="s">
        <v>7</v>
      </c>
      <c r="I239" s="151" t="str">
        <f t="shared" si="46"/>
        <v>Mercadorias</v>
      </c>
      <c r="J239" s="150" t="s">
        <v>15</v>
      </c>
      <c r="K239" s="152" t="s">
        <v>7</v>
      </c>
      <c r="L239" s="153" t="s">
        <v>21</v>
      </c>
      <c r="M239" s="154" t="s">
        <v>290</v>
      </c>
      <c r="N239" s="155" t="s">
        <v>370</v>
      </c>
      <c r="O239" s="155" t="s">
        <v>343</v>
      </c>
      <c r="P239" s="155"/>
      <c r="Q239" s="155"/>
      <c r="R239" s="155"/>
      <c r="S239" s="156"/>
      <c r="T239" s="156"/>
      <c r="U239" s="150"/>
      <c r="V239" s="150"/>
      <c r="W239" s="150"/>
      <c r="X239" s="157" t="s">
        <v>387</v>
      </c>
      <c r="Y239" s="150"/>
      <c r="Z239" s="150"/>
      <c r="AA239" s="158"/>
      <c r="AB239" s="155"/>
      <c r="AC239" s="150"/>
      <c r="AD239" s="155"/>
      <c r="AE239" s="155"/>
      <c r="AF239" s="150"/>
      <c r="AG239" s="159">
        <v>6</v>
      </c>
      <c r="AH239" s="159">
        <v>48.239100000000008</v>
      </c>
      <c r="AI239" s="202">
        <v>0</v>
      </c>
      <c r="AJ239" s="161">
        <v>7.0000000000000007E-2</v>
      </c>
      <c r="AK239" s="162">
        <v>0.05</v>
      </c>
      <c r="AL239" s="163"/>
      <c r="AM239" s="164">
        <f>(((IF(L239=$L$101,1,IF(L239=$L$47,1,0))*(AH239*(1-AK239)))*AG239)*(1-AL239))</f>
        <v>0</v>
      </c>
      <c r="AN239" s="165">
        <f>IF(K239=$K$50,AM239,IF(K239=$K$53,AM239,IF(K239=$K$54,AM239,IF(K239=$K$55,AM239,IF(K239=$K$56,AM239,IF(K239=$K$57,AM239,IF(K239=$K$58,AM239,IF(K239=$K$65,AM239,IF(K239=$K$66,AM239,IF(K239=$K$67,AM239,IF(K239=$K$68,AM239,IF(K239=$K$69,AM239,IF(K239=$K$51,AM239,(AM239*(1+AI239)))))))))))))))</f>
        <v>0</v>
      </c>
      <c r="AO239" s="166">
        <v>1.4</v>
      </c>
      <c r="AP239" s="160">
        <f t="shared" si="47"/>
        <v>0</v>
      </c>
      <c r="AQ239" s="167">
        <f t="shared" si="45"/>
        <v>0</v>
      </c>
      <c r="AR239" s="160">
        <f t="shared" si="48"/>
        <v>0</v>
      </c>
      <c r="AS239" s="168">
        <f t="shared" si="49"/>
        <v>0</v>
      </c>
      <c r="AT239" s="169" t="str">
        <f>K239</f>
        <v>MI</v>
      </c>
      <c r="AU239" s="169" t="str">
        <f>I239</f>
        <v>Mercadorias</v>
      </c>
      <c r="AV239" s="170"/>
      <c r="AW239" s="171">
        <f>IF(K239=$K$50,0,IF(K239=$K$53,0,IF(K239=$K$54,0,IF(K239=$K$55,0,IF(K239=$K$56,0,IF(K239=$K$57,0,IF(K239=$K$58,0,IF(K239=$K$65,0,IF(K239=$K$66,0,IF(K239=$K$67,0,IF(K239=$K$68,0,IF(K239=$K$69,0,IF(K239=$K$51,0,1))))))))))))*AM239*AI239)</f>
        <v>0</v>
      </c>
      <c r="AX239" s="172">
        <f>IF(K239=$K$50,0,IF(K239=$K$53,0,IF(K239=$K$54,0,IF(K239=$K$55,0,IF(K239=$K$56,0,IF(K239=$K$57,0,IF(K239=$K$58,0,IF(K239=$K$65,0,IF(K239=$K$66,0,IF(K239=$K$67,0,IF(K239=$K$68,0,IF(K239=$K$69,0,IF(K239=$K$51,0,1))))))))))))*AM239*AJ239*$AX$94)</f>
        <v>0</v>
      </c>
      <c r="AY239" s="172">
        <f>IF(K239=$K$53,0,IF(K239=$K$54,0,IF(K239=$K$55,0,IF(K239=$K$56,0,IF(K239=$K$58,0,IF(K239=$K$50,0,IF(K239=$K$65,0,IF(K239=$K$57,0,IF(K239=$K$51,0,AM239*$AY$102)))))))))</f>
        <v>0</v>
      </c>
      <c r="AZ239" s="172">
        <f>IF(K239=$K$53,0,IF(K239=$K$54,0,IF(K239=$K$55,0,IF(K239=$K$56,0,IF(K239=$K$58,0,IF(K239=$K$50,0,IF(K239=$K$65,0,IF(K239=$K$57,0,IF(K239=$K$51,0,AM239*$AZ$102)))))))))</f>
        <v>0</v>
      </c>
      <c r="BA239" s="172">
        <f t="shared" si="50"/>
        <v>0</v>
      </c>
      <c r="BB239" s="173">
        <f>IF($BA$97=1,AQ239*$BB$102,IF(K239=$K$50,0,IF(K239=$K$53,0,IF(K239=$K$54,0,IF(K239=$K$55,0,IF(K239=$K$56,0,IF(K239=$K$57,0,IF(K239=$K$58,0,IF(K239=$K$65,0,IF(K239=$K$66,0,IF(K239=$K$67,0,IF(K239=$K$68,0,IF(K239=$K$69,0,IF(K239=$K$51,0,1)))))))))))*AQ239*$BB$102)))</f>
        <v>0</v>
      </c>
      <c r="BC239" s="172">
        <f t="shared" si="51"/>
        <v>0</v>
      </c>
      <c r="BD239" s="172">
        <f t="shared" si="52"/>
        <v>0</v>
      </c>
      <c r="BE239" s="172">
        <f>IF($BE$95=I239,$BE$97,IF(I239=$BE$96,$BE$97,1))*($BE$102*AQ239)*$AZ$97</f>
        <v>0</v>
      </c>
      <c r="BF239" s="172">
        <f>IF('[1]Cockpit Retorno'!$C$65=Sim,Mestre!BA239,SUM(BB239:BE239)+(IF(K239=$K$56,AQ239*MOE_IRRF_LR,0)))</f>
        <v>0</v>
      </c>
      <c r="BG239" s="174">
        <f>IF(AA239&gt;0,0,IF(Z239=$Z$82,AG239*1,(IF(Z239=$Z$81,AG239*1,0))))</f>
        <v>0</v>
      </c>
      <c r="BH239" s="174">
        <f>IF(AA239&gt;0,0,IF(Z239=$Z$83,AG239*1,IF(Z239=$Z$81,AG239*1,0)))</f>
        <v>0</v>
      </c>
      <c r="BI239" s="174">
        <f>IF(AA239&gt;0,0,IF(Z239=$Z$84,AG239*1,IF(Z239=$Z$93,AG239*2,IF(Z239=$Z$100,AG239,IF(Z239=$Z$81,AG239*2,IF(Z239=$Z$80,AG239*1,IF(Z239=$Z$79,AG239*3,IF(Z239=$Z$78,AG239*2,0))))))))</f>
        <v>0</v>
      </c>
      <c r="BJ239" s="174">
        <f>IF(AA239&gt;0,0,IF(Z239=$Z$85,AG239,IF(Z239=$Z$93,AG239,IF(Z239=$Z$100,AG239,IF(Z239=$Z$81,AG239*1,IF(Z239=$Z$80,AG239*2,IF(Z239=$Z$79,AG239*2,IF(Z239=$Z$78,AG239*2,0))))))))</f>
        <v>0</v>
      </c>
      <c r="BK239" s="174">
        <f>IF(AA239&gt;0,0,IF(Z239=$Z$92,AG239,0))</f>
        <v>0</v>
      </c>
      <c r="BL239" s="174">
        <f>IF(AA239&gt;0,0,IF(Z239=$Z$91,AG239,0))</f>
        <v>0</v>
      </c>
      <c r="BM239" s="174">
        <f>IF(AA239&gt;0,0,IF(Z239=$Z$86,AG239,0))</f>
        <v>0</v>
      </c>
      <c r="BN239" s="174">
        <f>IF(AA239&gt;0,0,IF(Z239=$Z$87,AG239,0))</f>
        <v>0</v>
      </c>
      <c r="BO239" s="174">
        <f>IF(AA239&gt;0,0,IF(Z239=$Z$88,AG239,0))</f>
        <v>0</v>
      </c>
      <c r="BP239" s="174">
        <f>IF(AA239&gt;0,0,IF(Z239=$Z$89,AG239,0))</f>
        <v>0</v>
      </c>
      <c r="BQ239" s="174">
        <f>IF(AA239&gt;0,0,IF(Z239=$Z$90,AG239,0))</f>
        <v>0</v>
      </c>
      <c r="BR239" s="174">
        <f>IF(Z239=$Z$82,AA239*AG239,0)</f>
        <v>0</v>
      </c>
      <c r="BS239" s="174">
        <f>IF(Z239=$Z$83,AA239*AG239,0)</f>
        <v>0</v>
      </c>
      <c r="BT239" s="174">
        <f>IF(AA239&lt;1,0,IF(Z239=$Z$84,AA239*AG239,IF(Z239=$Z$93,"ERRO",IF(Z239=$Z$100,"ERRO",0))))</f>
        <v>0</v>
      </c>
      <c r="BU239" s="174">
        <f>IF(AA239&lt;1,0,IF(Z239=$Z$85,AA239*AG239,IF(Z239=$Z$93,"ERRO",IF(Z239=$Z$100,"ERRO",0))))</f>
        <v>0</v>
      </c>
      <c r="BV239" s="174">
        <f>IF(Z239=$Z$92,AA239*AG239,0)</f>
        <v>0</v>
      </c>
      <c r="BW239" s="174">
        <f>IF(Z239=$Z$91,AA239*AG239,0)</f>
        <v>0</v>
      </c>
      <c r="BX239" s="174">
        <f>IF(Z239=$Z$86,AA239*AG239,0)</f>
        <v>0</v>
      </c>
      <c r="BY239" s="174">
        <f>IF(Z239=$Z$87,AA239*AG239,0)</f>
        <v>0</v>
      </c>
      <c r="BZ239" s="174">
        <f>IF(Z239=$Z$88,AA239*AG239,0)</f>
        <v>0</v>
      </c>
      <c r="CA239" s="174">
        <f>IF(Z239=$Z$89,AA239*AG239,0)</f>
        <v>0</v>
      </c>
      <c r="CB239" s="174">
        <f>IF(Z239=$Z$90,AA239*AG239,0)</f>
        <v>0</v>
      </c>
      <c r="CC239" s="175">
        <f>IFERROR(IF(L239=$L$49,AG239*AH239*(1+AI239)*(1-AK239)*(1-AL239),0),0)</f>
        <v>274.96287000000001</v>
      </c>
      <c r="CD239" s="203"/>
      <c r="CE239" s="203"/>
      <c r="CF239" s="204"/>
      <c r="CG239" s="203"/>
      <c r="CH239" s="204"/>
      <c r="CI239" s="203"/>
      <c r="CJ239" s="205"/>
      <c r="CK239" s="205"/>
      <c r="CL239" s="205"/>
      <c r="CM239" s="205"/>
      <c r="CN239" s="206"/>
      <c r="CO239" s="204"/>
      <c r="CP239" s="207"/>
      <c r="CQ239" s="208"/>
      <c r="CR239" s="209"/>
      <c r="CS239" s="49"/>
      <c r="CT239" s="49"/>
      <c r="CU239" s="49"/>
      <c r="CV239" s="49"/>
      <c r="CW239" s="49"/>
      <c r="CX239" s="49"/>
      <c r="CY239" s="49"/>
      <c r="CZ239" s="49"/>
      <c r="DA239" s="49"/>
      <c r="DB239" s="49"/>
      <c r="DC239" s="49"/>
      <c r="DD239" s="49"/>
      <c r="DE239" s="49"/>
      <c r="DF239" s="49"/>
      <c r="DG239" s="49"/>
      <c r="DH239" s="49"/>
      <c r="DI239" s="49"/>
      <c r="DJ239" s="49"/>
      <c r="DK239" s="49"/>
      <c r="DL239" s="49"/>
      <c r="DM239" s="49"/>
      <c r="DN239" s="49"/>
      <c r="DO239" s="49"/>
      <c r="DP239" s="49"/>
      <c r="DQ239" s="49"/>
      <c r="DR239" s="49"/>
      <c r="DS239" s="49"/>
      <c r="DT239" s="49"/>
      <c r="DU239" s="49"/>
      <c r="DV239" s="49"/>
      <c r="DW239" s="49"/>
      <c r="DX239" s="49"/>
      <c r="DY239" s="49"/>
      <c r="DZ239" s="49"/>
      <c r="EA239" s="49"/>
      <c r="EB239" s="49"/>
      <c r="EC239" s="49"/>
      <c r="ED239" s="49"/>
      <c r="EE239" s="49"/>
      <c r="EF239" s="49"/>
      <c r="EG239" s="49"/>
      <c r="EH239" s="49"/>
      <c r="EI239" s="49"/>
      <c r="EJ239" s="49"/>
      <c r="EK239" s="49"/>
      <c r="EL239" s="49"/>
      <c r="EM239" s="49"/>
      <c r="EN239" s="49"/>
      <c r="EO239" s="49"/>
      <c r="EP239" s="49"/>
      <c r="EQ239" s="49"/>
      <c r="ER239" s="49"/>
      <c r="ES239" s="49"/>
      <c r="ET239" s="49"/>
      <c r="EU239" s="49"/>
      <c r="EV239" s="49"/>
      <c r="EW239" s="49"/>
      <c r="EX239" s="49"/>
      <c r="EY239" s="49"/>
      <c r="EZ239" s="49"/>
      <c r="FA239" s="49"/>
    </row>
    <row r="240" spans="1:157" s="210" customFormat="1" ht="38.25" x14ac:dyDescent="0.25">
      <c r="A240" s="113"/>
      <c r="B240" s="113"/>
      <c r="C240" s="113"/>
      <c r="D240" s="148"/>
      <c r="E240" s="115"/>
      <c r="F240" s="116"/>
      <c r="G240" s="149"/>
      <c r="H240" s="150" t="s">
        <v>7</v>
      </c>
      <c r="I240" s="151" t="str">
        <f t="shared" si="46"/>
        <v>Mercadorias</v>
      </c>
      <c r="J240" s="150" t="s">
        <v>15</v>
      </c>
      <c r="K240" s="152" t="s">
        <v>7</v>
      </c>
      <c r="L240" s="153" t="s">
        <v>21</v>
      </c>
      <c r="M240" s="154" t="s">
        <v>290</v>
      </c>
      <c r="N240" s="155" t="s">
        <v>370</v>
      </c>
      <c r="O240" s="155" t="s">
        <v>343</v>
      </c>
      <c r="P240" s="155"/>
      <c r="Q240" s="155"/>
      <c r="R240" s="155"/>
      <c r="S240" s="156"/>
      <c r="T240" s="156"/>
      <c r="U240" s="150"/>
      <c r="V240" s="150"/>
      <c r="W240" s="150"/>
      <c r="X240" s="157" t="s">
        <v>351</v>
      </c>
      <c r="Y240" s="150"/>
      <c r="Z240" s="150"/>
      <c r="AA240" s="158"/>
      <c r="AB240" s="155"/>
      <c r="AC240" s="150"/>
      <c r="AD240" s="155"/>
      <c r="AE240" s="155"/>
      <c r="AF240" s="150"/>
      <c r="AG240" s="159">
        <v>25</v>
      </c>
      <c r="AH240" s="159">
        <v>60.877800000000008</v>
      </c>
      <c r="AI240" s="202">
        <v>0</v>
      </c>
      <c r="AJ240" s="161">
        <v>7.0000000000000007E-2</v>
      </c>
      <c r="AK240" s="162">
        <v>0.05</v>
      </c>
      <c r="AL240" s="163"/>
      <c r="AM240" s="164">
        <f>(((IF(L240=$L$101,1,IF(L240=$L$47,1,0))*(AH240*(1-AK240)))*AG240)*(1-AL240))</f>
        <v>0</v>
      </c>
      <c r="AN240" s="165">
        <f>IF(K240=$K$50,AM240,IF(K240=$K$53,AM240,IF(K240=$K$54,AM240,IF(K240=$K$55,AM240,IF(K240=$K$56,AM240,IF(K240=$K$57,AM240,IF(K240=$K$58,AM240,IF(K240=$K$65,AM240,IF(K240=$K$66,AM240,IF(K240=$K$67,AM240,IF(K240=$K$68,AM240,IF(K240=$K$69,AM240,IF(K240=$K$51,AM240,(AM240*(1+AI240)))))))))))))))</f>
        <v>0</v>
      </c>
      <c r="AO240" s="166">
        <v>1.4</v>
      </c>
      <c r="AP240" s="160">
        <f t="shared" si="47"/>
        <v>0</v>
      </c>
      <c r="AQ240" s="167">
        <f t="shared" si="45"/>
        <v>0</v>
      </c>
      <c r="AR240" s="160">
        <f t="shared" si="48"/>
        <v>0</v>
      </c>
      <c r="AS240" s="168">
        <f t="shared" si="49"/>
        <v>0</v>
      </c>
      <c r="AT240" s="169" t="str">
        <f>K240</f>
        <v>MI</v>
      </c>
      <c r="AU240" s="169" t="str">
        <f>I240</f>
        <v>Mercadorias</v>
      </c>
      <c r="AV240" s="170"/>
      <c r="AW240" s="171">
        <f>IF(K240=$K$50,0,IF(K240=$K$53,0,IF(K240=$K$54,0,IF(K240=$K$55,0,IF(K240=$K$56,0,IF(K240=$K$57,0,IF(K240=$K$58,0,IF(K240=$K$65,0,IF(K240=$K$66,0,IF(K240=$K$67,0,IF(K240=$K$68,0,IF(K240=$K$69,0,IF(K240=$K$51,0,1))))))))))))*AM240*AI240)</f>
        <v>0</v>
      </c>
      <c r="AX240" s="172">
        <f>IF(K240=$K$50,0,IF(K240=$K$53,0,IF(K240=$K$54,0,IF(K240=$K$55,0,IF(K240=$K$56,0,IF(K240=$K$57,0,IF(K240=$K$58,0,IF(K240=$K$65,0,IF(K240=$K$66,0,IF(K240=$K$67,0,IF(K240=$K$68,0,IF(K240=$K$69,0,IF(K240=$K$51,0,1))))))))))))*AM240*AJ240*$AX$94)</f>
        <v>0</v>
      </c>
      <c r="AY240" s="172">
        <f>IF(K240=$K$53,0,IF(K240=$K$54,0,IF(K240=$K$55,0,IF(K240=$K$56,0,IF(K240=$K$58,0,IF(K240=$K$50,0,IF(K240=$K$65,0,IF(K240=$K$57,0,IF(K240=$K$51,0,AM240*$AY$102)))))))))</f>
        <v>0</v>
      </c>
      <c r="AZ240" s="172">
        <f>IF(K240=$K$53,0,IF(K240=$K$54,0,IF(K240=$K$55,0,IF(K240=$K$56,0,IF(K240=$K$58,0,IF(K240=$K$50,0,IF(K240=$K$65,0,IF(K240=$K$57,0,IF(K240=$K$51,0,AM240*$AZ$102)))))))))</f>
        <v>0</v>
      </c>
      <c r="BA240" s="172">
        <f t="shared" si="50"/>
        <v>0</v>
      </c>
      <c r="BB240" s="173">
        <f>IF($BA$97=1,AQ240*$BB$102,IF(K240=$K$50,0,IF(K240=$K$53,0,IF(K240=$K$54,0,IF(K240=$K$55,0,IF(K240=$K$56,0,IF(K240=$K$57,0,IF(K240=$K$58,0,IF(K240=$K$65,0,IF(K240=$K$66,0,IF(K240=$K$67,0,IF(K240=$K$68,0,IF(K240=$K$69,0,IF(K240=$K$51,0,1)))))))))))*AQ240*$BB$102)))</f>
        <v>0</v>
      </c>
      <c r="BC240" s="172">
        <f t="shared" si="51"/>
        <v>0</v>
      </c>
      <c r="BD240" s="172">
        <f t="shared" si="52"/>
        <v>0</v>
      </c>
      <c r="BE240" s="172">
        <f>IF($BE$95=I240,$BE$97,IF(I240=$BE$96,$BE$97,1))*($BE$102*AQ240)*$AZ$97</f>
        <v>0</v>
      </c>
      <c r="BF240" s="172">
        <f>IF('[1]Cockpit Retorno'!$C$65=Sim,Mestre!BA240,SUM(BB240:BE240)+(IF(K240=$K$56,AQ240*MOE_IRRF_LR,0)))</f>
        <v>0</v>
      </c>
      <c r="BG240" s="174">
        <f>IF(AA240&gt;0,0,IF(Z240=$Z$82,AG240*1,(IF(Z240=$Z$81,AG240*1,0))))</f>
        <v>0</v>
      </c>
      <c r="BH240" s="174">
        <f>IF(AA240&gt;0,0,IF(Z240=$Z$83,AG240*1,IF(Z240=$Z$81,AG240*1,0)))</f>
        <v>0</v>
      </c>
      <c r="BI240" s="174">
        <f>IF(AA240&gt;0,0,IF(Z240=$Z$84,AG240*1,IF(Z240=$Z$93,AG240*2,IF(Z240=$Z$100,AG240,IF(Z240=$Z$81,AG240*2,IF(Z240=$Z$80,AG240*1,IF(Z240=$Z$79,AG240*3,IF(Z240=$Z$78,AG240*2,0))))))))</f>
        <v>0</v>
      </c>
      <c r="BJ240" s="174">
        <f>IF(AA240&gt;0,0,IF(Z240=$Z$85,AG240,IF(Z240=$Z$93,AG240,IF(Z240=$Z$100,AG240,IF(Z240=$Z$81,AG240*1,IF(Z240=$Z$80,AG240*2,IF(Z240=$Z$79,AG240*2,IF(Z240=$Z$78,AG240*2,0))))))))</f>
        <v>0</v>
      </c>
      <c r="BK240" s="174">
        <f>IF(AA240&gt;0,0,IF(Z240=$Z$92,AG240,0))</f>
        <v>0</v>
      </c>
      <c r="BL240" s="174">
        <f>IF(AA240&gt;0,0,IF(Z240=$Z$91,AG240,0))</f>
        <v>0</v>
      </c>
      <c r="BM240" s="174">
        <f>IF(AA240&gt;0,0,IF(Z240=$Z$86,AG240,0))</f>
        <v>0</v>
      </c>
      <c r="BN240" s="174">
        <f>IF(AA240&gt;0,0,IF(Z240=$Z$87,AG240,0))</f>
        <v>0</v>
      </c>
      <c r="BO240" s="174">
        <f>IF(AA240&gt;0,0,IF(Z240=$Z$88,AG240,0))</f>
        <v>0</v>
      </c>
      <c r="BP240" s="174">
        <f>IF(AA240&gt;0,0,IF(Z240=$Z$89,AG240,0))</f>
        <v>0</v>
      </c>
      <c r="BQ240" s="174">
        <f>IF(AA240&gt;0,0,IF(Z240=$Z$90,AG240,0))</f>
        <v>0</v>
      </c>
      <c r="BR240" s="174">
        <f>IF(Z240=$Z$82,AA240*AG240,0)</f>
        <v>0</v>
      </c>
      <c r="BS240" s="174">
        <f>IF(Z240=$Z$83,AA240*AG240,0)</f>
        <v>0</v>
      </c>
      <c r="BT240" s="174">
        <f>IF(AA240&lt;1,0,IF(Z240=$Z$84,AA240*AG240,IF(Z240=$Z$93,"ERRO",IF(Z240=$Z$100,"ERRO",0))))</f>
        <v>0</v>
      </c>
      <c r="BU240" s="174">
        <f>IF(AA240&lt;1,0,IF(Z240=$Z$85,AA240*AG240,IF(Z240=$Z$93,"ERRO",IF(Z240=$Z$100,"ERRO",0))))</f>
        <v>0</v>
      </c>
      <c r="BV240" s="174">
        <f>IF(Z240=$Z$92,AA240*AG240,0)</f>
        <v>0</v>
      </c>
      <c r="BW240" s="174">
        <f>IF(Z240=$Z$91,AA240*AG240,0)</f>
        <v>0</v>
      </c>
      <c r="BX240" s="174">
        <f>IF(Z240=$Z$86,AA240*AG240,0)</f>
        <v>0</v>
      </c>
      <c r="BY240" s="174">
        <f>IF(Z240=$Z$87,AA240*AG240,0)</f>
        <v>0</v>
      </c>
      <c r="BZ240" s="174">
        <f>IF(Z240=$Z$88,AA240*AG240,0)</f>
        <v>0</v>
      </c>
      <c r="CA240" s="174">
        <f>IF(Z240=$Z$89,AA240*AG240,0)</f>
        <v>0</v>
      </c>
      <c r="CB240" s="174">
        <f>IF(Z240=$Z$90,AA240*AG240,0)</f>
        <v>0</v>
      </c>
      <c r="CC240" s="175">
        <f>IFERROR(IF(L240=$L$49,AG240*AH240*(1+AI240)*(1-AK240)*(1-AL240),0),0)</f>
        <v>1445.8477500000001</v>
      </c>
      <c r="CD240" s="203"/>
      <c r="CE240" s="203"/>
      <c r="CF240" s="204"/>
      <c r="CG240" s="203"/>
      <c r="CH240" s="204"/>
      <c r="CI240" s="203"/>
      <c r="CJ240" s="205"/>
      <c r="CK240" s="205"/>
      <c r="CL240" s="205"/>
      <c r="CM240" s="205"/>
      <c r="CN240" s="206"/>
      <c r="CO240" s="204"/>
      <c r="CP240" s="207"/>
      <c r="CQ240" s="208"/>
      <c r="CR240" s="209"/>
      <c r="CS240" s="49"/>
      <c r="CT240" s="49"/>
      <c r="CU240" s="49"/>
      <c r="CV240" s="49"/>
      <c r="CW240" s="49"/>
      <c r="CX240" s="49"/>
      <c r="CY240" s="49"/>
      <c r="CZ240" s="49"/>
      <c r="DA240" s="49"/>
      <c r="DB240" s="49"/>
      <c r="DC240" s="49"/>
      <c r="DD240" s="49"/>
      <c r="DE240" s="49"/>
      <c r="DF240" s="49"/>
      <c r="DG240" s="49"/>
      <c r="DH240" s="49"/>
      <c r="DI240" s="49"/>
      <c r="DJ240" s="49"/>
      <c r="DK240" s="49"/>
      <c r="DL240" s="49"/>
      <c r="DM240" s="49"/>
      <c r="DN240" s="49"/>
      <c r="DO240" s="49"/>
      <c r="DP240" s="49"/>
      <c r="DQ240" s="49"/>
      <c r="DR240" s="49"/>
      <c r="DS240" s="49"/>
      <c r="DT240" s="49"/>
      <c r="DU240" s="49"/>
      <c r="DV240" s="49"/>
      <c r="DW240" s="49"/>
      <c r="DX240" s="49"/>
      <c r="DY240" s="49"/>
      <c r="DZ240" s="49"/>
      <c r="EA240" s="49"/>
      <c r="EB240" s="49"/>
      <c r="EC240" s="49"/>
      <c r="ED240" s="49"/>
      <c r="EE240" s="49"/>
      <c r="EF240" s="49"/>
      <c r="EG240" s="49"/>
      <c r="EH240" s="49"/>
      <c r="EI240" s="49"/>
      <c r="EJ240" s="49"/>
      <c r="EK240" s="49"/>
      <c r="EL240" s="49"/>
      <c r="EM240" s="49"/>
      <c r="EN240" s="49"/>
      <c r="EO240" s="49"/>
      <c r="EP240" s="49"/>
      <c r="EQ240" s="49"/>
      <c r="ER240" s="49"/>
      <c r="ES240" s="49"/>
      <c r="ET240" s="49"/>
      <c r="EU240" s="49"/>
      <c r="EV240" s="49"/>
      <c r="EW240" s="49"/>
      <c r="EX240" s="49"/>
      <c r="EY240" s="49"/>
      <c r="EZ240" s="49"/>
      <c r="FA240" s="49"/>
    </row>
    <row r="241" spans="1:157" s="210" customFormat="1" ht="38.25" x14ac:dyDescent="0.25">
      <c r="A241" s="113"/>
      <c r="B241" s="113"/>
      <c r="C241" s="113"/>
      <c r="D241" s="148"/>
      <c r="E241" s="115"/>
      <c r="F241" s="116"/>
      <c r="G241" s="149"/>
      <c r="H241" s="150" t="s">
        <v>7</v>
      </c>
      <c r="I241" s="151" t="str">
        <f t="shared" si="46"/>
        <v>Mercadorias</v>
      </c>
      <c r="J241" s="150" t="s">
        <v>15</v>
      </c>
      <c r="K241" s="152" t="s">
        <v>7</v>
      </c>
      <c r="L241" s="153" t="s">
        <v>21</v>
      </c>
      <c r="M241" s="154" t="s">
        <v>290</v>
      </c>
      <c r="N241" s="155" t="s">
        <v>370</v>
      </c>
      <c r="O241" s="155" t="s">
        <v>343</v>
      </c>
      <c r="P241" s="155"/>
      <c r="Q241" s="155"/>
      <c r="R241" s="155"/>
      <c r="S241" s="156"/>
      <c r="T241" s="156"/>
      <c r="U241" s="150"/>
      <c r="V241" s="150"/>
      <c r="W241" s="150"/>
      <c r="X241" s="157" t="s">
        <v>388</v>
      </c>
      <c r="Y241" s="150"/>
      <c r="Z241" s="150"/>
      <c r="AA241" s="158"/>
      <c r="AB241" s="155"/>
      <c r="AC241" s="150"/>
      <c r="AD241" s="155"/>
      <c r="AE241" s="155"/>
      <c r="AF241" s="150"/>
      <c r="AG241" s="159">
        <v>25</v>
      </c>
      <c r="AH241" s="159">
        <v>75.57180000000001</v>
      </c>
      <c r="AI241" s="202">
        <v>0</v>
      </c>
      <c r="AJ241" s="161">
        <v>7.0000000000000007E-2</v>
      </c>
      <c r="AK241" s="162">
        <v>0.05</v>
      </c>
      <c r="AL241" s="163"/>
      <c r="AM241" s="164">
        <f>(((IF(L241=$L$101,1,IF(L241=$L$47,1,0))*(AH241*(1-AK241)))*AG241)*(1-AL241))</f>
        <v>0</v>
      </c>
      <c r="AN241" s="165">
        <f>IF(K241=$K$50,AM241,IF(K241=$K$53,AM241,IF(K241=$K$54,AM241,IF(K241=$K$55,AM241,IF(K241=$K$56,AM241,IF(K241=$K$57,AM241,IF(K241=$K$58,AM241,IF(K241=$K$65,AM241,IF(K241=$K$66,AM241,IF(K241=$K$67,AM241,IF(K241=$K$68,AM241,IF(K241=$K$69,AM241,IF(K241=$K$51,AM241,(AM241*(1+AI241)))))))))))))))</f>
        <v>0</v>
      </c>
      <c r="AO241" s="166">
        <v>1.4</v>
      </c>
      <c r="AP241" s="160">
        <f t="shared" si="47"/>
        <v>0</v>
      </c>
      <c r="AQ241" s="167">
        <f t="shared" si="45"/>
        <v>0</v>
      </c>
      <c r="AR241" s="160">
        <f t="shared" si="48"/>
        <v>0</v>
      </c>
      <c r="AS241" s="168">
        <f t="shared" si="49"/>
        <v>0</v>
      </c>
      <c r="AT241" s="169" t="str">
        <f>K241</f>
        <v>MI</v>
      </c>
      <c r="AU241" s="169" t="str">
        <f>I241</f>
        <v>Mercadorias</v>
      </c>
      <c r="AV241" s="170"/>
      <c r="AW241" s="171">
        <f>IF(K241=$K$50,0,IF(K241=$K$53,0,IF(K241=$K$54,0,IF(K241=$K$55,0,IF(K241=$K$56,0,IF(K241=$K$57,0,IF(K241=$K$58,0,IF(K241=$K$65,0,IF(K241=$K$66,0,IF(K241=$K$67,0,IF(K241=$K$68,0,IF(K241=$K$69,0,IF(K241=$K$51,0,1))))))))))))*AM241*AI241)</f>
        <v>0</v>
      </c>
      <c r="AX241" s="172">
        <f>IF(K241=$K$50,0,IF(K241=$K$53,0,IF(K241=$K$54,0,IF(K241=$K$55,0,IF(K241=$K$56,0,IF(K241=$K$57,0,IF(K241=$K$58,0,IF(K241=$K$65,0,IF(K241=$K$66,0,IF(K241=$K$67,0,IF(K241=$K$68,0,IF(K241=$K$69,0,IF(K241=$K$51,0,1))))))))))))*AM241*AJ241*$AX$94)</f>
        <v>0</v>
      </c>
      <c r="AY241" s="172">
        <f>IF(K241=$K$53,0,IF(K241=$K$54,0,IF(K241=$K$55,0,IF(K241=$K$56,0,IF(K241=$K$58,0,IF(K241=$K$50,0,IF(K241=$K$65,0,IF(K241=$K$57,0,IF(K241=$K$51,0,AM241*$AY$102)))))))))</f>
        <v>0</v>
      </c>
      <c r="AZ241" s="172">
        <f>IF(K241=$K$53,0,IF(K241=$K$54,0,IF(K241=$K$55,0,IF(K241=$K$56,0,IF(K241=$K$58,0,IF(K241=$K$50,0,IF(K241=$K$65,0,IF(K241=$K$57,0,IF(K241=$K$51,0,AM241*$AZ$102)))))))))</f>
        <v>0</v>
      </c>
      <c r="BA241" s="172">
        <f t="shared" si="50"/>
        <v>0</v>
      </c>
      <c r="BB241" s="173">
        <f>IF($BA$97=1,AQ241*$BB$102,IF(K241=$K$50,0,IF(K241=$K$53,0,IF(K241=$K$54,0,IF(K241=$K$55,0,IF(K241=$K$56,0,IF(K241=$K$57,0,IF(K241=$K$58,0,IF(K241=$K$65,0,IF(K241=$K$66,0,IF(K241=$K$67,0,IF(K241=$K$68,0,IF(K241=$K$69,0,IF(K241=$K$51,0,1)))))))))))*AQ241*$BB$102)))</f>
        <v>0</v>
      </c>
      <c r="BC241" s="172">
        <f t="shared" si="51"/>
        <v>0</v>
      </c>
      <c r="BD241" s="172">
        <f t="shared" si="52"/>
        <v>0</v>
      </c>
      <c r="BE241" s="172">
        <f>IF($BE$95=I241,$BE$97,IF(I241=$BE$96,$BE$97,1))*($BE$102*AQ241)*$AZ$97</f>
        <v>0</v>
      </c>
      <c r="BF241" s="172">
        <f>IF('[1]Cockpit Retorno'!$C$65=Sim,Mestre!BA241,SUM(BB241:BE241)+(IF(K241=$K$56,AQ241*MOE_IRRF_LR,0)))</f>
        <v>0</v>
      </c>
      <c r="BG241" s="174">
        <f>IF(AA241&gt;0,0,IF(Z241=$Z$82,AG241*1,(IF(Z241=$Z$81,AG241*1,0))))</f>
        <v>0</v>
      </c>
      <c r="BH241" s="174">
        <f>IF(AA241&gt;0,0,IF(Z241=$Z$83,AG241*1,IF(Z241=$Z$81,AG241*1,0)))</f>
        <v>0</v>
      </c>
      <c r="BI241" s="174">
        <f>IF(AA241&gt;0,0,IF(Z241=$Z$84,AG241*1,IF(Z241=$Z$93,AG241*2,IF(Z241=$Z$100,AG241,IF(Z241=$Z$81,AG241*2,IF(Z241=$Z$80,AG241*1,IF(Z241=$Z$79,AG241*3,IF(Z241=$Z$78,AG241*2,0))))))))</f>
        <v>0</v>
      </c>
      <c r="BJ241" s="174">
        <f>IF(AA241&gt;0,0,IF(Z241=$Z$85,AG241,IF(Z241=$Z$93,AG241,IF(Z241=$Z$100,AG241,IF(Z241=$Z$81,AG241*1,IF(Z241=$Z$80,AG241*2,IF(Z241=$Z$79,AG241*2,IF(Z241=$Z$78,AG241*2,0))))))))</f>
        <v>0</v>
      </c>
      <c r="BK241" s="174">
        <f>IF(AA241&gt;0,0,IF(Z241=$Z$92,AG241,0))</f>
        <v>0</v>
      </c>
      <c r="BL241" s="174">
        <f>IF(AA241&gt;0,0,IF(Z241=$Z$91,AG241,0))</f>
        <v>0</v>
      </c>
      <c r="BM241" s="174">
        <f>IF(AA241&gt;0,0,IF(Z241=$Z$86,AG241,0))</f>
        <v>0</v>
      </c>
      <c r="BN241" s="174">
        <f>IF(AA241&gt;0,0,IF(Z241=$Z$87,AG241,0))</f>
        <v>0</v>
      </c>
      <c r="BO241" s="174">
        <f>IF(AA241&gt;0,0,IF(Z241=$Z$88,AG241,0))</f>
        <v>0</v>
      </c>
      <c r="BP241" s="174">
        <f>IF(AA241&gt;0,0,IF(Z241=$Z$89,AG241,0))</f>
        <v>0</v>
      </c>
      <c r="BQ241" s="174">
        <f>IF(AA241&gt;0,0,IF(Z241=$Z$90,AG241,0))</f>
        <v>0</v>
      </c>
      <c r="BR241" s="174">
        <f>IF(Z241=$Z$82,AA241*AG241,0)</f>
        <v>0</v>
      </c>
      <c r="BS241" s="174">
        <f>IF(Z241=$Z$83,AA241*AG241,0)</f>
        <v>0</v>
      </c>
      <c r="BT241" s="174">
        <f>IF(AA241&lt;1,0,IF(Z241=$Z$84,AA241*AG241,IF(Z241=$Z$93,"ERRO",IF(Z241=$Z$100,"ERRO",0))))</f>
        <v>0</v>
      </c>
      <c r="BU241" s="174">
        <f>IF(AA241&lt;1,0,IF(Z241=$Z$85,AA241*AG241,IF(Z241=$Z$93,"ERRO",IF(Z241=$Z$100,"ERRO",0))))</f>
        <v>0</v>
      </c>
      <c r="BV241" s="174">
        <f>IF(Z241=$Z$92,AA241*AG241,0)</f>
        <v>0</v>
      </c>
      <c r="BW241" s="174">
        <f>IF(Z241=$Z$91,AA241*AG241,0)</f>
        <v>0</v>
      </c>
      <c r="BX241" s="174">
        <f>IF(Z241=$Z$86,AA241*AG241,0)</f>
        <v>0</v>
      </c>
      <c r="BY241" s="174">
        <f>IF(Z241=$Z$87,AA241*AG241,0)</f>
        <v>0</v>
      </c>
      <c r="BZ241" s="174">
        <f>IF(Z241=$Z$88,AA241*AG241,0)</f>
        <v>0</v>
      </c>
      <c r="CA241" s="174">
        <f>IF(Z241=$Z$89,AA241*AG241,0)</f>
        <v>0</v>
      </c>
      <c r="CB241" s="174">
        <f>IF(Z241=$Z$90,AA241*AG241,0)</f>
        <v>0</v>
      </c>
      <c r="CC241" s="175">
        <f>IFERROR(IF(L241=$L$49,AG241*AH241*(1+AI241)*(1-AK241)*(1-AL241),0),0)</f>
        <v>1794.8302500000002</v>
      </c>
      <c r="CD241" s="203"/>
      <c r="CE241" s="203"/>
      <c r="CF241" s="204"/>
      <c r="CG241" s="203"/>
      <c r="CH241" s="204"/>
      <c r="CI241" s="203"/>
      <c r="CJ241" s="205"/>
      <c r="CK241" s="205"/>
      <c r="CL241" s="205"/>
      <c r="CM241" s="205"/>
      <c r="CN241" s="206"/>
      <c r="CO241" s="204"/>
      <c r="CP241" s="207"/>
      <c r="CQ241" s="208"/>
      <c r="CR241" s="209"/>
      <c r="CS241" s="49"/>
      <c r="CT241" s="49"/>
      <c r="CU241" s="49"/>
      <c r="CV241" s="49"/>
      <c r="CW241" s="49"/>
      <c r="CX241" s="49"/>
      <c r="CY241" s="49"/>
      <c r="CZ241" s="49"/>
      <c r="DA241" s="49"/>
      <c r="DB241" s="49"/>
      <c r="DC241" s="49"/>
      <c r="DD241" s="49"/>
      <c r="DE241" s="49"/>
      <c r="DF241" s="49"/>
      <c r="DG241" s="49"/>
      <c r="DH241" s="49"/>
      <c r="DI241" s="49"/>
      <c r="DJ241" s="49"/>
      <c r="DK241" s="49"/>
      <c r="DL241" s="49"/>
      <c r="DM241" s="49"/>
      <c r="DN241" s="49"/>
      <c r="DO241" s="49"/>
      <c r="DP241" s="49"/>
      <c r="DQ241" s="49"/>
      <c r="DR241" s="49"/>
      <c r="DS241" s="49"/>
      <c r="DT241" s="49"/>
      <c r="DU241" s="49"/>
      <c r="DV241" s="49"/>
      <c r="DW241" s="49"/>
      <c r="DX241" s="49"/>
      <c r="DY241" s="49"/>
      <c r="DZ241" s="49"/>
      <c r="EA241" s="49"/>
      <c r="EB241" s="49"/>
      <c r="EC241" s="49"/>
      <c r="ED241" s="49"/>
      <c r="EE241" s="49"/>
      <c r="EF241" s="49"/>
      <c r="EG241" s="49"/>
      <c r="EH241" s="49"/>
      <c r="EI241" s="49"/>
      <c r="EJ241" s="49"/>
      <c r="EK241" s="49"/>
      <c r="EL241" s="49"/>
      <c r="EM241" s="49"/>
      <c r="EN241" s="49"/>
      <c r="EO241" s="49"/>
      <c r="EP241" s="49"/>
      <c r="EQ241" s="49"/>
      <c r="ER241" s="49"/>
      <c r="ES241" s="49"/>
      <c r="ET241" s="49"/>
      <c r="EU241" s="49"/>
      <c r="EV241" s="49"/>
      <c r="EW241" s="49"/>
      <c r="EX241" s="49"/>
      <c r="EY241" s="49"/>
      <c r="EZ241" s="49"/>
      <c r="FA241" s="49"/>
    </row>
    <row r="242" spans="1:157" s="210" customFormat="1" ht="38.25" x14ac:dyDescent="0.25">
      <c r="A242" s="113"/>
      <c r="B242" s="113"/>
      <c r="C242" s="113"/>
      <c r="D242" s="148"/>
      <c r="E242" s="115"/>
      <c r="F242" s="116"/>
      <c r="G242" s="149"/>
      <c r="H242" s="150" t="s">
        <v>7</v>
      </c>
      <c r="I242" s="151" t="str">
        <f t="shared" si="46"/>
        <v>Mercadorias</v>
      </c>
      <c r="J242" s="150" t="s">
        <v>15</v>
      </c>
      <c r="K242" s="152" t="s">
        <v>7</v>
      </c>
      <c r="L242" s="153" t="s">
        <v>21</v>
      </c>
      <c r="M242" s="154" t="s">
        <v>290</v>
      </c>
      <c r="N242" s="155" t="s">
        <v>370</v>
      </c>
      <c r="O242" s="155" t="s">
        <v>343</v>
      </c>
      <c r="P242" s="155"/>
      <c r="Q242" s="155"/>
      <c r="R242" s="155"/>
      <c r="S242" s="156"/>
      <c r="T242" s="156"/>
      <c r="U242" s="150"/>
      <c r="V242" s="150"/>
      <c r="W242" s="150"/>
      <c r="X242" s="157" t="s">
        <v>389</v>
      </c>
      <c r="Y242" s="150"/>
      <c r="Z242" s="150"/>
      <c r="AA242" s="158"/>
      <c r="AB242" s="155"/>
      <c r="AC242" s="150"/>
      <c r="AD242" s="155"/>
      <c r="AE242" s="155"/>
      <c r="AF242" s="150"/>
      <c r="AG242" s="159">
        <v>40</v>
      </c>
      <c r="AH242" s="159">
        <v>17.8095</v>
      </c>
      <c r="AI242" s="202">
        <v>0</v>
      </c>
      <c r="AJ242" s="161">
        <v>7.0000000000000007E-2</v>
      </c>
      <c r="AK242" s="162">
        <v>0.05</v>
      </c>
      <c r="AL242" s="163"/>
      <c r="AM242" s="164">
        <f>(((IF(L242=$L$101,1,IF(L242=$L$47,1,0))*(AH242*(1-AK242)))*AG242)*(1-AL242))</f>
        <v>0</v>
      </c>
      <c r="AN242" s="165">
        <f>IF(K242=$K$50,AM242,IF(K242=$K$53,AM242,IF(K242=$K$54,AM242,IF(K242=$K$55,AM242,IF(K242=$K$56,AM242,IF(K242=$K$57,AM242,IF(K242=$K$58,AM242,IF(K242=$K$65,AM242,IF(K242=$K$66,AM242,IF(K242=$K$67,AM242,IF(K242=$K$68,AM242,IF(K242=$K$69,AM242,IF(K242=$K$51,AM242,(AM242*(1+AI242)))))))))))))))</f>
        <v>0</v>
      </c>
      <c r="AO242" s="166">
        <v>1.4</v>
      </c>
      <c r="AP242" s="160">
        <f t="shared" si="47"/>
        <v>0</v>
      </c>
      <c r="AQ242" s="167">
        <f t="shared" si="45"/>
        <v>0</v>
      </c>
      <c r="AR242" s="160">
        <f t="shared" si="48"/>
        <v>0</v>
      </c>
      <c r="AS242" s="168">
        <f t="shared" si="49"/>
        <v>0</v>
      </c>
      <c r="AT242" s="169" t="str">
        <f>K242</f>
        <v>MI</v>
      </c>
      <c r="AU242" s="169" t="str">
        <f>I242</f>
        <v>Mercadorias</v>
      </c>
      <c r="AV242" s="170"/>
      <c r="AW242" s="171">
        <f>IF(K242=$K$50,0,IF(K242=$K$53,0,IF(K242=$K$54,0,IF(K242=$K$55,0,IF(K242=$K$56,0,IF(K242=$K$57,0,IF(K242=$K$58,0,IF(K242=$K$65,0,IF(K242=$K$66,0,IF(K242=$K$67,0,IF(K242=$K$68,0,IF(K242=$K$69,0,IF(K242=$K$51,0,1))))))))))))*AM242*AI242)</f>
        <v>0</v>
      </c>
      <c r="AX242" s="172">
        <f>IF(K242=$K$50,0,IF(K242=$K$53,0,IF(K242=$K$54,0,IF(K242=$K$55,0,IF(K242=$K$56,0,IF(K242=$K$57,0,IF(K242=$K$58,0,IF(K242=$K$65,0,IF(K242=$K$66,0,IF(K242=$K$67,0,IF(K242=$K$68,0,IF(K242=$K$69,0,IF(K242=$K$51,0,1))))))))))))*AM242*AJ242*$AX$94)</f>
        <v>0</v>
      </c>
      <c r="AY242" s="172">
        <f>IF(K242=$K$53,0,IF(K242=$K$54,0,IF(K242=$K$55,0,IF(K242=$K$56,0,IF(K242=$K$58,0,IF(K242=$K$50,0,IF(K242=$K$65,0,IF(K242=$K$57,0,IF(K242=$K$51,0,AM242*$AY$102)))))))))</f>
        <v>0</v>
      </c>
      <c r="AZ242" s="172">
        <f>IF(K242=$K$53,0,IF(K242=$K$54,0,IF(K242=$K$55,0,IF(K242=$K$56,0,IF(K242=$K$58,0,IF(K242=$K$50,0,IF(K242=$K$65,0,IF(K242=$K$57,0,IF(K242=$K$51,0,AM242*$AZ$102)))))))))</f>
        <v>0</v>
      </c>
      <c r="BA242" s="172">
        <f t="shared" si="50"/>
        <v>0</v>
      </c>
      <c r="BB242" s="173">
        <f>IF($BA$97=1,AQ242*$BB$102,IF(K242=$K$50,0,IF(K242=$K$53,0,IF(K242=$K$54,0,IF(K242=$K$55,0,IF(K242=$K$56,0,IF(K242=$K$57,0,IF(K242=$K$58,0,IF(K242=$K$65,0,IF(K242=$K$66,0,IF(K242=$K$67,0,IF(K242=$K$68,0,IF(K242=$K$69,0,IF(K242=$K$51,0,1)))))))))))*AQ242*$BB$102)))</f>
        <v>0</v>
      </c>
      <c r="BC242" s="172">
        <f t="shared" si="51"/>
        <v>0</v>
      </c>
      <c r="BD242" s="172">
        <f t="shared" si="52"/>
        <v>0</v>
      </c>
      <c r="BE242" s="172">
        <f>IF($BE$95=I242,$BE$97,IF(I242=$BE$96,$BE$97,1))*($BE$102*AQ242)*$AZ$97</f>
        <v>0</v>
      </c>
      <c r="BF242" s="172">
        <f>IF('[1]Cockpit Retorno'!$C$65=Sim,Mestre!BA242,SUM(BB242:BE242)+(IF(K242=$K$56,AQ242*MOE_IRRF_LR,0)))</f>
        <v>0</v>
      </c>
      <c r="BG242" s="174">
        <f>IF(AA242&gt;0,0,IF(Z242=$Z$82,AG242*1,(IF(Z242=$Z$81,AG242*1,0))))</f>
        <v>0</v>
      </c>
      <c r="BH242" s="174">
        <f>IF(AA242&gt;0,0,IF(Z242=$Z$83,AG242*1,IF(Z242=$Z$81,AG242*1,0)))</f>
        <v>0</v>
      </c>
      <c r="BI242" s="174">
        <f>IF(AA242&gt;0,0,IF(Z242=$Z$84,AG242*1,IF(Z242=$Z$93,AG242*2,IF(Z242=$Z$100,AG242,IF(Z242=$Z$81,AG242*2,IF(Z242=$Z$80,AG242*1,IF(Z242=$Z$79,AG242*3,IF(Z242=$Z$78,AG242*2,0))))))))</f>
        <v>0</v>
      </c>
      <c r="BJ242" s="174">
        <f>IF(AA242&gt;0,0,IF(Z242=$Z$85,AG242,IF(Z242=$Z$93,AG242,IF(Z242=$Z$100,AG242,IF(Z242=$Z$81,AG242*1,IF(Z242=$Z$80,AG242*2,IF(Z242=$Z$79,AG242*2,IF(Z242=$Z$78,AG242*2,0))))))))</f>
        <v>0</v>
      </c>
      <c r="BK242" s="174">
        <f>IF(AA242&gt;0,0,IF(Z242=$Z$92,AG242,0))</f>
        <v>0</v>
      </c>
      <c r="BL242" s="174">
        <f>IF(AA242&gt;0,0,IF(Z242=$Z$91,AG242,0))</f>
        <v>0</v>
      </c>
      <c r="BM242" s="174">
        <f>IF(AA242&gt;0,0,IF(Z242=$Z$86,AG242,0))</f>
        <v>0</v>
      </c>
      <c r="BN242" s="174">
        <f>IF(AA242&gt;0,0,IF(Z242=$Z$87,AG242,0))</f>
        <v>0</v>
      </c>
      <c r="BO242" s="174">
        <f>IF(AA242&gt;0,0,IF(Z242=$Z$88,AG242,0))</f>
        <v>0</v>
      </c>
      <c r="BP242" s="174">
        <f>IF(AA242&gt;0,0,IF(Z242=$Z$89,AG242,0))</f>
        <v>0</v>
      </c>
      <c r="BQ242" s="174">
        <f>IF(AA242&gt;0,0,IF(Z242=$Z$90,AG242,0))</f>
        <v>0</v>
      </c>
      <c r="BR242" s="174">
        <f>IF(Z242=$Z$82,AA242*AG242,0)</f>
        <v>0</v>
      </c>
      <c r="BS242" s="174">
        <f>IF(Z242=$Z$83,AA242*AG242,0)</f>
        <v>0</v>
      </c>
      <c r="BT242" s="174">
        <f>IF(AA242&lt;1,0,IF(Z242=$Z$84,AA242*AG242,IF(Z242=$Z$93,"ERRO",IF(Z242=$Z$100,"ERRO",0))))</f>
        <v>0</v>
      </c>
      <c r="BU242" s="174">
        <f>IF(AA242&lt;1,0,IF(Z242=$Z$85,AA242*AG242,IF(Z242=$Z$93,"ERRO",IF(Z242=$Z$100,"ERRO",0))))</f>
        <v>0</v>
      </c>
      <c r="BV242" s="174">
        <f>IF(Z242=$Z$92,AA242*AG242,0)</f>
        <v>0</v>
      </c>
      <c r="BW242" s="174">
        <f>IF(Z242=$Z$91,AA242*AG242,0)</f>
        <v>0</v>
      </c>
      <c r="BX242" s="174">
        <f>IF(Z242=$Z$86,AA242*AG242,0)</f>
        <v>0</v>
      </c>
      <c r="BY242" s="174">
        <f>IF(Z242=$Z$87,AA242*AG242,0)</f>
        <v>0</v>
      </c>
      <c r="BZ242" s="174">
        <f>IF(Z242=$Z$88,AA242*AG242,0)</f>
        <v>0</v>
      </c>
      <c r="CA242" s="174">
        <f>IF(Z242=$Z$89,AA242*AG242,0)</f>
        <v>0</v>
      </c>
      <c r="CB242" s="174">
        <f>IF(Z242=$Z$90,AA242*AG242,0)</f>
        <v>0</v>
      </c>
      <c r="CC242" s="175">
        <f>IFERROR(IF(L242=$L$49,AG242*AH242*(1+AI242)*(1-AK242)*(1-AL242),0),0)</f>
        <v>676.76099999999997</v>
      </c>
      <c r="CD242" s="203"/>
      <c r="CE242" s="203"/>
      <c r="CF242" s="204"/>
      <c r="CG242" s="203"/>
      <c r="CH242" s="204"/>
      <c r="CI242" s="203"/>
      <c r="CJ242" s="205"/>
      <c r="CK242" s="205"/>
      <c r="CL242" s="205"/>
      <c r="CM242" s="205"/>
      <c r="CN242" s="206"/>
      <c r="CO242" s="204"/>
      <c r="CP242" s="207"/>
      <c r="CQ242" s="208"/>
      <c r="CR242" s="209"/>
      <c r="CS242" s="49"/>
      <c r="CT242" s="49"/>
      <c r="CU242" s="49"/>
      <c r="CV242" s="49"/>
      <c r="CW242" s="49"/>
      <c r="CX242" s="49"/>
      <c r="CY242" s="49"/>
      <c r="CZ242" s="49"/>
      <c r="DA242" s="49"/>
      <c r="DB242" s="49"/>
      <c r="DC242" s="49"/>
      <c r="DD242" s="49"/>
      <c r="DE242" s="49"/>
      <c r="DF242" s="49"/>
      <c r="DG242" s="49"/>
      <c r="DH242" s="49"/>
      <c r="DI242" s="49"/>
      <c r="DJ242" s="49"/>
      <c r="DK242" s="49"/>
      <c r="DL242" s="49"/>
      <c r="DM242" s="49"/>
      <c r="DN242" s="49"/>
      <c r="DO242" s="49"/>
      <c r="DP242" s="49"/>
      <c r="DQ242" s="49"/>
      <c r="DR242" s="49"/>
      <c r="DS242" s="49"/>
      <c r="DT242" s="49"/>
      <c r="DU242" s="49"/>
      <c r="DV242" s="49"/>
      <c r="DW242" s="49"/>
      <c r="DX242" s="49"/>
      <c r="DY242" s="49"/>
      <c r="DZ242" s="49"/>
      <c r="EA242" s="49"/>
      <c r="EB242" s="49"/>
      <c r="EC242" s="49"/>
      <c r="ED242" s="49"/>
      <c r="EE242" s="49"/>
      <c r="EF242" s="49"/>
      <c r="EG242" s="49"/>
      <c r="EH242" s="49"/>
      <c r="EI242" s="49"/>
      <c r="EJ242" s="49"/>
      <c r="EK242" s="49"/>
      <c r="EL242" s="49"/>
      <c r="EM242" s="49"/>
      <c r="EN242" s="49"/>
      <c r="EO242" s="49"/>
      <c r="EP242" s="49"/>
      <c r="EQ242" s="49"/>
      <c r="ER242" s="49"/>
      <c r="ES242" s="49"/>
      <c r="ET242" s="49"/>
      <c r="EU242" s="49"/>
      <c r="EV242" s="49"/>
      <c r="EW242" s="49"/>
      <c r="EX242" s="49"/>
      <c r="EY242" s="49"/>
      <c r="EZ242" s="49"/>
      <c r="FA242" s="49"/>
    </row>
    <row r="243" spans="1:157" s="210" customFormat="1" ht="38.25" x14ac:dyDescent="0.25">
      <c r="A243" s="113"/>
      <c r="B243" s="113"/>
      <c r="C243" s="113"/>
      <c r="D243" s="148"/>
      <c r="E243" s="115"/>
      <c r="F243" s="116"/>
      <c r="G243" s="149"/>
      <c r="H243" s="150" t="s">
        <v>7</v>
      </c>
      <c r="I243" s="151" t="str">
        <f t="shared" si="46"/>
        <v>Mercadorias</v>
      </c>
      <c r="J243" s="150" t="s">
        <v>15</v>
      </c>
      <c r="K243" s="152" t="s">
        <v>7</v>
      </c>
      <c r="L243" s="153" t="s">
        <v>21</v>
      </c>
      <c r="M243" s="154" t="s">
        <v>290</v>
      </c>
      <c r="N243" s="155" t="s">
        <v>370</v>
      </c>
      <c r="O243" s="155" t="s">
        <v>343</v>
      </c>
      <c r="P243" s="155"/>
      <c r="Q243" s="155"/>
      <c r="R243" s="155"/>
      <c r="S243" s="156"/>
      <c r="T243" s="156"/>
      <c r="U243" s="150"/>
      <c r="V243" s="150"/>
      <c r="W243" s="150"/>
      <c r="X243" s="157" t="s">
        <v>390</v>
      </c>
      <c r="Y243" s="150"/>
      <c r="Z243" s="150"/>
      <c r="AA243" s="158"/>
      <c r="AB243" s="155"/>
      <c r="AC243" s="150"/>
      <c r="AD243" s="155"/>
      <c r="AE243" s="155"/>
      <c r="AF243" s="150"/>
      <c r="AG243" s="159">
        <v>10</v>
      </c>
      <c r="AH243" s="159">
        <v>32.726700000000001</v>
      </c>
      <c r="AI243" s="202">
        <v>0</v>
      </c>
      <c r="AJ243" s="161">
        <v>7.0000000000000007E-2</v>
      </c>
      <c r="AK243" s="162">
        <v>0.05</v>
      </c>
      <c r="AL243" s="163"/>
      <c r="AM243" s="164">
        <f>(((IF(L243=$L$101,1,IF(L243=$L$47,1,0))*(AH243*(1-AK243)))*AG243)*(1-AL243))</f>
        <v>0</v>
      </c>
      <c r="AN243" s="165">
        <f>IF(K243=$K$50,AM243,IF(K243=$K$53,AM243,IF(K243=$K$54,AM243,IF(K243=$K$55,AM243,IF(K243=$K$56,AM243,IF(K243=$K$57,AM243,IF(K243=$K$58,AM243,IF(K243=$K$65,AM243,IF(K243=$K$66,AM243,IF(K243=$K$67,AM243,IF(K243=$K$68,AM243,IF(K243=$K$69,AM243,IF(K243=$K$51,AM243,(AM243*(1+AI243)))))))))))))))</f>
        <v>0</v>
      </c>
      <c r="AO243" s="166">
        <v>1.4</v>
      </c>
      <c r="AP243" s="160">
        <f t="shared" si="47"/>
        <v>0</v>
      </c>
      <c r="AQ243" s="167">
        <f t="shared" si="45"/>
        <v>0</v>
      </c>
      <c r="AR243" s="160">
        <f t="shared" si="48"/>
        <v>0</v>
      </c>
      <c r="AS243" s="168">
        <f t="shared" si="49"/>
        <v>0</v>
      </c>
      <c r="AT243" s="169" t="str">
        <f>K243</f>
        <v>MI</v>
      </c>
      <c r="AU243" s="169" t="str">
        <f>I243</f>
        <v>Mercadorias</v>
      </c>
      <c r="AV243" s="170"/>
      <c r="AW243" s="171">
        <f>IF(K243=$K$50,0,IF(K243=$K$53,0,IF(K243=$K$54,0,IF(K243=$K$55,0,IF(K243=$K$56,0,IF(K243=$K$57,0,IF(K243=$K$58,0,IF(K243=$K$65,0,IF(K243=$K$66,0,IF(K243=$K$67,0,IF(K243=$K$68,0,IF(K243=$K$69,0,IF(K243=$K$51,0,1))))))))))))*AM243*AI243)</f>
        <v>0</v>
      </c>
      <c r="AX243" s="172">
        <f>IF(K243=$K$50,0,IF(K243=$K$53,0,IF(K243=$K$54,0,IF(K243=$K$55,0,IF(K243=$K$56,0,IF(K243=$K$57,0,IF(K243=$K$58,0,IF(K243=$K$65,0,IF(K243=$K$66,0,IF(K243=$K$67,0,IF(K243=$K$68,0,IF(K243=$K$69,0,IF(K243=$K$51,0,1))))))))))))*AM243*AJ243*$AX$94)</f>
        <v>0</v>
      </c>
      <c r="AY243" s="172">
        <f>IF(K243=$K$53,0,IF(K243=$K$54,0,IF(K243=$K$55,0,IF(K243=$K$56,0,IF(K243=$K$58,0,IF(K243=$K$50,0,IF(K243=$K$65,0,IF(K243=$K$57,0,IF(K243=$K$51,0,AM243*$AY$102)))))))))</f>
        <v>0</v>
      </c>
      <c r="AZ243" s="172">
        <f>IF(K243=$K$53,0,IF(K243=$K$54,0,IF(K243=$K$55,0,IF(K243=$K$56,0,IF(K243=$K$58,0,IF(K243=$K$50,0,IF(K243=$K$65,0,IF(K243=$K$57,0,IF(K243=$K$51,0,AM243*$AZ$102)))))))))</f>
        <v>0</v>
      </c>
      <c r="BA243" s="172">
        <f t="shared" si="50"/>
        <v>0</v>
      </c>
      <c r="BB243" s="173">
        <f>IF($BA$97=1,AQ243*$BB$102,IF(K243=$K$50,0,IF(K243=$K$53,0,IF(K243=$K$54,0,IF(K243=$K$55,0,IF(K243=$K$56,0,IF(K243=$K$57,0,IF(K243=$K$58,0,IF(K243=$K$65,0,IF(K243=$K$66,0,IF(K243=$K$67,0,IF(K243=$K$68,0,IF(K243=$K$69,0,IF(K243=$K$51,0,1)))))))))))*AQ243*$BB$102)))</f>
        <v>0</v>
      </c>
      <c r="BC243" s="172">
        <f t="shared" si="51"/>
        <v>0</v>
      </c>
      <c r="BD243" s="172">
        <f t="shared" si="52"/>
        <v>0</v>
      </c>
      <c r="BE243" s="172">
        <f>IF($BE$95=I243,$BE$97,IF(I243=$BE$96,$BE$97,1))*($BE$102*AQ243)*$AZ$97</f>
        <v>0</v>
      </c>
      <c r="BF243" s="172">
        <f>IF('[1]Cockpit Retorno'!$C$65=Sim,Mestre!BA243,SUM(BB243:BE243)+(IF(K243=$K$56,AQ243*MOE_IRRF_LR,0)))</f>
        <v>0</v>
      </c>
      <c r="BG243" s="174">
        <f>IF(AA243&gt;0,0,IF(Z243=$Z$82,AG243*1,(IF(Z243=$Z$81,AG243*1,0))))</f>
        <v>0</v>
      </c>
      <c r="BH243" s="174">
        <f>IF(AA243&gt;0,0,IF(Z243=$Z$83,AG243*1,IF(Z243=$Z$81,AG243*1,0)))</f>
        <v>0</v>
      </c>
      <c r="BI243" s="174">
        <f>IF(AA243&gt;0,0,IF(Z243=$Z$84,AG243*1,IF(Z243=$Z$93,AG243*2,IF(Z243=$Z$100,AG243,IF(Z243=$Z$81,AG243*2,IF(Z243=$Z$80,AG243*1,IF(Z243=$Z$79,AG243*3,IF(Z243=$Z$78,AG243*2,0))))))))</f>
        <v>0</v>
      </c>
      <c r="BJ243" s="174">
        <f>IF(AA243&gt;0,0,IF(Z243=$Z$85,AG243,IF(Z243=$Z$93,AG243,IF(Z243=$Z$100,AG243,IF(Z243=$Z$81,AG243*1,IF(Z243=$Z$80,AG243*2,IF(Z243=$Z$79,AG243*2,IF(Z243=$Z$78,AG243*2,0))))))))</f>
        <v>0</v>
      </c>
      <c r="BK243" s="174">
        <f>IF(AA243&gt;0,0,IF(Z243=$Z$92,AG243,0))</f>
        <v>0</v>
      </c>
      <c r="BL243" s="174">
        <f>IF(AA243&gt;0,0,IF(Z243=$Z$91,AG243,0))</f>
        <v>0</v>
      </c>
      <c r="BM243" s="174">
        <f>IF(AA243&gt;0,0,IF(Z243=$Z$86,AG243,0))</f>
        <v>0</v>
      </c>
      <c r="BN243" s="174">
        <f>IF(AA243&gt;0,0,IF(Z243=$Z$87,AG243,0))</f>
        <v>0</v>
      </c>
      <c r="BO243" s="174">
        <f>IF(AA243&gt;0,0,IF(Z243=$Z$88,AG243,0))</f>
        <v>0</v>
      </c>
      <c r="BP243" s="174">
        <f>IF(AA243&gt;0,0,IF(Z243=$Z$89,AG243,0))</f>
        <v>0</v>
      </c>
      <c r="BQ243" s="174">
        <f>IF(AA243&gt;0,0,IF(Z243=$Z$90,AG243,0))</f>
        <v>0</v>
      </c>
      <c r="BR243" s="174">
        <f>IF(Z243=$Z$82,AA243*AG243,0)</f>
        <v>0</v>
      </c>
      <c r="BS243" s="174">
        <f>IF(Z243=$Z$83,AA243*AG243,0)</f>
        <v>0</v>
      </c>
      <c r="BT243" s="174">
        <f>IF(AA243&lt;1,0,IF(Z243=$Z$84,AA243*AG243,IF(Z243=$Z$93,"ERRO",IF(Z243=$Z$100,"ERRO",0))))</f>
        <v>0</v>
      </c>
      <c r="BU243" s="174">
        <f>IF(AA243&lt;1,0,IF(Z243=$Z$85,AA243*AG243,IF(Z243=$Z$93,"ERRO",IF(Z243=$Z$100,"ERRO",0))))</f>
        <v>0</v>
      </c>
      <c r="BV243" s="174">
        <f>IF(Z243=$Z$92,AA243*AG243,0)</f>
        <v>0</v>
      </c>
      <c r="BW243" s="174">
        <f>IF(Z243=$Z$91,AA243*AG243,0)</f>
        <v>0</v>
      </c>
      <c r="BX243" s="174">
        <f>IF(Z243=$Z$86,AA243*AG243,0)</f>
        <v>0</v>
      </c>
      <c r="BY243" s="174">
        <f>IF(Z243=$Z$87,AA243*AG243,0)</f>
        <v>0</v>
      </c>
      <c r="BZ243" s="174">
        <f>IF(Z243=$Z$88,AA243*AG243,0)</f>
        <v>0</v>
      </c>
      <c r="CA243" s="174">
        <f>IF(Z243=$Z$89,AA243*AG243,0)</f>
        <v>0</v>
      </c>
      <c r="CB243" s="174">
        <f>IF(Z243=$Z$90,AA243*AG243,0)</f>
        <v>0</v>
      </c>
      <c r="CC243" s="175">
        <f>IFERROR(IF(L243=$L$49,AG243*AH243*(1+AI243)*(1-AK243)*(1-AL243),0),0)</f>
        <v>310.90364999999997</v>
      </c>
      <c r="CD243" s="203"/>
      <c r="CE243" s="203"/>
      <c r="CF243" s="204"/>
      <c r="CG243" s="203"/>
      <c r="CH243" s="204"/>
      <c r="CI243" s="203"/>
      <c r="CJ243" s="205"/>
      <c r="CK243" s="205"/>
      <c r="CL243" s="205"/>
      <c r="CM243" s="205"/>
      <c r="CN243" s="206"/>
      <c r="CO243" s="204"/>
      <c r="CP243" s="207"/>
      <c r="CQ243" s="208"/>
      <c r="CR243" s="209"/>
      <c r="CS243" s="49"/>
      <c r="CT243" s="49"/>
      <c r="CU243" s="49"/>
      <c r="CV243" s="49"/>
      <c r="CW243" s="49"/>
      <c r="CX243" s="49"/>
      <c r="CY243" s="49"/>
      <c r="CZ243" s="49"/>
      <c r="DA243" s="49"/>
      <c r="DB243" s="49"/>
      <c r="DC243" s="49"/>
      <c r="DD243" s="49"/>
      <c r="DE243" s="49"/>
      <c r="DF243" s="49"/>
      <c r="DG243" s="49"/>
      <c r="DH243" s="49"/>
      <c r="DI243" s="49"/>
      <c r="DJ243" s="49"/>
      <c r="DK243" s="49"/>
      <c r="DL243" s="49"/>
      <c r="DM243" s="49"/>
      <c r="DN243" s="49"/>
      <c r="DO243" s="49"/>
      <c r="DP243" s="49"/>
      <c r="DQ243" s="49"/>
      <c r="DR243" s="49"/>
      <c r="DS243" s="49"/>
      <c r="DT243" s="49"/>
      <c r="DU243" s="49"/>
      <c r="DV243" s="49"/>
      <c r="DW243" s="49"/>
      <c r="DX243" s="49"/>
      <c r="DY243" s="49"/>
      <c r="DZ243" s="49"/>
      <c r="EA243" s="49"/>
      <c r="EB243" s="49"/>
      <c r="EC243" s="49"/>
      <c r="ED243" s="49"/>
      <c r="EE243" s="49"/>
      <c r="EF243" s="49"/>
      <c r="EG243" s="49"/>
      <c r="EH243" s="49"/>
      <c r="EI243" s="49"/>
      <c r="EJ243" s="49"/>
      <c r="EK243" s="49"/>
      <c r="EL243" s="49"/>
      <c r="EM243" s="49"/>
      <c r="EN243" s="49"/>
      <c r="EO243" s="49"/>
      <c r="EP243" s="49"/>
      <c r="EQ243" s="49"/>
      <c r="ER243" s="49"/>
      <c r="ES243" s="49"/>
      <c r="ET243" s="49"/>
      <c r="EU243" s="49"/>
      <c r="EV243" s="49"/>
      <c r="EW243" s="49"/>
      <c r="EX243" s="49"/>
      <c r="EY243" s="49"/>
      <c r="EZ243" s="49"/>
      <c r="FA243" s="49"/>
    </row>
    <row r="244" spans="1:157" s="210" customFormat="1" ht="38.25" x14ac:dyDescent="0.25">
      <c r="A244" s="113"/>
      <c r="B244" s="113"/>
      <c r="C244" s="113"/>
      <c r="D244" s="148"/>
      <c r="E244" s="115"/>
      <c r="F244" s="116"/>
      <c r="G244" s="149"/>
      <c r="H244" s="150" t="s">
        <v>7</v>
      </c>
      <c r="I244" s="151" t="str">
        <f t="shared" si="46"/>
        <v>Mercadorias</v>
      </c>
      <c r="J244" s="150" t="s">
        <v>15</v>
      </c>
      <c r="K244" s="152" t="s">
        <v>7</v>
      </c>
      <c r="L244" s="153" t="s">
        <v>21</v>
      </c>
      <c r="M244" s="154" t="s">
        <v>290</v>
      </c>
      <c r="N244" s="155" t="s">
        <v>370</v>
      </c>
      <c r="O244" s="155" t="s">
        <v>343</v>
      </c>
      <c r="P244" s="155"/>
      <c r="Q244" s="155"/>
      <c r="R244" s="155"/>
      <c r="S244" s="156"/>
      <c r="T244" s="156"/>
      <c r="U244" s="150"/>
      <c r="V244" s="150"/>
      <c r="W244" s="150"/>
      <c r="X244" s="157" t="s">
        <v>352</v>
      </c>
      <c r="Y244" s="150"/>
      <c r="Z244" s="150"/>
      <c r="AA244" s="158"/>
      <c r="AB244" s="155"/>
      <c r="AC244" s="150"/>
      <c r="AD244" s="155"/>
      <c r="AE244" s="155"/>
      <c r="AF244" s="150"/>
      <c r="AG244" s="159">
        <v>2</v>
      </c>
      <c r="AH244" s="159">
        <v>41.4129</v>
      </c>
      <c r="AI244" s="202">
        <v>0</v>
      </c>
      <c r="AJ244" s="161">
        <v>7.0000000000000007E-2</v>
      </c>
      <c r="AK244" s="162">
        <v>0.05</v>
      </c>
      <c r="AL244" s="163"/>
      <c r="AM244" s="164">
        <f>(((IF(L244=$L$101,1,IF(L244=$L$47,1,0))*(AH244*(1-AK244)))*AG244)*(1-AL244))</f>
        <v>0</v>
      </c>
      <c r="AN244" s="165">
        <f>IF(K244=$K$50,AM244,IF(K244=$K$53,AM244,IF(K244=$K$54,AM244,IF(K244=$K$55,AM244,IF(K244=$K$56,AM244,IF(K244=$K$57,AM244,IF(K244=$K$58,AM244,IF(K244=$K$65,AM244,IF(K244=$K$66,AM244,IF(K244=$K$67,AM244,IF(K244=$K$68,AM244,IF(K244=$K$69,AM244,IF(K244=$K$51,AM244,(AM244*(1+AI244)))))))))))))))</f>
        <v>0</v>
      </c>
      <c r="AO244" s="166">
        <v>1.4</v>
      </c>
      <c r="AP244" s="160">
        <f t="shared" si="47"/>
        <v>0</v>
      </c>
      <c r="AQ244" s="167">
        <f t="shared" si="45"/>
        <v>0</v>
      </c>
      <c r="AR244" s="160">
        <f t="shared" si="48"/>
        <v>0</v>
      </c>
      <c r="AS244" s="168">
        <f t="shared" si="49"/>
        <v>0</v>
      </c>
      <c r="AT244" s="169" t="str">
        <f>K244</f>
        <v>MI</v>
      </c>
      <c r="AU244" s="169" t="str">
        <f>I244</f>
        <v>Mercadorias</v>
      </c>
      <c r="AV244" s="170"/>
      <c r="AW244" s="171">
        <f>IF(K244=$K$50,0,IF(K244=$K$53,0,IF(K244=$K$54,0,IF(K244=$K$55,0,IF(K244=$K$56,0,IF(K244=$K$57,0,IF(K244=$K$58,0,IF(K244=$K$65,0,IF(K244=$K$66,0,IF(K244=$K$67,0,IF(K244=$K$68,0,IF(K244=$K$69,0,IF(K244=$K$51,0,1))))))))))))*AM244*AI244)</f>
        <v>0</v>
      </c>
      <c r="AX244" s="172">
        <f>IF(K244=$K$50,0,IF(K244=$K$53,0,IF(K244=$K$54,0,IF(K244=$K$55,0,IF(K244=$K$56,0,IF(K244=$K$57,0,IF(K244=$K$58,0,IF(K244=$K$65,0,IF(K244=$K$66,0,IF(K244=$K$67,0,IF(K244=$K$68,0,IF(K244=$K$69,0,IF(K244=$K$51,0,1))))))))))))*AM244*AJ244*$AX$94)</f>
        <v>0</v>
      </c>
      <c r="AY244" s="172">
        <f>IF(K244=$K$53,0,IF(K244=$K$54,0,IF(K244=$K$55,0,IF(K244=$K$56,0,IF(K244=$K$58,0,IF(K244=$K$50,0,IF(K244=$K$65,0,IF(K244=$K$57,0,IF(K244=$K$51,0,AM244*$AY$102)))))))))</f>
        <v>0</v>
      </c>
      <c r="AZ244" s="172">
        <f>IF(K244=$K$53,0,IF(K244=$K$54,0,IF(K244=$K$55,0,IF(K244=$K$56,0,IF(K244=$K$58,0,IF(K244=$K$50,0,IF(K244=$K$65,0,IF(K244=$K$57,0,IF(K244=$K$51,0,AM244*$AZ$102)))))))))</f>
        <v>0</v>
      </c>
      <c r="BA244" s="172">
        <f t="shared" si="50"/>
        <v>0</v>
      </c>
      <c r="BB244" s="173">
        <f>IF($BA$97=1,AQ244*$BB$102,IF(K244=$K$50,0,IF(K244=$K$53,0,IF(K244=$K$54,0,IF(K244=$K$55,0,IF(K244=$K$56,0,IF(K244=$K$57,0,IF(K244=$K$58,0,IF(K244=$K$65,0,IF(K244=$K$66,0,IF(K244=$K$67,0,IF(K244=$K$68,0,IF(K244=$K$69,0,IF(K244=$K$51,0,1)))))))))))*AQ244*$BB$102)))</f>
        <v>0</v>
      </c>
      <c r="BC244" s="172">
        <f t="shared" si="51"/>
        <v>0</v>
      </c>
      <c r="BD244" s="172">
        <f t="shared" si="52"/>
        <v>0</v>
      </c>
      <c r="BE244" s="172">
        <f>IF($BE$95=I244,$BE$97,IF(I244=$BE$96,$BE$97,1))*($BE$102*AQ244)*$AZ$97</f>
        <v>0</v>
      </c>
      <c r="BF244" s="172">
        <f>IF('[1]Cockpit Retorno'!$C$65=Sim,Mestre!BA244,SUM(BB244:BE244)+(IF(K244=$K$56,AQ244*MOE_IRRF_LR,0)))</f>
        <v>0</v>
      </c>
      <c r="BG244" s="174">
        <f>IF(AA244&gt;0,0,IF(Z244=$Z$82,AG244*1,(IF(Z244=$Z$81,AG244*1,0))))</f>
        <v>0</v>
      </c>
      <c r="BH244" s="174">
        <f>IF(AA244&gt;0,0,IF(Z244=$Z$83,AG244*1,IF(Z244=$Z$81,AG244*1,0)))</f>
        <v>0</v>
      </c>
      <c r="BI244" s="174">
        <f>IF(AA244&gt;0,0,IF(Z244=$Z$84,AG244*1,IF(Z244=$Z$93,AG244*2,IF(Z244=$Z$100,AG244,IF(Z244=$Z$81,AG244*2,IF(Z244=$Z$80,AG244*1,IF(Z244=$Z$79,AG244*3,IF(Z244=$Z$78,AG244*2,0))))))))</f>
        <v>0</v>
      </c>
      <c r="BJ244" s="174">
        <f>IF(AA244&gt;0,0,IF(Z244=$Z$85,AG244,IF(Z244=$Z$93,AG244,IF(Z244=$Z$100,AG244,IF(Z244=$Z$81,AG244*1,IF(Z244=$Z$80,AG244*2,IF(Z244=$Z$79,AG244*2,IF(Z244=$Z$78,AG244*2,0))))))))</f>
        <v>0</v>
      </c>
      <c r="BK244" s="174">
        <f>IF(AA244&gt;0,0,IF(Z244=$Z$92,AG244,0))</f>
        <v>0</v>
      </c>
      <c r="BL244" s="174">
        <f>IF(AA244&gt;0,0,IF(Z244=$Z$91,AG244,0))</f>
        <v>0</v>
      </c>
      <c r="BM244" s="174">
        <f>IF(AA244&gt;0,0,IF(Z244=$Z$86,AG244,0))</f>
        <v>0</v>
      </c>
      <c r="BN244" s="174">
        <f>IF(AA244&gt;0,0,IF(Z244=$Z$87,AG244,0))</f>
        <v>0</v>
      </c>
      <c r="BO244" s="174">
        <f>IF(AA244&gt;0,0,IF(Z244=$Z$88,AG244,0))</f>
        <v>0</v>
      </c>
      <c r="BP244" s="174">
        <f>IF(AA244&gt;0,0,IF(Z244=$Z$89,AG244,0))</f>
        <v>0</v>
      </c>
      <c r="BQ244" s="174">
        <f>IF(AA244&gt;0,0,IF(Z244=$Z$90,AG244,0))</f>
        <v>0</v>
      </c>
      <c r="BR244" s="174">
        <f>IF(Z244=$Z$82,AA244*AG244,0)</f>
        <v>0</v>
      </c>
      <c r="BS244" s="174">
        <f>IF(Z244=$Z$83,AA244*AG244,0)</f>
        <v>0</v>
      </c>
      <c r="BT244" s="174">
        <f>IF(AA244&lt;1,0,IF(Z244=$Z$84,AA244*AG244,IF(Z244=$Z$93,"ERRO",IF(Z244=$Z$100,"ERRO",0))))</f>
        <v>0</v>
      </c>
      <c r="BU244" s="174">
        <f>IF(AA244&lt;1,0,IF(Z244=$Z$85,AA244*AG244,IF(Z244=$Z$93,"ERRO",IF(Z244=$Z$100,"ERRO",0))))</f>
        <v>0</v>
      </c>
      <c r="BV244" s="174">
        <f>IF(Z244=$Z$92,AA244*AG244,0)</f>
        <v>0</v>
      </c>
      <c r="BW244" s="174">
        <f>IF(Z244=$Z$91,AA244*AG244,0)</f>
        <v>0</v>
      </c>
      <c r="BX244" s="174">
        <f>IF(Z244=$Z$86,AA244*AG244,0)</f>
        <v>0</v>
      </c>
      <c r="BY244" s="174">
        <f>IF(Z244=$Z$87,AA244*AG244,0)</f>
        <v>0</v>
      </c>
      <c r="BZ244" s="174">
        <f>IF(Z244=$Z$88,AA244*AG244,0)</f>
        <v>0</v>
      </c>
      <c r="CA244" s="174">
        <f>IF(Z244=$Z$89,AA244*AG244,0)</f>
        <v>0</v>
      </c>
      <c r="CB244" s="174">
        <f>IF(Z244=$Z$90,AA244*AG244,0)</f>
        <v>0</v>
      </c>
      <c r="CC244" s="175">
        <f>IFERROR(IF(L244=$L$49,AG244*AH244*(1+AI244)*(1-AK244)*(1-AL244),0),0)</f>
        <v>78.684510000000003</v>
      </c>
      <c r="CD244" s="203"/>
      <c r="CE244" s="203"/>
      <c r="CF244" s="204"/>
      <c r="CG244" s="203"/>
      <c r="CH244" s="204"/>
      <c r="CI244" s="203"/>
      <c r="CJ244" s="205"/>
      <c r="CK244" s="205"/>
      <c r="CL244" s="205"/>
      <c r="CM244" s="205"/>
      <c r="CN244" s="206"/>
      <c r="CO244" s="204"/>
      <c r="CP244" s="207"/>
      <c r="CQ244" s="208"/>
      <c r="CR244" s="209"/>
      <c r="CS244" s="49"/>
      <c r="CT244" s="49"/>
      <c r="CU244" s="49"/>
      <c r="CV244" s="49"/>
      <c r="CW244" s="49"/>
      <c r="CX244" s="49"/>
      <c r="CY244" s="49"/>
      <c r="CZ244" s="49"/>
      <c r="DA244" s="49"/>
      <c r="DB244" s="49"/>
      <c r="DC244" s="49"/>
      <c r="DD244" s="49"/>
      <c r="DE244" s="49"/>
      <c r="DF244" s="49"/>
      <c r="DG244" s="49"/>
      <c r="DH244" s="49"/>
      <c r="DI244" s="49"/>
      <c r="DJ244" s="49"/>
      <c r="DK244" s="49"/>
      <c r="DL244" s="49"/>
      <c r="DM244" s="49"/>
      <c r="DN244" s="49"/>
      <c r="DO244" s="49"/>
      <c r="DP244" s="49"/>
      <c r="DQ244" s="49"/>
      <c r="DR244" s="49"/>
      <c r="DS244" s="49"/>
      <c r="DT244" s="49"/>
      <c r="DU244" s="49"/>
      <c r="DV244" s="49"/>
      <c r="DW244" s="49"/>
      <c r="DX244" s="49"/>
      <c r="DY244" s="49"/>
      <c r="DZ244" s="49"/>
      <c r="EA244" s="49"/>
      <c r="EB244" s="49"/>
      <c r="EC244" s="49"/>
      <c r="ED244" s="49"/>
      <c r="EE244" s="49"/>
      <c r="EF244" s="49"/>
      <c r="EG244" s="49"/>
      <c r="EH244" s="49"/>
      <c r="EI244" s="49"/>
      <c r="EJ244" s="49"/>
      <c r="EK244" s="49"/>
      <c r="EL244" s="49"/>
      <c r="EM244" s="49"/>
      <c r="EN244" s="49"/>
      <c r="EO244" s="49"/>
      <c r="EP244" s="49"/>
      <c r="EQ244" s="49"/>
      <c r="ER244" s="49"/>
      <c r="ES244" s="49"/>
      <c r="ET244" s="49"/>
      <c r="EU244" s="49"/>
      <c r="EV244" s="49"/>
      <c r="EW244" s="49"/>
      <c r="EX244" s="49"/>
      <c r="EY244" s="49"/>
      <c r="EZ244" s="49"/>
      <c r="FA244" s="49"/>
    </row>
    <row r="245" spans="1:157" s="210" customFormat="1" ht="38.25" x14ac:dyDescent="0.25">
      <c r="A245" s="113"/>
      <c r="B245" s="113"/>
      <c r="C245" s="113"/>
      <c r="D245" s="148"/>
      <c r="E245" s="115"/>
      <c r="F245" s="116"/>
      <c r="G245" s="149"/>
      <c r="H245" s="150" t="s">
        <v>7</v>
      </c>
      <c r="I245" s="151" t="str">
        <f t="shared" si="46"/>
        <v>Mercadorias</v>
      </c>
      <c r="J245" s="150" t="s">
        <v>15</v>
      </c>
      <c r="K245" s="152" t="s">
        <v>7</v>
      </c>
      <c r="L245" s="153" t="s">
        <v>21</v>
      </c>
      <c r="M245" s="154" t="s">
        <v>290</v>
      </c>
      <c r="N245" s="155" t="s">
        <v>370</v>
      </c>
      <c r="O245" s="155" t="s">
        <v>343</v>
      </c>
      <c r="P245" s="155"/>
      <c r="Q245" s="155"/>
      <c r="R245" s="155"/>
      <c r="S245" s="156"/>
      <c r="T245" s="156"/>
      <c r="U245" s="150"/>
      <c r="V245" s="150"/>
      <c r="W245" s="150"/>
      <c r="X245" s="157" t="s">
        <v>391</v>
      </c>
      <c r="Y245" s="150"/>
      <c r="Z245" s="150"/>
      <c r="AA245" s="158"/>
      <c r="AB245" s="155"/>
      <c r="AC245" s="150"/>
      <c r="AD245" s="155"/>
      <c r="AE245" s="155"/>
      <c r="AF245" s="150"/>
      <c r="AG245" s="159">
        <v>25</v>
      </c>
      <c r="AH245" s="159">
        <v>51.698700000000002</v>
      </c>
      <c r="AI245" s="202">
        <v>0</v>
      </c>
      <c r="AJ245" s="161">
        <v>7.0000000000000007E-2</v>
      </c>
      <c r="AK245" s="162">
        <v>0.05</v>
      </c>
      <c r="AL245" s="163"/>
      <c r="AM245" s="164">
        <f>(((IF(L245=$L$101,1,IF(L245=$L$47,1,0))*(AH245*(1-AK245)))*AG245)*(1-AL245))</f>
        <v>0</v>
      </c>
      <c r="AN245" s="165">
        <f>IF(K245=$K$50,AM245,IF(K245=$K$53,AM245,IF(K245=$K$54,AM245,IF(K245=$K$55,AM245,IF(K245=$K$56,AM245,IF(K245=$K$57,AM245,IF(K245=$K$58,AM245,IF(K245=$K$65,AM245,IF(K245=$K$66,AM245,IF(K245=$K$67,AM245,IF(K245=$K$68,AM245,IF(K245=$K$69,AM245,IF(K245=$K$51,AM245,(AM245*(1+AI245)))))))))))))))</f>
        <v>0</v>
      </c>
      <c r="AO245" s="166">
        <v>1.4</v>
      </c>
      <c r="AP245" s="160">
        <f t="shared" si="47"/>
        <v>0</v>
      </c>
      <c r="AQ245" s="167">
        <f t="shared" si="45"/>
        <v>0</v>
      </c>
      <c r="AR245" s="160">
        <f t="shared" si="48"/>
        <v>0</v>
      </c>
      <c r="AS245" s="168">
        <f t="shared" si="49"/>
        <v>0</v>
      </c>
      <c r="AT245" s="169" t="str">
        <f>K245</f>
        <v>MI</v>
      </c>
      <c r="AU245" s="169" t="str">
        <f>I245</f>
        <v>Mercadorias</v>
      </c>
      <c r="AV245" s="170"/>
      <c r="AW245" s="171">
        <f>IF(K245=$K$50,0,IF(K245=$K$53,0,IF(K245=$K$54,0,IF(K245=$K$55,0,IF(K245=$K$56,0,IF(K245=$K$57,0,IF(K245=$K$58,0,IF(K245=$K$65,0,IF(K245=$K$66,0,IF(K245=$K$67,0,IF(K245=$K$68,0,IF(K245=$K$69,0,IF(K245=$K$51,0,1))))))))))))*AM245*AI245)</f>
        <v>0</v>
      </c>
      <c r="AX245" s="172">
        <f>IF(K245=$K$50,0,IF(K245=$K$53,0,IF(K245=$K$54,0,IF(K245=$K$55,0,IF(K245=$K$56,0,IF(K245=$K$57,0,IF(K245=$K$58,0,IF(K245=$K$65,0,IF(K245=$K$66,0,IF(K245=$K$67,0,IF(K245=$K$68,0,IF(K245=$K$69,0,IF(K245=$K$51,0,1))))))))))))*AM245*AJ245*$AX$94)</f>
        <v>0</v>
      </c>
      <c r="AY245" s="172">
        <f>IF(K245=$K$53,0,IF(K245=$K$54,0,IF(K245=$K$55,0,IF(K245=$K$56,0,IF(K245=$K$58,0,IF(K245=$K$50,0,IF(K245=$K$65,0,IF(K245=$K$57,0,IF(K245=$K$51,0,AM245*$AY$102)))))))))</f>
        <v>0</v>
      </c>
      <c r="AZ245" s="172">
        <f>IF(K245=$K$53,0,IF(K245=$K$54,0,IF(K245=$K$55,0,IF(K245=$K$56,0,IF(K245=$K$58,0,IF(K245=$K$50,0,IF(K245=$K$65,0,IF(K245=$K$57,0,IF(K245=$K$51,0,AM245*$AZ$102)))))))))</f>
        <v>0</v>
      </c>
      <c r="BA245" s="172">
        <f t="shared" si="50"/>
        <v>0</v>
      </c>
      <c r="BB245" s="173">
        <f>IF($BA$97=1,AQ245*$BB$102,IF(K245=$K$50,0,IF(K245=$K$53,0,IF(K245=$K$54,0,IF(K245=$K$55,0,IF(K245=$K$56,0,IF(K245=$K$57,0,IF(K245=$K$58,0,IF(K245=$K$65,0,IF(K245=$K$66,0,IF(K245=$K$67,0,IF(K245=$K$68,0,IF(K245=$K$69,0,IF(K245=$K$51,0,1)))))))))))*AQ245*$BB$102)))</f>
        <v>0</v>
      </c>
      <c r="BC245" s="172">
        <f t="shared" si="51"/>
        <v>0</v>
      </c>
      <c r="BD245" s="172">
        <f t="shared" si="52"/>
        <v>0</v>
      </c>
      <c r="BE245" s="172">
        <f>IF($BE$95=I245,$BE$97,IF(I245=$BE$96,$BE$97,1))*($BE$102*AQ245)*$AZ$97</f>
        <v>0</v>
      </c>
      <c r="BF245" s="172">
        <f>IF('[1]Cockpit Retorno'!$C$65=Sim,Mestre!BA245,SUM(BB245:BE245)+(IF(K245=$K$56,AQ245*MOE_IRRF_LR,0)))</f>
        <v>0</v>
      </c>
      <c r="BG245" s="174">
        <f>IF(AA245&gt;0,0,IF(Z245=$Z$82,AG245*1,(IF(Z245=$Z$81,AG245*1,0))))</f>
        <v>0</v>
      </c>
      <c r="BH245" s="174">
        <f>IF(AA245&gt;0,0,IF(Z245=$Z$83,AG245*1,IF(Z245=$Z$81,AG245*1,0)))</f>
        <v>0</v>
      </c>
      <c r="BI245" s="174">
        <f>IF(AA245&gt;0,0,IF(Z245=$Z$84,AG245*1,IF(Z245=$Z$93,AG245*2,IF(Z245=$Z$100,AG245,IF(Z245=$Z$81,AG245*2,IF(Z245=$Z$80,AG245*1,IF(Z245=$Z$79,AG245*3,IF(Z245=$Z$78,AG245*2,0))))))))</f>
        <v>0</v>
      </c>
      <c r="BJ245" s="174">
        <f>IF(AA245&gt;0,0,IF(Z245=$Z$85,AG245,IF(Z245=$Z$93,AG245,IF(Z245=$Z$100,AG245,IF(Z245=$Z$81,AG245*1,IF(Z245=$Z$80,AG245*2,IF(Z245=$Z$79,AG245*2,IF(Z245=$Z$78,AG245*2,0))))))))</f>
        <v>0</v>
      </c>
      <c r="BK245" s="174">
        <f>IF(AA245&gt;0,0,IF(Z245=$Z$92,AG245,0))</f>
        <v>0</v>
      </c>
      <c r="BL245" s="174">
        <f>IF(AA245&gt;0,0,IF(Z245=$Z$91,AG245,0))</f>
        <v>0</v>
      </c>
      <c r="BM245" s="174">
        <f>IF(AA245&gt;0,0,IF(Z245=$Z$86,AG245,0))</f>
        <v>0</v>
      </c>
      <c r="BN245" s="174">
        <f>IF(AA245&gt;0,0,IF(Z245=$Z$87,AG245,0))</f>
        <v>0</v>
      </c>
      <c r="BO245" s="174">
        <f>IF(AA245&gt;0,0,IF(Z245=$Z$88,AG245,0))</f>
        <v>0</v>
      </c>
      <c r="BP245" s="174">
        <f>IF(AA245&gt;0,0,IF(Z245=$Z$89,AG245,0))</f>
        <v>0</v>
      </c>
      <c r="BQ245" s="174">
        <f>IF(AA245&gt;0,0,IF(Z245=$Z$90,AG245,0))</f>
        <v>0</v>
      </c>
      <c r="BR245" s="174">
        <f>IF(Z245=$Z$82,AA245*AG245,0)</f>
        <v>0</v>
      </c>
      <c r="BS245" s="174">
        <f>IF(Z245=$Z$83,AA245*AG245,0)</f>
        <v>0</v>
      </c>
      <c r="BT245" s="174">
        <f>IF(AA245&lt;1,0,IF(Z245=$Z$84,AA245*AG245,IF(Z245=$Z$93,"ERRO",IF(Z245=$Z$100,"ERRO",0))))</f>
        <v>0</v>
      </c>
      <c r="BU245" s="174">
        <f>IF(AA245&lt;1,0,IF(Z245=$Z$85,AA245*AG245,IF(Z245=$Z$93,"ERRO",IF(Z245=$Z$100,"ERRO",0))))</f>
        <v>0</v>
      </c>
      <c r="BV245" s="174">
        <f>IF(Z245=$Z$92,AA245*AG245,0)</f>
        <v>0</v>
      </c>
      <c r="BW245" s="174">
        <f>IF(Z245=$Z$91,AA245*AG245,0)</f>
        <v>0</v>
      </c>
      <c r="BX245" s="174">
        <f>IF(Z245=$Z$86,AA245*AG245,0)</f>
        <v>0</v>
      </c>
      <c r="BY245" s="174">
        <f>IF(Z245=$Z$87,AA245*AG245,0)</f>
        <v>0</v>
      </c>
      <c r="BZ245" s="174">
        <f>IF(Z245=$Z$88,AA245*AG245,0)</f>
        <v>0</v>
      </c>
      <c r="CA245" s="174">
        <f>IF(Z245=$Z$89,AA245*AG245,0)</f>
        <v>0</v>
      </c>
      <c r="CB245" s="174">
        <f>IF(Z245=$Z$90,AA245*AG245,0)</f>
        <v>0</v>
      </c>
      <c r="CC245" s="175">
        <f>IFERROR(IF(L245=$L$49,AG245*AH245*(1+AI245)*(1-AK245)*(1-AL245),0),0)</f>
        <v>1227.8441249999998</v>
      </c>
      <c r="CD245" s="203"/>
      <c r="CE245" s="203"/>
      <c r="CF245" s="204"/>
      <c r="CG245" s="203"/>
      <c r="CH245" s="204"/>
      <c r="CI245" s="203"/>
      <c r="CJ245" s="205"/>
      <c r="CK245" s="205"/>
      <c r="CL245" s="205"/>
      <c r="CM245" s="205"/>
      <c r="CN245" s="206"/>
      <c r="CO245" s="204"/>
      <c r="CP245" s="207"/>
      <c r="CQ245" s="208"/>
      <c r="CR245" s="209"/>
      <c r="CS245" s="49"/>
      <c r="CT245" s="49"/>
      <c r="CU245" s="49"/>
      <c r="CV245" s="49"/>
      <c r="CW245" s="49"/>
      <c r="CX245" s="49"/>
      <c r="CY245" s="49"/>
      <c r="CZ245" s="49"/>
      <c r="DA245" s="49"/>
      <c r="DB245" s="49"/>
      <c r="DC245" s="49"/>
      <c r="DD245" s="49"/>
      <c r="DE245" s="49"/>
      <c r="DF245" s="49"/>
      <c r="DG245" s="49"/>
      <c r="DH245" s="49"/>
      <c r="DI245" s="49"/>
      <c r="DJ245" s="49"/>
      <c r="DK245" s="49"/>
      <c r="DL245" s="49"/>
      <c r="DM245" s="49"/>
      <c r="DN245" s="49"/>
      <c r="DO245" s="49"/>
      <c r="DP245" s="49"/>
      <c r="DQ245" s="49"/>
      <c r="DR245" s="49"/>
      <c r="DS245" s="49"/>
      <c r="DT245" s="49"/>
      <c r="DU245" s="49"/>
      <c r="DV245" s="49"/>
      <c r="DW245" s="49"/>
      <c r="DX245" s="49"/>
      <c r="DY245" s="49"/>
      <c r="DZ245" s="49"/>
      <c r="EA245" s="49"/>
      <c r="EB245" s="49"/>
      <c r="EC245" s="49"/>
      <c r="ED245" s="49"/>
      <c r="EE245" s="49"/>
      <c r="EF245" s="49"/>
      <c r="EG245" s="49"/>
      <c r="EH245" s="49"/>
      <c r="EI245" s="49"/>
      <c r="EJ245" s="49"/>
      <c r="EK245" s="49"/>
      <c r="EL245" s="49"/>
      <c r="EM245" s="49"/>
      <c r="EN245" s="49"/>
      <c r="EO245" s="49"/>
      <c r="EP245" s="49"/>
      <c r="EQ245" s="49"/>
      <c r="ER245" s="49"/>
      <c r="ES245" s="49"/>
      <c r="ET245" s="49"/>
      <c r="EU245" s="49"/>
      <c r="EV245" s="49"/>
      <c r="EW245" s="49"/>
      <c r="EX245" s="49"/>
      <c r="EY245" s="49"/>
      <c r="EZ245" s="49"/>
      <c r="FA245" s="49"/>
    </row>
    <row r="246" spans="1:157" s="210" customFormat="1" ht="38.25" x14ac:dyDescent="0.25">
      <c r="A246" s="113"/>
      <c r="B246" s="113"/>
      <c r="C246" s="113"/>
      <c r="D246" s="148"/>
      <c r="E246" s="115"/>
      <c r="F246" s="116"/>
      <c r="G246" s="149"/>
      <c r="H246" s="150" t="s">
        <v>7</v>
      </c>
      <c r="I246" s="151" t="str">
        <f t="shared" si="46"/>
        <v>Mercadorias</v>
      </c>
      <c r="J246" s="150" t="s">
        <v>15</v>
      </c>
      <c r="K246" s="152" t="s">
        <v>7</v>
      </c>
      <c r="L246" s="153" t="s">
        <v>21</v>
      </c>
      <c r="M246" s="154" t="s">
        <v>290</v>
      </c>
      <c r="N246" s="155" t="s">
        <v>370</v>
      </c>
      <c r="O246" s="155" t="s">
        <v>343</v>
      </c>
      <c r="P246" s="155"/>
      <c r="Q246" s="155"/>
      <c r="R246" s="155"/>
      <c r="S246" s="156"/>
      <c r="T246" s="156"/>
      <c r="U246" s="150"/>
      <c r="V246" s="150"/>
      <c r="W246" s="150"/>
      <c r="X246" s="157" t="s">
        <v>392</v>
      </c>
      <c r="Y246" s="150"/>
      <c r="Z246" s="150"/>
      <c r="AA246" s="158"/>
      <c r="AB246" s="155"/>
      <c r="AC246" s="150"/>
      <c r="AD246" s="155"/>
      <c r="AE246" s="155"/>
      <c r="AF246" s="150"/>
      <c r="AG246" s="159">
        <v>30</v>
      </c>
      <c r="AH246" s="159">
        <v>44.091300000000004</v>
      </c>
      <c r="AI246" s="202">
        <v>0</v>
      </c>
      <c r="AJ246" s="161">
        <v>7.0000000000000007E-2</v>
      </c>
      <c r="AK246" s="162">
        <v>0.05</v>
      </c>
      <c r="AL246" s="163"/>
      <c r="AM246" s="164">
        <f>(((IF(L246=$L$101,1,IF(L246=$L$47,1,0))*(AH246*(1-AK246)))*AG246)*(1-AL246))</f>
        <v>0</v>
      </c>
      <c r="AN246" s="165">
        <f>IF(K246=$K$50,AM246,IF(K246=$K$53,AM246,IF(K246=$K$54,AM246,IF(K246=$K$55,AM246,IF(K246=$K$56,AM246,IF(K246=$K$57,AM246,IF(K246=$K$58,AM246,IF(K246=$K$65,AM246,IF(K246=$K$66,AM246,IF(K246=$K$67,AM246,IF(K246=$K$68,AM246,IF(K246=$K$69,AM246,IF(K246=$K$51,AM246,(AM246*(1+AI246)))))))))))))))</f>
        <v>0</v>
      </c>
      <c r="AO246" s="166">
        <v>1.4</v>
      </c>
      <c r="AP246" s="160">
        <f t="shared" si="47"/>
        <v>0</v>
      </c>
      <c r="AQ246" s="167">
        <f t="shared" si="45"/>
        <v>0</v>
      </c>
      <c r="AR246" s="160">
        <f t="shared" si="48"/>
        <v>0</v>
      </c>
      <c r="AS246" s="168">
        <f t="shared" si="49"/>
        <v>0</v>
      </c>
      <c r="AT246" s="169" t="str">
        <f>K246</f>
        <v>MI</v>
      </c>
      <c r="AU246" s="169" t="str">
        <f>I246</f>
        <v>Mercadorias</v>
      </c>
      <c r="AV246" s="170"/>
      <c r="AW246" s="171">
        <f>IF(K246=$K$50,0,IF(K246=$K$53,0,IF(K246=$K$54,0,IF(K246=$K$55,0,IF(K246=$K$56,0,IF(K246=$K$57,0,IF(K246=$K$58,0,IF(K246=$K$65,0,IF(K246=$K$66,0,IF(K246=$K$67,0,IF(K246=$K$68,0,IF(K246=$K$69,0,IF(K246=$K$51,0,1))))))))))))*AM246*AI246)</f>
        <v>0</v>
      </c>
      <c r="AX246" s="172">
        <f>IF(K246=$K$50,0,IF(K246=$K$53,0,IF(K246=$K$54,0,IF(K246=$K$55,0,IF(K246=$K$56,0,IF(K246=$K$57,0,IF(K246=$K$58,0,IF(K246=$K$65,0,IF(K246=$K$66,0,IF(K246=$K$67,0,IF(K246=$K$68,0,IF(K246=$K$69,0,IF(K246=$K$51,0,1))))))))))))*AM246*AJ246*$AX$94)</f>
        <v>0</v>
      </c>
      <c r="AY246" s="172">
        <f>IF(K246=$K$53,0,IF(K246=$K$54,0,IF(K246=$K$55,0,IF(K246=$K$56,0,IF(K246=$K$58,0,IF(K246=$K$50,0,IF(K246=$K$65,0,IF(K246=$K$57,0,IF(K246=$K$51,0,AM246*$AY$102)))))))))</f>
        <v>0</v>
      </c>
      <c r="AZ246" s="172">
        <f>IF(K246=$K$53,0,IF(K246=$K$54,0,IF(K246=$K$55,0,IF(K246=$K$56,0,IF(K246=$K$58,0,IF(K246=$K$50,0,IF(K246=$K$65,0,IF(K246=$K$57,0,IF(K246=$K$51,0,AM246*$AZ$102)))))))))</f>
        <v>0</v>
      </c>
      <c r="BA246" s="172">
        <f t="shared" si="50"/>
        <v>0</v>
      </c>
      <c r="BB246" s="173">
        <f>IF($BA$97=1,AQ246*$BB$102,IF(K246=$K$50,0,IF(K246=$K$53,0,IF(K246=$K$54,0,IF(K246=$K$55,0,IF(K246=$K$56,0,IF(K246=$K$57,0,IF(K246=$K$58,0,IF(K246=$K$65,0,IF(K246=$K$66,0,IF(K246=$K$67,0,IF(K246=$K$68,0,IF(K246=$K$69,0,IF(K246=$K$51,0,1)))))))))))*AQ246*$BB$102)))</f>
        <v>0</v>
      </c>
      <c r="BC246" s="172">
        <f t="shared" si="51"/>
        <v>0</v>
      </c>
      <c r="BD246" s="172">
        <f t="shared" si="52"/>
        <v>0</v>
      </c>
      <c r="BE246" s="172">
        <f>IF($BE$95=I246,$BE$97,IF(I246=$BE$96,$BE$97,1))*($BE$102*AQ246)*$AZ$97</f>
        <v>0</v>
      </c>
      <c r="BF246" s="172">
        <f>IF('[1]Cockpit Retorno'!$C$65=Sim,Mestre!BA246,SUM(BB246:BE246)+(IF(K246=$K$56,AQ246*MOE_IRRF_LR,0)))</f>
        <v>0</v>
      </c>
      <c r="BG246" s="174">
        <f>IF(AA246&gt;0,0,IF(Z246=$Z$82,AG246*1,(IF(Z246=$Z$81,AG246*1,0))))</f>
        <v>0</v>
      </c>
      <c r="BH246" s="174">
        <f>IF(AA246&gt;0,0,IF(Z246=$Z$83,AG246*1,IF(Z246=$Z$81,AG246*1,0)))</f>
        <v>0</v>
      </c>
      <c r="BI246" s="174">
        <f>IF(AA246&gt;0,0,IF(Z246=$Z$84,AG246*1,IF(Z246=$Z$93,AG246*2,IF(Z246=$Z$100,AG246,IF(Z246=$Z$81,AG246*2,IF(Z246=$Z$80,AG246*1,IF(Z246=$Z$79,AG246*3,IF(Z246=$Z$78,AG246*2,0))))))))</f>
        <v>0</v>
      </c>
      <c r="BJ246" s="174">
        <f>IF(AA246&gt;0,0,IF(Z246=$Z$85,AG246,IF(Z246=$Z$93,AG246,IF(Z246=$Z$100,AG246,IF(Z246=$Z$81,AG246*1,IF(Z246=$Z$80,AG246*2,IF(Z246=$Z$79,AG246*2,IF(Z246=$Z$78,AG246*2,0))))))))</f>
        <v>0</v>
      </c>
      <c r="BK246" s="174">
        <f>IF(AA246&gt;0,0,IF(Z246=$Z$92,AG246,0))</f>
        <v>0</v>
      </c>
      <c r="BL246" s="174">
        <f>IF(AA246&gt;0,0,IF(Z246=$Z$91,AG246,0))</f>
        <v>0</v>
      </c>
      <c r="BM246" s="174">
        <f>IF(AA246&gt;0,0,IF(Z246=$Z$86,AG246,0))</f>
        <v>0</v>
      </c>
      <c r="BN246" s="174">
        <f>IF(AA246&gt;0,0,IF(Z246=$Z$87,AG246,0))</f>
        <v>0</v>
      </c>
      <c r="BO246" s="174">
        <f>IF(AA246&gt;0,0,IF(Z246=$Z$88,AG246,0))</f>
        <v>0</v>
      </c>
      <c r="BP246" s="174">
        <f>IF(AA246&gt;0,0,IF(Z246=$Z$89,AG246,0))</f>
        <v>0</v>
      </c>
      <c r="BQ246" s="174">
        <f>IF(AA246&gt;0,0,IF(Z246=$Z$90,AG246,0))</f>
        <v>0</v>
      </c>
      <c r="BR246" s="174">
        <f>IF(Z246=$Z$82,AA246*AG246,0)</f>
        <v>0</v>
      </c>
      <c r="BS246" s="174">
        <f>IF(Z246=$Z$83,AA246*AG246,0)</f>
        <v>0</v>
      </c>
      <c r="BT246" s="174">
        <f>IF(AA246&lt;1,0,IF(Z246=$Z$84,AA246*AG246,IF(Z246=$Z$93,"ERRO",IF(Z246=$Z$100,"ERRO",0))))</f>
        <v>0</v>
      </c>
      <c r="BU246" s="174">
        <f>IF(AA246&lt;1,0,IF(Z246=$Z$85,AA246*AG246,IF(Z246=$Z$93,"ERRO",IF(Z246=$Z$100,"ERRO",0))))</f>
        <v>0</v>
      </c>
      <c r="BV246" s="174">
        <f>IF(Z246=$Z$92,AA246*AG246,0)</f>
        <v>0</v>
      </c>
      <c r="BW246" s="174">
        <f>IF(Z246=$Z$91,AA246*AG246,0)</f>
        <v>0</v>
      </c>
      <c r="BX246" s="174">
        <f>IF(Z246=$Z$86,AA246*AG246,0)</f>
        <v>0</v>
      </c>
      <c r="BY246" s="174">
        <f>IF(Z246=$Z$87,AA246*AG246,0)</f>
        <v>0</v>
      </c>
      <c r="BZ246" s="174">
        <f>IF(Z246=$Z$88,AA246*AG246,0)</f>
        <v>0</v>
      </c>
      <c r="CA246" s="174">
        <f>IF(Z246=$Z$89,AA246*AG246,0)</f>
        <v>0</v>
      </c>
      <c r="CB246" s="174">
        <f>IF(Z246=$Z$90,AA246*AG246,0)</f>
        <v>0</v>
      </c>
      <c r="CC246" s="175">
        <f>IFERROR(IF(L246=$L$49,AG246*AH246*(1+AI246)*(1-AK246)*(1-AL246),0),0)</f>
        <v>1256.60205</v>
      </c>
      <c r="CD246" s="203"/>
      <c r="CE246" s="203"/>
      <c r="CF246" s="204"/>
      <c r="CG246" s="203"/>
      <c r="CH246" s="204"/>
      <c r="CI246" s="203"/>
      <c r="CJ246" s="205"/>
      <c r="CK246" s="205"/>
      <c r="CL246" s="205"/>
      <c r="CM246" s="205"/>
      <c r="CN246" s="206"/>
      <c r="CO246" s="204"/>
      <c r="CP246" s="207"/>
      <c r="CQ246" s="208"/>
      <c r="CR246" s="209"/>
      <c r="CS246" s="49"/>
      <c r="CT246" s="49"/>
      <c r="CU246" s="49"/>
      <c r="CV246" s="49"/>
      <c r="CW246" s="49"/>
      <c r="CX246" s="49"/>
      <c r="CY246" s="49"/>
      <c r="CZ246" s="49"/>
      <c r="DA246" s="49"/>
      <c r="DB246" s="49"/>
      <c r="DC246" s="49"/>
      <c r="DD246" s="49"/>
      <c r="DE246" s="49"/>
      <c r="DF246" s="49"/>
      <c r="DG246" s="49"/>
      <c r="DH246" s="49"/>
      <c r="DI246" s="49"/>
      <c r="DJ246" s="49"/>
      <c r="DK246" s="49"/>
      <c r="DL246" s="49"/>
      <c r="DM246" s="49"/>
      <c r="DN246" s="49"/>
      <c r="DO246" s="49"/>
      <c r="DP246" s="49"/>
      <c r="DQ246" s="49"/>
      <c r="DR246" s="49"/>
      <c r="DS246" s="49"/>
      <c r="DT246" s="49"/>
      <c r="DU246" s="49"/>
      <c r="DV246" s="49"/>
      <c r="DW246" s="49"/>
      <c r="DX246" s="49"/>
      <c r="DY246" s="49"/>
      <c r="DZ246" s="49"/>
      <c r="EA246" s="49"/>
      <c r="EB246" s="49"/>
      <c r="EC246" s="49"/>
      <c r="ED246" s="49"/>
      <c r="EE246" s="49"/>
      <c r="EF246" s="49"/>
      <c r="EG246" s="49"/>
      <c r="EH246" s="49"/>
      <c r="EI246" s="49"/>
      <c r="EJ246" s="49"/>
      <c r="EK246" s="49"/>
      <c r="EL246" s="49"/>
      <c r="EM246" s="49"/>
      <c r="EN246" s="49"/>
      <c r="EO246" s="49"/>
      <c r="EP246" s="49"/>
      <c r="EQ246" s="49"/>
      <c r="ER246" s="49"/>
      <c r="ES246" s="49"/>
      <c r="ET246" s="49"/>
      <c r="EU246" s="49"/>
      <c r="EV246" s="49"/>
      <c r="EW246" s="49"/>
      <c r="EX246" s="49"/>
      <c r="EY246" s="49"/>
      <c r="EZ246" s="49"/>
      <c r="FA246" s="49"/>
    </row>
    <row r="247" spans="1:157" s="210" customFormat="1" ht="38.25" x14ac:dyDescent="0.25">
      <c r="A247" s="113"/>
      <c r="B247" s="113"/>
      <c r="C247" s="113"/>
      <c r="D247" s="148"/>
      <c r="E247" s="115"/>
      <c r="F247" s="116"/>
      <c r="G247" s="149"/>
      <c r="H247" s="150" t="s">
        <v>7</v>
      </c>
      <c r="I247" s="151" t="str">
        <f t="shared" si="46"/>
        <v>Mercadorias</v>
      </c>
      <c r="J247" s="150" t="s">
        <v>15</v>
      </c>
      <c r="K247" s="152" t="s">
        <v>7</v>
      </c>
      <c r="L247" s="153" t="s">
        <v>21</v>
      </c>
      <c r="M247" s="154" t="s">
        <v>290</v>
      </c>
      <c r="N247" s="155" t="s">
        <v>370</v>
      </c>
      <c r="O247" s="155" t="s">
        <v>343</v>
      </c>
      <c r="P247" s="155"/>
      <c r="Q247" s="155"/>
      <c r="R247" s="155"/>
      <c r="S247" s="156"/>
      <c r="T247" s="156"/>
      <c r="U247" s="150"/>
      <c r="V247" s="150"/>
      <c r="W247" s="150"/>
      <c r="X247" s="157" t="s">
        <v>393</v>
      </c>
      <c r="Y247" s="150"/>
      <c r="Z247" s="150"/>
      <c r="AA247" s="158"/>
      <c r="AB247" s="155"/>
      <c r="AC247" s="150"/>
      <c r="AD247" s="155"/>
      <c r="AE247" s="155"/>
      <c r="AF247" s="150"/>
      <c r="AG247" s="159">
        <v>5</v>
      </c>
      <c r="AH247" s="159">
        <v>100.24470000000001</v>
      </c>
      <c r="AI247" s="202">
        <v>0</v>
      </c>
      <c r="AJ247" s="161">
        <v>7.0000000000000007E-2</v>
      </c>
      <c r="AK247" s="162">
        <v>0.05</v>
      </c>
      <c r="AL247" s="163"/>
      <c r="AM247" s="164">
        <f>(((IF(L247=$L$101,1,IF(L247=$L$47,1,0))*(AH247*(1-AK247)))*AG247)*(1-AL247))</f>
        <v>0</v>
      </c>
      <c r="AN247" s="165">
        <f>IF(K247=$K$50,AM247,IF(K247=$K$53,AM247,IF(K247=$K$54,AM247,IF(K247=$K$55,AM247,IF(K247=$K$56,AM247,IF(K247=$K$57,AM247,IF(K247=$K$58,AM247,IF(K247=$K$65,AM247,IF(K247=$K$66,AM247,IF(K247=$K$67,AM247,IF(K247=$K$68,AM247,IF(K247=$K$69,AM247,IF(K247=$K$51,AM247,(AM247*(1+AI247)))))))))))))))</f>
        <v>0</v>
      </c>
      <c r="AO247" s="166">
        <v>1.4</v>
      </c>
      <c r="AP247" s="160">
        <f t="shared" si="47"/>
        <v>0</v>
      </c>
      <c r="AQ247" s="167">
        <f t="shared" si="45"/>
        <v>0</v>
      </c>
      <c r="AR247" s="160">
        <f t="shared" si="48"/>
        <v>0</v>
      </c>
      <c r="AS247" s="168">
        <f t="shared" si="49"/>
        <v>0</v>
      </c>
      <c r="AT247" s="169" t="str">
        <f>K247</f>
        <v>MI</v>
      </c>
      <c r="AU247" s="169" t="str">
        <f>I247</f>
        <v>Mercadorias</v>
      </c>
      <c r="AV247" s="170"/>
      <c r="AW247" s="171">
        <f>IF(K247=$K$50,0,IF(K247=$K$53,0,IF(K247=$K$54,0,IF(K247=$K$55,0,IF(K247=$K$56,0,IF(K247=$K$57,0,IF(K247=$K$58,0,IF(K247=$K$65,0,IF(K247=$K$66,0,IF(K247=$K$67,0,IF(K247=$K$68,0,IF(K247=$K$69,0,IF(K247=$K$51,0,1))))))))))))*AM247*AI247)</f>
        <v>0</v>
      </c>
      <c r="AX247" s="172">
        <f>IF(K247=$K$50,0,IF(K247=$K$53,0,IF(K247=$K$54,0,IF(K247=$K$55,0,IF(K247=$K$56,0,IF(K247=$K$57,0,IF(K247=$K$58,0,IF(K247=$K$65,0,IF(K247=$K$66,0,IF(K247=$K$67,0,IF(K247=$K$68,0,IF(K247=$K$69,0,IF(K247=$K$51,0,1))))))))))))*AM247*AJ247*$AX$94)</f>
        <v>0</v>
      </c>
      <c r="AY247" s="172">
        <f>IF(K247=$K$53,0,IF(K247=$K$54,0,IF(K247=$K$55,0,IF(K247=$K$56,0,IF(K247=$K$58,0,IF(K247=$K$50,0,IF(K247=$K$65,0,IF(K247=$K$57,0,IF(K247=$K$51,0,AM247*$AY$102)))))))))</f>
        <v>0</v>
      </c>
      <c r="AZ247" s="172">
        <f>IF(K247=$K$53,0,IF(K247=$K$54,0,IF(K247=$K$55,0,IF(K247=$K$56,0,IF(K247=$K$58,0,IF(K247=$K$50,0,IF(K247=$K$65,0,IF(K247=$K$57,0,IF(K247=$K$51,0,AM247*$AZ$102)))))))))</f>
        <v>0</v>
      </c>
      <c r="BA247" s="172">
        <f t="shared" si="50"/>
        <v>0</v>
      </c>
      <c r="BB247" s="173">
        <f>IF($BA$97=1,AQ247*$BB$102,IF(K247=$K$50,0,IF(K247=$K$53,0,IF(K247=$K$54,0,IF(K247=$K$55,0,IF(K247=$K$56,0,IF(K247=$K$57,0,IF(K247=$K$58,0,IF(K247=$K$65,0,IF(K247=$K$66,0,IF(K247=$K$67,0,IF(K247=$K$68,0,IF(K247=$K$69,0,IF(K247=$K$51,0,1)))))))))))*AQ247*$BB$102)))</f>
        <v>0</v>
      </c>
      <c r="BC247" s="172">
        <f t="shared" si="51"/>
        <v>0</v>
      </c>
      <c r="BD247" s="172">
        <f t="shared" si="52"/>
        <v>0</v>
      </c>
      <c r="BE247" s="172">
        <f>IF($BE$95=I247,$BE$97,IF(I247=$BE$96,$BE$97,1))*($BE$102*AQ247)*$AZ$97</f>
        <v>0</v>
      </c>
      <c r="BF247" s="172">
        <f>IF('[1]Cockpit Retorno'!$C$65=Sim,Mestre!BA247,SUM(BB247:BE247)+(IF(K247=$K$56,AQ247*MOE_IRRF_LR,0)))</f>
        <v>0</v>
      </c>
      <c r="BG247" s="174">
        <f>IF(AA247&gt;0,0,IF(Z247=$Z$82,AG247*1,(IF(Z247=$Z$81,AG247*1,0))))</f>
        <v>0</v>
      </c>
      <c r="BH247" s="174">
        <f>IF(AA247&gt;0,0,IF(Z247=$Z$83,AG247*1,IF(Z247=$Z$81,AG247*1,0)))</f>
        <v>0</v>
      </c>
      <c r="BI247" s="174">
        <f>IF(AA247&gt;0,0,IF(Z247=$Z$84,AG247*1,IF(Z247=$Z$93,AG247*2,IF(Z247=$Z$100,AG247,IF(Z247=$Z$81,AG247*2,IF(Z247=$Z$80,AG247*1,IF(Z247=$Z$79,AG247*3,IF(Z247=$Z$78,AG247*2,0))))))))</f>
        <v>0</v>
      </c>
      <c r="BJ247" s="174">
        <f>IF(AA247&gt;0,0,IF(Z247=$Z$85,AG247,IF(Z247=$Z$93,AG247,IF(Z247=$Z$100,AG247,IF(Z247=$Z$81,AG247*1,IF(Z247=$Z$80,AG247*2,IF(Z247=$Z$79,AG247*2,IF(Z247=$Z$78,AG247*2,0))))))))</f>
        <v>0</v>
      </c>
      <c r="BK247" s="174">
        <f>IF(AA247&gt;0,0,IF(Z247=$Z$92,AG247,0))</f>
        <v>0</v>
      </c>
      <c r="BL247" s="174">
        <f>IF(AA247&gt;0,0,IF(Z247=$Z$91,AG247,0))</f>
        <v>0</v>
      </c>
      <c r="BM247" s="174">
        <f>IF(AA247&gt;0,0,IF(Z247=$Z$86,AG247,0))</f>
        <v>0</v>
      </c>
      <c r="BN247" s="174">
        <f>IF(AA247&gt;0,0,IF(Z247=$Z$87,AG247,0))</f>
        <v>0</v>
      </c>
      <c r="BO247" s="174">
        <f>IF(AA247&gt;0,0,IF(Z247=$Z$88,AG247,0))</f>
        <v>0</v>
      </c>
      <c r="BP247" s="174">
        <f>IF(AA247&gt;0,0,IF(Z247=$Z$89,AG247,0))</f>
        <v>0</v>
      </c>
      <c r="BQ247" s="174">
        <f>IF(AA247&gt;0,0,IF(Z247=$Z$90,AG247,0))</f>
        <v>0</v>
      </c>
      <c r="BR247" s="174">
        <f>IF(Z247=$Z$82,AA247*AG247,0)</f>
        <v>0</v>
      </c>
      <c r="BS247" s="174">
        <f>IF(Z247=$Z$83,AA247*AG247,0)</f>
        <v>0</v>
      </c>
      <c r="BT247" s="174">
        <f>IF(AA247&lt;1,0,IF(Z247=$Z$84,AA247*AG247,IF(Z247=$Z$93,"ERRO",IF(Z247=$Z$100,"ERRO",0))))</f>
        <v>0</v>
      </c>
      <c r="BU247" s="174">
        <f>IF(AA247&lt;1,0,IF(Z247=$Z$85,AA247*AG247,IF(Z247=$Z$93,"ERRO",IF(Z247=$Z$100,"ERRO",0))))</f>
        <v>0</v>
      </c>
      <c r="BV247" s="174">
        <f>IF(Z247=$Z$92,AA247*AG247,0)</f>
        <v>0</v>
      </c>
      <c r="BW247" s="174">
        <f>IF(Z247=$Z$91,AA247*AG247,0)</f>
        <v>0</v>
      </c>
      <c r="BX247" s="174">
        <f>IF(Z247=$Z$86,AA247*AG247,0)</f>
        <v>0</v>
      </c>
      <c r="BY247" s="174">
        <f>IF(Z247=$Z$87,AA247*AG247,0)</f>
        <v>0</v>
      </c>
      <c r="BZ247" s="174">
        <f>IF(Z247=$Z$88,AA247*AG247,0)</f>
        <v>0</v>
      </c>
      <c r="CA247" s="174">
        <f>IF(Z247=$Z$89,AA247*AG247,0)</f>
        <v>0</v>
      </c>
      <c r="CB247" s="174">
        <f>IF(Z247=$Z$90,AA247*AG247,0)</f>
        <v>0</v>
      </c>
      <c r="CC247" s="175">
        <f>IFERROR(IF(L247=$L$49,AG247*AH247*(1+AI247)*(1-AK247)*(1-AL247),0),0)</f>
        <v>476.16232500000001</v>
      </c>
      <c r="CD247" s="203"/>
      <c r="CE247" s="203"/>
      <c r="CF247" s="204"/>
      <c r="CG247" s="203"/>
      <c r="CH247" s="204"/>
      <c r="CI247" s="203"/>
      <c r="CJ247" s="205"/>
      <c r="CK247" s="205"/>
      <c r="CL247" s="205"/>
      <c r="CM247" s="205"/>
      <c r="CN247" s="206"/>
      <c r="CO247" s="204"/>
      <c r="CP247" s="207"/>
      <c r="CQ247" s="208"/>
      <c r="CR247" s="209"/>
      <c r="CS247" s="49"/>
      <c r="CT247" s="49"/>
      <c r="CU247" s="49"/>
      <c r="CV247" s="49"/>
      <c r="CW247" s="49"/>
      <c r="CX247" s="49"/>
      <c r="CY247" s="49"/>
      <c r="CZ247" s="49"/>
      <c r="DA247" s="49"/>
      <c r="DB247" s="49"/>
      <c r="DC247" s="49"/>
      <c r="DD247" s="49"/>
      <c r="DE247" s="49"/>
      <c r="DF247" s="49"/>
      <c r="DG247" s="49"/>
      <c r="DH247" s="49"/>
      <c r="DI247" s="49"/>
      <c r="DJ247" s="49"/>
      <c r="DK247" s="49"/>
      <c r="DL247" s="49"/>
      <c r="DM247" s="49"/>
      <c r="DN247" s="49"/>
      <c r="DO247" s="49"/>
      <c r="DP247" s="49"/>
      <c r="DQ247" s="49"/>
      <c r="DR247" s="49"/>
      <c r="DS247" s="49"/>
      <c r="DT247" s="49"/>
      <c r="DU247" s="49"/>
      <c r="DV247" s="49"/>
      <c r="DW247" s="49"/>
      <c r="DX247" s="49"/>
      <c r="DY247" s="49"/>
      <c r="DZ247" s="49"/>
      <c r="EA247" s="49"/>
      <c r="EB247" s="49"/>
      <c r="EC247" s="49"/>
      <c r="ED247" s="49"/>
      <c r="EE247" s="49"/>
      <c r="EF247" s="49"/>
      <c r="EG247" s="49"/>
      <c r="EH247" s="49"/>
      <c r="EI247" s="49"/>
      <c r="EJ247" s="49"/>
      <c r="EK247" s="49"/>
      <c r="EL247" s="49"/>
      <c r="EM247" s="49"/>
      <c r="EN247" s="49"/>
      <c r="EO247" s="49"/>
      <c r="EP247" s="49"/>
      <c r="EQ247" s="49"/>
      <c r="ER247" s="49"/>
      <c r="ES247" s="49"/>
      <c r="ET247" s="49"/>
      <c r="EU247" s="49"/>
      <c r="EV247" s="49"/>
      <c r="EW247" s="49"/>
      <c r="EX247" s="49"/>
      <c r="EY247" s="49"/>
      <c r="EZ247" s="49"/>
      <c r="FA247" s="49"/>
    </row>
    <row r="248" spans="1:157" s="210" customFormat="1" ht="38.25" x14ac:dyDescent="0.25">
      <c r="A248" s="113"/>
      <c r="B248" s="113"/>
      <c r="C248" s="113"/>
      <c r="D248" s="148"/>
      <c r="E248" s="115"/>
      <c r="F248" s="116"/>
      <c r="G248" s="149"/>
      <c r="H248" s="150" t="s">
        <v>7</v>
      </c>
      <c r="I248" s="151" t="str">
        <f t="shared" si="46"/>
        <v>Mercadorias</v>
      </c>
      <c r="J248" s="150" t="s">
        <v>15</v>
      </c>
      <c r="K248" s="152" t="s">
        <v>7</v>
      </c>
      <c r="L248" s="153" t="s">
        <v>21</v>
      </c>
      <c r="M248" s="154" t="s">
        <v>290</v>
      </c>
      <c r="N248" s="155" t="s">
        <v>370</v>
      </c>
      <c r="O248" s="155" t="s">
        <v>343</v>
      </c>
      <c r="P248" s="155"/>
      <c r="Q248" s="155"/>
      <c r="R248" s="155"/>
      <c r="S248" s="156"/>
      <c r="T248" s="156"/>
      <c r="U248" s="150"/>
      <c r="V248" s="150"/>
      <c r="W248" s="150"/>
      <c r="X248" s="157" t="s">
        <v>394</v>
      </c>
      <c r="Y248" s="150"/>
      <c r="Z248" s="150"/>
      <c r="AA248" s="158"/>
      <c r="AB248" s="155"/>
      <c r="AC248" s="150"/>
      <c r="AD248" s="155"/>
      <c r="AE248" s="155"/>
      <c r="AF248" s="150"/>
      <c r="AG248" s="159">
        <v>5</v>
      </c>
      <c r="AH248" s="159">
        <v>139.8999</v>
      </c>
      <c r="AI248" s="202">
        <v>0</v>
      </c>
      <c r="AJ248" s="161">
        <v>7.0000000000000007E-2</v>
      </c>
      <c r="AK248" s="162">
        <v>0.05</v>
      </c>
      <c r="AL248" s="163"/>
      <c r="AM248" s="164">
        <f>(((IF(L248=$L$101,1,IF(L248=$L$47,1,0))*(AH248*(1-AK248)))*AG248)*(1-AL248))</f>
        <v>0</v>
      </c>
      <c r="AN248" s="165">
        <f>IF(K248=$K$50,AM248,IF(K248=$K$53,AM248,IF(K248=$K$54,AM248,IF(K248=$K$55,AM248,IF(K248=$K$56,AM248,IF(K248=$K$57,AM248,IF(K248=$K$58,AM248,IF(K248=$K$65,AM248,IF(K248=$K$66,AM248,IF(K248=$K$67,AM248,IF(K248=$K$68,AM248,IF(K248=$K$69,AM248,IF(K248=$K$51,AM248,(AM248*(1+AI248)))))))))))))))</f>
        <v>0</v>
      </c>
      <c r="AO248" s="166">
        <v>1.4</v>
      </c>
      <c r="AP248" s="160">
        <f t="shared" si="47"/>
        <v>0</v>
      </c>
      <c r="AQ248" s="167">
        <f t="shared" si="45"/>
        <v>0</v>
      </c>
      <c r="AR248" s="160">
        <f t="shared" si="48"/>
        <v>0</v>
      </c>
      <c r="AS248" s="168">
        <f t="shared" si="49"/>
        <v>0</v>
      </c>
      <c r="AT248" s="169" t="str">
        <f>K248</f>
        <v>MI</v>
      </c>
      <c r="AU248" s="169" t="str">
        <f>I248</f>
        <v>Mercadorias</v>
      </c>
      <c r="AV248" s="170"/>
      <c r="AW248" s="171">
        <f>IF(K248=$K$50,0,IF(K248=$K$53,0,IF(K248=$K$54,0,IF(K248=$K$55,0,IF(K248=$K$56,0,IF(K248=$K$57,0,IF(K248=$K$58,0,IF(K248=$K$65,0,IF(K248=$K$66,0,IF(K248=$K$67,0,IF(K248=$K$68,0,IF(K248=$K$69,0,IF(K248=$K$51,0,1))))))))))))*AM248*AI248)</f>
        <v>0</v>
      </c>
      <c r="AX248" s="172">
        <f>IF(K248=$K$50,0,IF(K248=$K$53,0,IF(K248=$K$54,0,IF(K248=$K$55,0,IF(K248=$K$56,0,IF(K248=$K$57,0,IF(K248=$K$58,0,IF(K248=$K$65,0,IF(K248=$K$66,0,IF(K248=$K$67,0,IF(K248=$K$68,0,IF(K248=$K$69,0,IF(K248=$K$51,0,1))))))))))))*AM248*AJ248*$AX$94)</f>
        <v>0</v>
      </c>
      <c r="AY248" s="172">
        <f>IF(K248=$K$53,0,IF(K248=$K$54,0,IF(K248=$K$55,0,IF(K248=$K$56,0,IF(K248=$K$58,0,IF(K248=$K$50,0,IF(K248=$K$65,0,IF(K248=$K$57,0,IF(K248=$K$51,0,AM248*$AY$102)))))))))</f>
        <v>0</v>
      </c>
      <c r="AZ248" s="172">
        <f>IF(K248=$K$53,0,IF(K248=$K$54,0,IF(K248=$K$55,0,IF(K248=$K$56,0,IF(K248=$K$58,0,IF(K248=$K$50,0,IF(K248=$K$65,0,IF(K248=$K$57,0,IF(K248=$K$51,0,AM248*$AZ$102)))))))))</f>
        <v>0</v>
      </c>
      <c r="BA248" s="172">
        <f t="shared" si="50"/>
        <v>0</v>
      </c>
      <c r="BB248" s="173">
        <f>IF($BA$97=1,AQ248*$BB$102,IF(K248=$K$50,0,IF(K248=$K$53,0,IF(K248=$K$54,0,IF(K248=$K$55,0,IF(K248=$K$56,0,IF(K248=$K$57,0,IF(K248=$K$58,0,IF(K248=$K$65,0,IF(K248=$K$66,0,IF(K248=$K$67,0,IF(K248=$K$68,0,IF(K248=$K$69,0,IF(K248=$K$51,0,1)))))))))))*AQ248*$BB$102)))</f>
        <v>0</v>
      </c>
      <c r="BC248" s="172">
        <f t="shared" si="51"/>
        <v>0</v>
      </c>
      <c r="BD248" s="172">
        <f t="shared" si="52"/>
        <v>0</v>
      </c>
      <c r="BE248" s="172">
        <f>IF($BE$95=I248,$BE$97,IF(I248=$BE$96,$BE$97,1))*($BE$102*AQ248)*$AZ$97</f>
        <v>0</v>
      </c>
      <c r="BF248" s="172">
        <f>IF('[1]Cockpit Retorno'!$C$65=Sim,Mestre!BA248,SUM(BB248:BE248)+(IF(K248=$K$56,AQ248*MOE_IRRF_LR,0)))</f>
        <v>0</v>
      </c>
      <c r="BG248" s="174">
        <f>IF(AA248&gt;0,0,IF(Z248=$Z$82,AG248*1,(IF(Z248=$Z$81,AG248*1,0))))</f>
        <v>0</v>
      </c>
      <c r="BH248" s="174">
        <f>IF(AA248&gt;0,0,IF(Z248=$Z$83,AG248*1,IF(Z248=$Z$81,AG248*1,0)))</f>
        <v>0</v>
      </c>
      <c r="BI248" s="174">
        <f>IF(AA248&gt;0,0,IF(Z248=$Z$84,AG248*1,IF(Z248=$Z$93,AG248*2,IF(Z248=$Z$100,AG248,IF(Z248=$Z$81,AG248*2,IF(Z248=$Z$80,AG248*1,IF(Z248=$Z$79,AG248*3,IF(Z248=$Z$78,AG248*2,0))))))))</f>
        <v>0</v>
      </c>
      <c r="BJ248" s="174">
        <f>IF(AA248&gt;0,0,IF(Z248=$Z$85,AG248,IF(Z248=$Z$93,AG248,IF(Z248=$Z$100,AG248,IF(Z248=$Z$81,AG248*1,IF(Z248=$Z$80,AG248*2,IF(Z248=$Z$79,AG248*2,IF(Z248=$Z$78,AG248*2,0))))))))</f>
        <v>0</v>
      </c>
      <c r="BK248" s="174">
        <f>IF(AA248&gt;0,0,IF(Z248=$Z$92,AG248,0))</f>
        <v>0</v>
      </c>
      <c r="BL248" s="174">
        <f>IF(AA248&gt;0,0,IF(Z248=$Z$91,AG248,0))</f>
        <v>0</v>
      </c>
      <c r="BM248" s="174">
        <f>IF(AA248&gt;0,0,IF(Z248=$Z$86,AG248,0))</f>
        <v>0</v>
      </c>
      <c r="BN248" s="174">
        <f>IF(AA248&gt;0,0,IF(Z248=$Z$87,AG248,0))</f>
        <v>0</v>
      </c>
      <c r="BO248" s="174">
        <f>IF(AA248&gt;0,0,IF(Z248=$Z$88,AG248,0))</f>
        <v>0</v>
      </c>
      <c r="BP248" s="174">
        <f>IF(AA248&gt;0,0,IF(Z248=$Z$89,AG248,0))</f>
        <v>0</v>
      </c>
      <c r="BQ248" s="174">
        <f>IF(AA248&gt;0,0,IF(Z248=$Z$90,AG248,0))</f>
        <v>0</v>
      </c>
      <c r="BR248" s="174">
        <f>IF(Z248=$Z$82,AA248*AG248,0)</f>
        <v>0</v>
      </c>
      <c r="BS248" s="174">
        <f>IF(Z248=$Z$83,AA248*AG248,0)</f>
        <v>0</v>
      </c>
      <c r="BT248" s="174">
        <f>IF(AA248&lt;1,0,IF(Z248=$Z$84,AA248*AG248,IF(Z248=$Z$93,"ERRO",IF(Z248=$Z$100,"ERRO",0))))</f>
        <v>0</v>
      </c>
      <c r="BU248" s="174">
        <f>IF(AA248&lt;1,0,IF(Z248=$Z$85,AA248*AG248,IF(Z248=$Z$93,"ERRO",IF(Z248=$Z$100,"ERRO",0))))</f>
        <v>0</v>
      </c>
      <c r="BV248" s="174">
        <f>IF(Z248=$Z$92,AA248*AG248,0)</f>
        <v>0</v>
      </c>
      <c r="BW248" s="174">
        <f>IF(Z248=$Z$91,AA248*AG248,0)</f>
        <v>0</v>
      </c>
      <c r="BX248" s="174">
        <f>IF(Z248=$Z$86,AA248*AG248,0)</f>
        <v>0</v>
      </c>
      <c r="BY248" s="174">
        <f>IF(Z248=$Z$87,AA248*AG248,0)</f>
        <v>0</v>
      </c>
      <c r="BZ248" s="174">
        <f>IF(Z248=$Z$88,AA248*AG248,0)</f>
        <v>0</v>
      </c>
      <c r="CA248" s="174">
        <f>IF(Z248=$Z$89,AA248*AG248,0)</f>
        <v>0</v>
      </c>
      <c r="CB248" s="174">
        <f>IF(Z248=$Z$90,AA248*AG248,0)</f>
        <v>0</v>
      </c>
      <c r="CC248" s="175">
        <f>IFERROR(IF(L248=$L$49,AG248*AH248*(1+AI248)*(1-AK248)*(1-AL248),0),0)</f>
        <v>664.52452499999993</v>
      </c>
      <c r="CD248" s="203"/>
      <c r="CE248" s="203"/>
      <c r="CF248" s="204"/>
      <c r="CG248" s="203"/>
      <c r="CH248" s="204"/>
      <c r="CI248" s="203"/>
      <c r="CJ248" s="205"/>
      <c r="CK248" s="205"/>
      <c r="CL248" s="205"/>
      <c r="CM248" s="205"/>
      <c r="CN248" s="206"/>
      <c r="CO248" s="204"/>
      <c r="CP248" s="207"/>
      <c r="CQ248" s="208"/>
      <c r="CR248" s="209"/>
      <c r="CS248" s="49"/>
      <c r="CT248" s="49"/>
      <c r="CU248" s="49"/>
      <c r="CV248" s="49"/>
      <c r="CW248" s="49"/>
      <c r="CX248" s="49"/>
      <c r="CY248" s="49"/>
      <c r="CZ248" s="49"/>
      <c r="DA248" s="49"/>
      <c r="DB248" s="49"/>
      <c r="DC248" s="49"/>
      <c r="DD248" s="49"/>
      <c r="DE248" s="49"/>
      <c r="DF248" s="49"/>
      <c r="DG248" s="49"/>
      <c r="DH248" s="49"/>
      <c r="DI248" s="49"/>
      <c r="DJ248" s="49"/>
      <c r="DK248" s="49"/>
      <c r="DL248" s="49"/>
      <c r="DM248" s="49"/>
      <c r="DN248" s="49"/>
      <c r="DO248" s="49"/>
      <c r="DP248" s="49"/>
      <c r="DQ248" s="49"/>
      <c r="DR248" s="49"/>
      <c r="DS248" s="49"/>
      <c r="DT248" s="49"/>
      <c r="DU248" s="49"/>
      <c r="DV248" s="49"/>
      <c r="DW248" s="49"/>
      <c r="DX248" s="49"/>
      <c r="DY248" s="49"/>
      <c r="DZ248" s="49"/>
      <c r="EA248" s="49"/>
      <c r="EB248" s="49"/>
      <c r="EC248" s="49"/>
      <c r="ED248" s="49"/>
      <c r="EE248" s="49"/>
      <c r="EF248" s="49"/>
      <c r="EG248" s="49"/>
      <c r="EH248" s="49"/>
      <c r="EI248" s="49"/>
      <c r="EJ248" s="49"/>
      <c r="EK248" s="49"/>
      <c r="EL248" s="49"/>
      <c r="EM248" s="49"/>
      <c r="EN248" s="49"/>
      <c r="EO248" s="49"/>
      <c r="EP248" s="49"/>
      <c r="EQ248" s="49"/>
      <c r="ER248" s="49"/>
      <c r="ES248" s="49"/>
      <c r="ET248" s="49"/>
      <c r="EU248" s="49"/>
      <c r="EV248" s="49"/>
      <c r="EW248" s="49"/>
      <c r="EX248" s="49"/>
      <c r="EY248" s="49"/>
      <c r="EZ248" s="49"/>
      <c r="FA248" s="49"/>
    </row>
    <row r="249" spans="1:157" s="210" customFormat="1" ht="38.25" x14ac:dyDescent="0.25">
      <c r="A249" s="113"/>
      <c r="B249" s="113"/>
      <c r="C249" s="113"/>
      <c r="D249" s="148"/>
      <c r="E249" s="115"/>
      <c r="F249" s="116"/>
      <c r="G249" s="149"/>
      <c r="H249" s="150" t="s">
        <v>7</v>
      </c>
      <c r="I249" s="151" t="str">
        <f t="shared" si="46"/>
        <v>Mercadorias</v>
      </c>
      <c r="J249" s="150" t="s">
        <v>15</v>
      </c>
      <c r="K249" s="152" t="s">
        <v>7</v>
      </c>
      <c r="L249" s="153" t="s">
        <v>21</v>
      </c>
      <c r="M249" s="154" t="s">
        <v>290</v>
      </c>
      <c r="N249" s="155" t="s">
        <v>370</v>
      </c>
      <c r="O249" s="155" t="s">
        <v>343</v>
      </c>
      <c r="P249" s="155"/>
      <c r="Q249" s="155"/>
      <c r="R249" s="155"/>
      <c r="S249" s="156"/>
      <c r="T249" s="156"/>
      <c r="U249" s="150"/>
      <c r="V249" s="150"/>
      <c r="W249" s="150"/>
      <c r="X249" s="157" t="s">
        <v>394</v>
      </c>
      <c r="Y249" s="150"/>
      <c r="Z249" s="150"/>
      <c r="AA249" s="158"/>
      <c r="AB249" s="155"/>
      <c r="AC249" s="150"/>
      <c r="AD249" s="155"/>
      <c r="AE249" s="155"/>
      <c r="AF249" s="150"/>
      <c r="AG249" s="159">
        <v>50</v>
      </c>
      <c r="AH249" s="159">
        <v>198.60149999999999</v>
      </c>
      <c r="AI249" s="202">
        <v>0</v>
      </c>
      <c r="AJ249" s="161">
        <v>7.0000000000000007E-2</v>
      </c>
      <c r="AK249" s="162">
        <v>0.05</v>
      </c>
      <c r="AL249" s="163"/>
      <c r="AM249" s="164">
        <f>(((IF(L249=$L$101,1,IF(L249=$L$47,1,0))*(AH249*(1-AK249)))*AG249)*(1-AL249))</f>
        <v>0</v>
      </c>
      <c r="AN249" s="165">
        <f>IF(K249=$K$50,AM249,IF(K249=$K$53,AM249,IF(K249=$K$54,AM249,IF(K249=$K$55,AM249,IF(K249=$K$56,AM249,IF(K249=$K$57,AM249,IF(K249=$K$58,AM249,IF(K249=$K$65,AM249,IF(K249=$K$66,AM249,IF(K249=$K$67,AM249,IF(K249=$K$68,AM249,IF(K249=$K$69,AM249,IF(K249=$K$51,AM249,(AM249*(1+AI249)))))))))))))))</f>
        <v>0</v>
      </c>
      <c r="AO249" s="166">
        <v>1.4</v>
      </c>
      <c r="AP249" s="160">
        <f t="shared" si="47"/>
        <v>0</v>
      </c>
      <c r="AQ249" s="167">
        <f t="shared" si="45"/>
        <v>0</v>
      </c>
      <c r="AR249" s="160">
        <f t="shared" si="48"/>
        <v>0</v>
      </c>
      <c r="AS249" s="168">
        <f t="shared" si="49"/>
        <v>0</v>
      </c>
      <c r="AT249" s="169" t="str">
        <f>K249</f>
        <v>MI</v>
      </c>
      <c r="AU249" s="169" t="str">
        <f>I249</f>
        <v>Mercadorias</v>
      </c>
      <c r="AV249" s="170"/>
      <c r="AW249" s="171">
        <f>IF(K249=$K$50,0,IF(K249=$K$53,0,IF(K249=$K$54,0,IF(K249=$K$55,0,IF(K249=$K$56,0,IF(K249=$K$57,0,IF(K249=$K$58,0,IF(K249=$K$65,0,IF(K249=$K$66,0,IF(K249=$K$67,0,IF(K249=$K$68,0,IF(K249=$K$69,0,IF(K249=$K$51,0,1))))))))))))*AM249*AI249)</f>
        <v>0</v>
      </c>
      <c r="AX249" s="172">
        <f>IF(K249=$K$50,0,IF(K249=$K$53,0,IF(K249=$K$54,0,IF(K249=$K$55,0,IF(K249=$K$56,0,IF(K249=$K$57,0,IF(K249=$K$58,0,IF(K249=$K$65,0,IF(K249=$K$66,0,IF(K249=$K$67,0,IF(K249=$K$68,0,IF(K249=$K$69,0,IF(K249=$K$51,0,1))))))))))))*AM249*AJ249*$AX$94)</f>
        <v>0</v>
      </c>
      <c r="AY249" s="172">
        <f>IF(K249=$K$53,0,IF(K249=$K$54,0,IF(K249=$K$55,0,IF(K249=$K$56,0,IF(K249=$K$58,0,IF(K249=$K$50,0,IF(K249=$K$65,0,IF(K249=$K$57,0,IF(K249=$K$51,0,AM249*$AY$102)))))))))</f>
        <v>0</v>
      </c>
      <c r="AZ249" s="172">
        <f>IF(K249=$K$53,0,IF(K249=$K$54,0,IF(K249=$K$55,0,IF(K249=$K$56,0,IF(K249=$K$58,0,IF(K249=$K$50,0,IF(K249=$K$65,0,IF(K249=$K$57,0,IF(K249=$K$51,0,AM249*$AZ$102)))))))))</f>
        <v>0</v>
      </c>
      <c r="BA249" s="172">
        <f t="shared" si="50"/>
        <v>0</v>
      </c>
      <c r="BB249" s="173">
        <f>IF($BA$97=1,AQ249*$BB$102,IF(K249=$K$50,0,IF(K249=$K$53,0,IF(K249=$K$54,0,IF(K249=$K$55,0,IF(K249=$K$56,0,IF(K249=$K$57,0,IF(K249=$K$58,0,IF(K249=$K$65,0,IF(K249=$K$66,0,IF(K249=$K$67,0,IF(K249=$K$68,0,IF(K249=$K$69,0,IF(K249=$K$51,0,1)))))))))))*AQ249*$BB$102)))</f>
        <v>0</v>
      </c>
      <c r="BC249" s="172">
        <f t="shared" si="51"/>
        <v>0</v>
      </c>
      <c r="BD249" s="172">
        <f t="shared" si="52"/>
        <v>0</v>
      </c>
      <c r="BE249" s="172">
        <f>IF($BE$95=I249,$BE$97,IF(I249=$BE$96,$BE$97,1))*($BE$102*AQ249)*$AZ$97</f>
        <v>0</v>
      </c>
      <c r="BF249" s="172">
        <f>IF('[1]Cockpit Retorno'!$C$65=Sim,Mestre!BA249,SUM(BB249:BE249)+(IF(K249=$K$56,AQ249*MOE_IRRF_LR,0)))</f>
        <v>0</v>
      </c>
      <c r="BG249" s="174">
        <f>IF(AA249&gt;0,0,IF(Z249=$Z$82,AG249*1,(IF(Z249=$Z$81,AG249*1,0))))</f>
        <v>0</v>
      </c>
      <c r="BH249" s="174">
        <f>IF(AA249&gt;0,0,IF(Z249=$Z$83,AG249*1,IF(Z249=$Z$81,AG249*1,0)))</f>
        <v>0</v>
      </c>
      <c r="BI249" s="174">
        <f>IF(AA249&gt;0,0,IF(Z249=$Z$84,AG249*1,IF(Z249=$Z$93,AG249*2,IF(Z249=$Z$100,AG249,IF(Z249=$Z$81,AG249*2,IF(Z249=$Z$80,AG249*1,IF(Z249=$Z$79,AG249*3,IF(Z249=$Z$78,AG249*2,0))))))))</f>
        <v>0</v>
      </c>
      <c r="BJ249" s="174">
        <f>IF(AA249&gt;0,0,IF(Z249=$Z$85,AG249,IF(Z249=$Z$93,AG249,IF(Z249=$Z$100,AG249,IF(Z249=$Z$81,AG249*1,IF(Z249=$Z$80,AG249*2,IF(Z249=$Z$79,AG249*2,IF(Z249=$Z$78,AG249*2,0))))))))</f>
        <v>0</v>
      </c>
      <c r="BK249" s="174">
        <f>IF(AA249&gt;0,0,IF(Z249=$Z$92,AG249,0))</f>
        <v>0</v>
      </c>
      <c r="BL249" s="174">
        <f>IF(AA249&gt;0,0,IF(Z249=$Z$91,AG249,0))</f>
        <v>0</v>
      </c>
      <c r="BM249" s="174">
        <f>IF(AA249&gt;0,0,IF(Z249=$Z$86,AG249,0))</f>
        <v>0</v>
      </c>
      <c r="BN249" s="174">
        <f>IF(AA249&gt;0,0,IF(Z249=$Z$87,AG249,0))</f>
        <v>0</v>
      </c>
      <c r="BO249" s="174">
        <f>IF(AA249&gt;0,0,IF(Z249=$Z$88,AG249,0))</f>
        <v>0</v>
      </c>
      <c r="BP249" s="174">
        <f>IF(AA249&gt;0,0,IF(Z249=$Z$89,AG249,0))</f>
        <v>0</v>
      </c>
      <c r="BQ249" s="174">
        <f>IF(AA249&gt;0,0,IF(Z249=$Z$90,AG249,0))</f>
        <v>0</v>
      </c>
      <c r="BR249" s="174">
        <f>IF(Z249=$Z$82,AA249*AG249,0)</f>
        <v>0</v>
      </c>
      <c r="BS249" s="174">
        <f>IF(Z249=$Z$83,AA249*AG249,0)</f>
        <v>0</v>
      </c>
      <c r="BT249" s="174">
        <f>IF(AA249&lt;1,0,IF(Z249=$Z$84,AA249*AG249,IF(Z249=$Z$93,"ERRO",IF(Z249=$Z$100,"ERRO",0))))</f>
        <v>0</v>
      </c>
      <c r="BU249" s="174">
        <f>IF(AA249&lt;1,0,IF(Z249=$Z$85,AA249*AG249,IF(Z249=$Z$93,"ERRO",IF(Z249=$Z$100,"ERRO",0))))</f>
        <v>0</v>
      </c>
      <c r="BV249" s="174">
        <f>IF(Z249=$Z$92,AA249*AG249,0)</f>
        <v>0</v>
      </c>
      <c r="BW249" s="174">
        <f>IF(Z249=$Z$91,AA249*AG249,0)</f>
        <v>0</v>
      </c>
      <c r="BX249" s="174">
        <f>IF(Z249=$Z$86,AA249*AG249,0)</f>
        <v>0</v>
      </c>
      <c r="BY249" s="174">
        <f>IF(Z249=$Z$87,AA249*AG249,0)</f>
        <v>0</v>
      </c>
      <c r="BZ249" s="174">
        <f>IF(Z249=$Z$88,AA249*AG249,0)</f>
        <v>0</v>
      </c>
      <c r="CA249" s="174">
        <f>IF(Z249=$Z$89,AA249*AG249,0)</f>
        <v>0</v>
      </c>
      <c r="CB249" s="174">
        <f>IF(Z249=$Z$90,AA249*AG249,0)</f>
        <v>0</v>
      </c>
      <c r="CC249" s="175">
        <f>IFERROR(IF(L249=$L$49,AG249*AH249*(1+AI249)*(1-AK249)*(1-AL249),0),0)</f>
        <v>9433.5712499999991</v>
      </c>
      <c r="CD249" s="203"/>
      <c r="CE249" s="203"/>
      <c r="CF249" s="204"/>
      <c r="CG249" s="203"/>
      <c r="CH249" s="204"/>
      <c r="CI249" s="203"/>
      <c r="CJ249" s="205"/>
      <c r="CK249" s="205"/>
      <c r="CL249" s="205"/>
      <c r="CM249" s="205"/>
      <c r="CN249" s="206"/>
      <c r="CO249" s="204"/>
      <c r="CP249" s="207"/>
      <c r="CQ249" s="208"/>
      <c r="CR249" s="209"/>
      <c r="CS249" s="49"/>
      <c r="CT249" s="49"/>
      <c r="CU249" s="49"/>
      <c r="CV249" s="49"/>
      <c r="CW249" s="49"/>
      <c r="CX249" s="49"/>
      <c r="CY249" s="49"/>
      <c r="CZ249" s="49"/>
      <c r="DA249" s="49"/>
      <c r="DB249" s="49"/>
      <c r="DC249" s="49"/>
      <c r="DD249" s="49"/>
      <c r="DE249" s="49"/>
      <c r="DF249" s="49"/>
      <c r="DG249" s="49"/>
      <c r="DH249" s="49"/>
      <c r="DI249" s="49"/>
      <c r="DJ249" s="49"/>
      <c r="DK249" s="49"/>
      <c r="DL249" s="49"/>
      <c r="DM249" s="49"/>
      <c r="DN249" s="49"/>
      <c r="DO249" s="49"/>
      <c r="DP249" s="49"/>
      <c r="DQ249" s="49"/>
      <c r="DR249" s="49"/>
      <c r="DS249" s="49"/>
      <c r="DT249" s="49"/>
      <c r="DU249" s="49"/>
      <c r="DV249" s="49"/>
      <c r="DW249" s="49"/>
      <c r="DX249" s="49"/>
      <c r="DY249" s="49"/>
      <c r="DZ249" s="49"/>
      <c r="EA249" s="49"/>
      <c r="EB249" s="49"/>
      <c r="EC249" s="49"/>
      <c r="ED249" s="49"/>
      <c r="EE249" s="49"/>
      <c r="EF249" s="49"/>
      <c r="EG249" s="49"/>
      <c r="EH249" s="49"/>
      <c r="EI249" s="49"/>
      <c r="EJ249" s="49"/>
      <c r="EK249" s="49"/>
      <c r="EL249" s="49"/>
      <c r="EM249" s="49"/>
      <c r="EN249" s="49"/>
      <c r="EO249" s="49"/>
      <c r="EP249" s="49"/>
      <c r="EQ249" s="49"/>
      <c r="ER249" s="49"/>
      <c r="ES249" s="49"/>
      <c r="ET249" s="49"/>
      <c r="EU249" s="49"/>
      <c r="EV249" s="49"/>
      <c r="EW249" s="49"/>
      <c r="EX249" s="49"/>
      <c r="EY249" s="49"/>
      <c r="EZ249" s="49"/>
      <c r="FA249" s="49"/>
    </row>
    <row r="250" spans="1:157" s="210" customFormat="1" ht="51" x14ac:dyDescent="0.25">
      <c r="A250" s="113"/>
      <c r="B250" s="113"/>
      <c r="C250" s="113"/>
      <c r="D250" s="148"/>
      <c r="E250" s="115"/>
      <c r="F250" s="116"/>
      <c r="G250" s="149"/>
      <c r="H250" s="150" t="s">
        <v>7</v>
      </c>
      <c r="I250" s="151" t="str">
        <f t="shared" si="46"/>
        <v>Mercadorias</v>
      </c>
      <c r="J250" s="150" t="s">
        <v>15</v>
      </c>
      <c r="K250" s="152" t="s">
        <v>7</v>
      </c>
      <c r="L250" s="153" t="s">
        <v>21</v>
      </c>
      <c r="M250" s="154" t="s">
        <v>290</v>
      </c>
      <c r="N250" s="155" t="s">
        <v>370</v>
      </c>
      <c r="O250" s="155" t="s">
        <v>343</v>
      </c>
      <c r="P250" s="155"/>
      <c r="Q250" s="155"/>
      <c r="R250" s="155"/>
      <c r="S250" s="156"/>
      <c r="T250" s="156"/>
      <c r="U250" s="150"/>
      <c r="V250" s="150"/>
      <c r="W250" s="150"/>
      <c r="X250" s="157" t="s">
        <v>395</v>
      </c>
      <c r="Y250" s="150"/>
      <c r="Z250" s="150"/>
      <c r="AA250" s="158"/>
      <c r="AB250" s="155"/>
      <c r="AC250" s="150"/>
      <c r="AD250" s="155"/>
      <c r="AE250" s="155"/>
      <c r="AF250" s="150"/>
      <c r="AG250" s="159">
        <v>6</v>
      </c>
      <c r="AH250" s="159">
        <v>149.7765</v>
      </c>
      <c r="AI250" s="202">
        <v>0</v>
      </c>
      <c r="AJ250" s="161">
        <v>7.0000000000000007E-2</v>
      </c>
      <c r="AK250" s="162">
        <v>0.05</v>
      </c>
      <c r="AL250" s="163"/>
      <c r="AM250" s="164">
        <f>(((IF(L250=$L$101,1,IF(L250=$L$47,1,0))*(AH250*(1-AK250)))*AG250)*(1-AL250))</f>
        <v>0</v>
      </c>
      <c r="AN250" s="165">
        <f>IF(K250=$K$50,AM250,IF(K250=$K$53,AM250,IF(K250=$K$54,AM250,IF(K250=$K$55,AM250,IF(K250=$K$56,AM250,IF(K250=$K$57,AM250,IF(K250=$K$58,AM250,IF(K250=$K$65,AM250,IF(K250=$K$66,AM250,IF(K250=$K$67,AM250,IF(K250=$K$68,AM250,IF(K250=$K$69,AM250,IF(K250=$K$51,AM250,(AM250*(1+AI250)))))))))))))))</f>
        <v>0</v>
      </c>
      <c r="AO250" s="166">
        <v>1.4</v>
      </c>
      <c r="AP250" s="160">
        <f t="shared" si="47"/>
        <v>0</v>
      </c>
      <c r="AQ250" s="167">
        <f t="shared" si="45"/>
        <v>0</v>
      </c>
      <c r="AR250" s="160">
        <f t="shared" si="48"/>
        <v>0</v>
      </c>
      <c r="AS250" s="168">
        <f t="shared" si="49"/>
        <v>0</v>
      </c>
      <c r="AT250" s="169" t="str">
        <f>K250</f>
        <v>MI</v>
      </c>
      <c r="AU250" s="169" t="str">
        <f>I250</f>
        <v>Mercadorias</v>
      </c>
      <c r="AV250" s="170"/>
      <c r="AW250" s="171">
        <f>IF(K250=$K$50,0,IF(K250=$K$53,0,IF(K250=$K$54,0,IF(K250=$K$55,0,IF(K250=$K$56,0,IF(K250=$K$57,0,IF(K250=$K$58,0,IF(K250=$K$65,0,IF(K250=$K$66,0,IF(K250=$K$67,0,IF(K250=$K$68,0,IF(K250=$K$69,0,IF(K250=$K$51,0,1))))))))))))*AM250*AI250)</f>
        <v>0</v>
      </c>
      <c r="AX250" s="172">
        <f>IF(K250=$K$50,0,IF(K250=$K$53,0,IF(K250=$K$54,0,IF(K250=$K$55,0,IF(K250=$K$56,0,IF(K250=$K$57,0,IF(K250=$K$58,0,IF(K250=$K$65,0,IF(K250=$K$66,0,IF(K250=$K$67,0,IF(K250=$K$68,0,IF(K250=$K$69,0,IF(K250=$K$51,0,1))))))))))))*AM250*AJ250*$AX$94)</f>
        <v>0</v>
      </c>
      <c r="AY250" s="172">
        <f>IF(K250=$K$53,0,IF(K250=$K$54,0,IF(K250=$K$55,0,IF(K250=$K$56,0,IF(K250=$K$58,0,IF(K250=$K$50,0,IF(K250=$K$65,0,IF(K250=$K$57,0,IF(K250=$K$51,0,AM250*$AY$102)))))))))</f>
        <v>0</v>
      </c>
      <c r="AZ250" s="172">
        <f>IF(K250=$K$53,0,IF(K250=$K$54,0,IF(K250=$K$55,0,IF(K250=$K$56,0,IF(K250=$K$58,0,IF(K250=$K$50,0,IF(K250=$K$65,0,IF(K250=$K$57,0,IF(K250=$K$51,0,AM250*$AZ$102)))))))))</f>
        <v>0</v>
      </c>
      <c r="BA250" s="172">
        <f t="shared" si="50"/>
        <v>0</v>
      </c>
      <c r="BB250" s="173">
        <f>IF($BA$97=1,AQ250*$BB$102,IF(K250=$K$50,0,IF(K250=$K$53,0,IF(K250=$K$54,0,IF(K250=$K$55,0,IF(K250=$K$56,0,IF(K250=$K$57,0,IF(K250=$K$58,0,IF(K250=$K$65,0,IF(K250=$K$66,0,IF(K250=$K$67,0,IF(K250=$K$68,0,IF(K250=$K$69,0,IF(K250=$K$51,0,1)))))))))))*AQ250*$BB$102)))</f>
        <v>0</v>
      </c>
      <c r="BC250" s="172">
        <f t="shared" si="51"/>
        <v>0</v>
      </c>
      <c r="BD250" s="172">
        <f t="shared" si="52"/>
        <v>0</v>
      </c>
      <c r="BE250" s="172">
        <f>IF($BE$95=I250,$BE$97,IF(I250=$BE$96,$BE$97,1))*($BE$102*AQ250)*$AZ$97</f>
        <v>0</v>
      </c>
      <c r="BF250" s="172">
        <f>IF('[1]Cockpit Retorno'!$C$65=Sim,Mestre!BA250,SUM(BB250:BE250)+(IF(K250=$K$56,AQ250*MOE_IRRF_LR,0)))</f>
        <v>0</v>
      </c>
      <c r="BG250" s="174">
        <f>IF(AA250&gt;0,0,IF(Z250=$Z$82,AG250*1,(IF(Z250=$Z$81,AG250*1,0))))</f>
        <v>0</v>
      </c>
      <c r="BH250" s="174">
        <f>IF(AA250&gt;0,0,IF(Z250=$Z$83,AG250*1,IF(Z250=$Z$81,AG250*1,0)))</f>
        <v>0</v>
      </c>
      <c r="BI250" s="174">
        <f>IF(AA250&gt;0,0,IF(Z250=$Z$84,AG250*1,IF(Z250=$Z$93,AG250*2,IF(Z250=$Z$100,AG250,IF(Z250=$Z$81,AG250*2,IF(Z250=$Z$80,AG250*1,IF(Z250=$Z$79,AG250*3,IF(Z250=$Z$78,AG250*2,0))))))))</f>
        <v>0</v>
      </c>
      <c r="BJ250" s="174">
        <f>IF(AA250&gt;0,0,IF(Z250=$Z$85,AG250,IF(Z250=$Z$93,AG250,IF(Z250=$Z$100,AG250,IF(Z250=$Z$81,AG250*1,IF(Z250=$Z$80,AG250*2,IF(Z250=$Z$79,AG250*2,IF(Z250=$Z$78,AG250*2,0))))))))</f>
        <v>0</v>
      </c>
      <c r="BK250" s="174">
        <f>IF(AA250&gt;0,0,IF(Z250=$Z$92,AG250,0))</f>
        <v>0</v>
      </c>
      <c r="BL250" s="174">
        <f>IF(AA250&gt;0,0,IF(Z250=$Z$91,AG250,0))</f>
        <v>0</v>
      </c>
      <c r="BM250" s="174">
        <f>IF(AA250&gt;0,0,IF(Z250=$Z$86,AG250,0))</f>
        <v>0</v>
      </c>
      <c r="BN250" s="174">
        <f>IF(AA250&gt;0,0,IF(Z250=$Z$87,AG250,0))</f>
        <v>0</v>
      </c>
      <c r="BO250" s="174">
        <f>IF(AA250&gt;0,0,IF(Z250=$Z$88,AG250,0))</f>
        <v>0</v>
      </c>
      <c r="BP250" s="174">
        <f>IF(AA250&gt;0,0,IF(Z250=$Z$89,AG250,0))</f>
        <v>0</v>
      </c>
      <c r="BQ250" s="174">
        <f>IF(AA250&gt;0,0,IF(Z250=$Z$90,AG250,0))</f>
        <v>0</v>
      </c>
      <c r="BR250" s="174">
        <f>IF(Z250=$Z$82,AA250*AG250,0)</f>
        <v>0</v>
      </c>
      <c r="BS250" s="174">
        <f>IF(Z250=$Z$83,AA250*AG250,0)</f>
        <v>0</v>
      </c>
      <c r="BT250" s="174">
        <f>IF(AA250&lt;1,0,IF(Z250=$Z$84,AA250*AG250,IF(Z250=$Z$93,"ERRO",IF(Z250=$Z$100,"ERRO",0))))</f>
        <v>0</v>
      </c>
      <c r="BU250" s="174">
        <f>IF(AA250&lt;1,0,IF(Z250=$Z$85,AA250*AG250,IF(Z250=$Z$93,"ERRO",IF(Z250=$Z$100,"ERRO",0))))</f>
        <v>0</v>
      </c>
      <c r="BV250" s="174">
        <f>IF(Z250=$Z$92,AA250*AG250,0)</f>
        <v>0</v>
      </c>
      <c r="BW250" s="174">
        <f>IF(Z250=$Z$91,AA250*AG250,0)</f>
        <v>0</v>
      </c>
      <c r="BX250" s="174">
        <f>IF(Z250=$Z$86,AA250*AG250,0)</f>
        <v>0</v>
      </c>
      <c r="BY250" s="174">
        <f>IF(Z250=$Z$87,AA250*AG250,0)</f>
        <v>0</v>
      </c>
      <c r="BZ250" s="174">
        <f>IF(Z250=$Z$88,AA250*AG250,0)</f>
        <v>0</v>
      </c>
      <c r="CA250" s="174">
        <f>IF(Z250=$Z$89,AA250*AG250,0)</f>
        <v>0</v>
      </c>
      <c r="CB250" s="174">
        <f>IF(Z250=$Z$90,AA250*AG250,0)</f>
        <v>0</v>
      </c>
      <c r="CC250" s="175">
        <f>IFERROR(IF(L250=$L$49,AG250*AH250*(1+AI250)*(1-AK250)*(1-AL250),0),0)</f>
        <v>853.72604999999999</v>
      </c>
      <c r="CD250" s="203"/>
      <c r="CE250" s="203"/>
      <c r="CF250" s="204"/>
      <c r="CG250" s="203"/>
      <c r="CH250" s="204"/>
      <c r="CI250" s="203"/>
      <c r="CJ250" s="205"/>
      <c r="CK250" s="205"/>
      <c r="CL250" s="205"/>
      <c r="CM250" s="205"/>
      <c r="CN250" s="206"/>
      <c r="CO250" s="204"/>
      <c r="CP250" s="207"/>
      <c r="CQ250" s="208"/>
      <c r="CR250" s="209"/>
      <c r="CS250" s="49"/>
      <c r="CT250" s="49"/>
      <c r="CU250" s="49"/>
      <c r="CV250" s="49"/>
      <c r="CW250" s="49"/>
      <c r="CX250" s="49"/>
      <c r="CY250" s="49"/>
      <c r="CZ250" s="49"/>
      <c r="DA250" s="49"/>
      <c r="DB250" s="49"/>
      <c r="DC250" s="49"/>
      <c r="DD250" s="49"/>
      <c r="DE250" s="49"/>
      <c r="DF250" s="49"/>
      <c r="DG250" s="49"/>
      <c r="DH250" s="49"/>
      <c r="DI250" s="49"/>
      <c r="DJ250" s="49"/>
      <c r="DK250" s="49"/>
      <c r="DL250" s="49"/>
      <c r="DM250" s="49"/>
      <c r="DN250" s="49"/>
      <c r="DO250" s="49"/>
      <c r="DP250" s="49"/>
      <c r="DQ250" s="49"/>
      <c r="DR250" s="49"/>
      <c r="DS250" s="49"/>
      <c r="DT250" s="49"/>
      <c r="DU250" s="49"/>
      <c r="DV250" s="49"/>
      <c r="DW250" s="49"/>
      <c r="DX250" s="49"/>
      <c r="DY250" s="49"/>
      <c r="DZ250" s="49"/>
      <c r="EA250" s="49"/>
      <c r="EB250" s="49"/>
      <c r="EC250" s="49"/>
      <c r="ED250" s="49"/>
      <c r="EE250" s="49"/>
      <c r="EF250" s="49"/>
      <c r="EG250" s="49"/>
      <c r="EH250" s="49"/>
      <c r="EI250" s="49"/>
      <c r="EJ250" s="49"/>
      <c r="EK250" s="49"/>
      <c r="EL250" s="49"/>
      <c r="EM250" s="49"/>
      <c r="EN250" s="49"/>
      <c r="EO250" s="49"/>
      <c r="EP250" s="49"/>
      <c r="EQ250" s="49"/>
      <c r="ER250" s="49"/>
      <c r="ES250" s="49"/>
      <c r="ET250" s="49"/>
      <c r="EU250" s="49"/>
      <c r="EV250" s="49"/>
      <c r="EW250" s="49"/>
      <c r="EX250" s="49"/>
      <c r="EY250" s="49"/>
      <c r="EZ250" s="49"/>
      <c r="FA250" s="49"/>
    </row>
    <row r="251" spans="1:157" s="210" customFormat="1" ht="51" x14ac:dyDescent="0.25">
      <c r="A251" s="113"/>
      <c r="B251" s="113"/>
      <c r="C251" s="113"/>
      <c r="D251" s="148"/>
      <c r="E251" s="115"/>
      <c r="F251" s="116"/>
      <c r="G251" s="149"/>
      <c r="H251" s="150" t="s">
        <v>7</v>
      </c>
      <c r="I251" s="151" t="str">
        <f t="shared" si="46"/>
        <v>Mercadorias</v>
      </c>
      <c r="J251" s="150" t="s">
        <v>15</v>
      </c>
      <c r="K251" s="152" t="s">
        <v>7</v>
      </c>
      <c r="L251" s="153" t="s">
        <v>21</v>
      </c>
      <c r="M251" s="154" t="s">
        <v>290</v>
      </c>
      <c r="N251" s="155" t="s">
        <v>370</v>
      </c>
      <c r="O251" s="155" t="s">
        <v>343</v>
      </c>
      <c r="P251" s="155"/>
      <c r="Q251" s="155"/>
      <c r="R251" s="155"/>
      <c r="S251" s="156"/>
      <c r="T251" s="156"/>
      <c r="U251" s="150"/>
      <c r="V251" s="150"/>
      <c r="W251" s="150"/>
      <c r="X251" s="157" t="s">
        <v>396</v>
      </c>
      <c r="Y251" s="150"/>
      <c r="Z251" s="150"/>
      <c r="AA251" s="158"/>
      <c r="AB251" s="155"/>
      <c r="AC251" s="150"/>
      <c r="AD251" s="155"/>
      <c r="AE251" s="155"/>
      <c r="AF251" s="150"/>
      <c r="AG251" s="159">
        <v>4</v>
      </c>
      <c r="AH251" s="159">
        <v>194.74200000000002</v>
      </c>
      <c r="AI251" s="202">
        <v>0</v>
      </c>
      <c r="AJ251" s="161">
        <v>7.0000000000000007E-2</v>
      </c>
      <c r="AK251" s="162">
        <v>0.05</v>
      </c>
      <c r="AL251" s="163"/>
      <c r="AM251" s="164">
        <f>(((IF(L251=$L$101,1,IF(L251=$L$47,1,0))*(AH251*(1-AK251)))*AG251)*(1-AL251))</f>
        <v>0</v>
      </c>
      <c r="AN251" s="165">
        <f>IF(K251=$K$50,AM251,IF(K251=$K$53,AM251,IF(K251=$K$54,AM251,IF(K251=$K$55,AM251,IF(K251=$K$56,AM251,IF(K251=$K$57,AM251,IF(K251=$K$58,AM251,IF(K251=$K$65,AM251,IF(K251=$K$66,AM251,IF(K251=$K$67,AM251,IF(K251=$K$68,AM251,IF(K251=$K$69,AM251,IF(K251=$K$51,AM251,(AM251*(1+AI251)))))))))))))))</f>
        <v>0</v>
      </c>
      <c r="AO251" s="166">
        <v>1.4</v>
      </c>
      <c r="AP251" s="160">
        <f t="shared" si="47"/>
        <v>0</v>
      </c>
      <c r="AQ251" s="167">
        <f t="shared" si="45"/>
        <v>0</v>
      </c>
      <c r="AR251" s="160">
        <f t="shared" si="48"/>
        <v>0</v>
      </c>
      <c r="AS251" s="168">
        <f t="shared" si="49"/>
        <v>0</v>
      </c>
      <c r="AT251" s="169" t="str">
        <f>K251</f>
        <v>MI</v>
      </c>
      <c r="AU251" s="169" t="str">
        <f>I251</f>
        <v>Mercadorias</v>
      </c>
      <c r="AV251" s="170"/>
      <c r="AW251" s="171">
        <f>IF(K251=$K$50,0,IF(K251=$K$53,0,IF(K251=$K$54,0,IF(K251=$K$55,0,IF(K251=$K$56,0,IF(K251=$K$57,0,IF(K251=$K$58,0,IF(K251=$K$65,0,IF(K251=$K$66,0,IF(K251=$K$67,0,IF(K251=$K$68,0,IF(K251=$K$69,0,IF(K251=$K$51,0,1))))))))))))*AM251*AI251)</f>
        <v>0</v>
      </c>
      <c r="AX251" s="172">
        <f>IF(K251=$K$50,0,IF(K251=$K$53,0,IF(K251=$K$54,0,IF(K251=$K$55,0,IF(K251=$K$56,0,IF(K251=$K$57,0,IF(K251=$K$58,0,IF(K251=$K$65,0,IF(K251=$K$66,0,IF(K251=$K$67,0,IF(K251=$K$68,0,IF(K251=$K$69,0,IF(K251=$K$51,0,1))))))))))))*AM251*AJ251*$AX$94)</f>
        <v>0</v>
      </c>
      <c r="AY251" s="172">
        <f>IF(K251=$K$53,0,IF(K251=$K$54,0,IF(K251=$K$55,0,IF(K251=$K$56,0,IF(K251=$K$58,0,IF(K251=$K$50,0,IF(K251=$K$65,0,IF(K251=$K$57,0,IF(K251=$K$51,0,AM251*$AY$102)))))))))</f>
        <v>0</v>
      </c>
      <c r="AZ251" s="172">
        <f>IF(K251=$K$53,0,IF(K251=$K$54,0,IF(K251=$K$55,0,IF(K251=$K$56,0,IF(K251=$K$58,0,IF(K251=$K$50,0,IF(K251=$K$65,0,IF(K251=$K$57,0,IF(K251=$K$51,0,AM251*$AZ$102)))))))))</f>
        <v>0</v>
      </c>
      <c r="BA251" s="172">
        <f t="shared" si="50"/>
        <v>0</v>
      </c>
      <c r="BB251" s="173">
        <f>IF($BA$97=1,AQ251*$BB$102,IF(K251=$K$50,0,IF(K251=$K$53,0,IF(K251=$K$54,0,IF(K251=$K$55,0,IF(K251=$K$56,0,IF(K251=$K$57,0,IF(K251=$K$58,0,IF(K251=$K$65,0,IF(K251=$K$66,0,IF(K251=$K$67,0,IF(K251=$K$68,0,IF(K251=$K$69,0,IF(K251=$K$51,0,1)))))))))))*AQ251*$BB$102)))</f>
        <v>0</v>
      </c>
      <c r="BC251" s="172">
        <f t="shared" si="51"/>
        <v>0</v>
      </c>
      <c r="BD251" s="172">
        <f t="shared" si="52"/>
        <v>0</v>
      </c>
      <c r="BE251" s="172">
        <f>IF($BE$95=I251,$BE$97,IF(I251=$BE$96,$BE$97,1))*($BE$102*AQ251)*$AZ$97</f>
        <v>0</v>
      </c>
      <c r="BF251" s="172">
        <f>IF('[1]Cockpit Retorno'!$C$65=Sim,Mestre!BA251,SUM(BB251:BE251)+(IF(K251=$K$56,AQ251*MOE_IRRF_LR,0)))</f>
        <v>0</v>
      </c>
      <c r="BG251" s="174">
        <f>IF(AA251&gt;0,0,IF(Z251=$Z$82,AG251*1,(IF(Z251=$Z$81,AG251*1,0))))</f>
        <v>0</v>
      </c>
      <c r="BH251" s="174">
        <f>IF(AA251&gt;0,0,IF(Z251=$Z$83,AG251*1,IF(Z251=$Z$81,AG251*1,0)))</f>
        <v>0</v>
      </c>
      <c r="BI251" s="174">
        <f>IF(AA251&gt;0,0,IF(Z251=$Z$84,AG251*1,IF(Z251=$Z$93,AG251*2,IF(Z251=$Z$100,AG251,IF(Z251=$Z$81,AG251*2,IF(Z251=$Z$80,AG251*1,IF(Z251=$Z$79,AG251*3,IF(Z251=$Z$78,AG251*2,0))))))))</f>
        <v>0</v>
      </c>
      <c r="BJ251" s="174">
        <f>IF(AA251&gt;0,0,IF(Z251=$Z$85,AG251,IF(Z251=$Z$93,AG251,IF(Z251=$Z$100,AG251,IF(Z251=$Z$81,AG251*1,IF(Z251=$Z$80,AG251*2,IF(Z251=$Z$79,AG251*2,IF(Z251=$Z$78,AG251*2,0))))))))</f>
        <v>0</v>
      </c>
      <c r="BK251" s="174">
        <f>IF(AA251&gt;0,0,IF(Z251=$Z$92,AG251,0))</f>
        <v>0</v>
      </c>
      <c r="BL251" s="174">
        <f>IF(AA251&gt;0,0,IF(Z251=$Z$91,AG251,0))</f>
        <v>0</v>
      </c>
      <c r="BM251" s="174">
        <f>IF(AA251&gt;0,0,IF(Z251=$Z$86,AG251,0))</f>
        <v>0</v>
      </c>
      <c r="BN251" s="174">
        <f>IF(AA251&gt;0,0,IF(Z251=$Z$87,AG251,0))</f>
        <v>0</v>
      </c>
      <c r="BO251" s="174">
        <f>IF(AA251&gt;0,0,IF(Z251=$Z$88,AG251,0))</f>
        <v>0</v>
      </c>
      <c r="BP251" s="174">
        <f>IF(AA251&gt;0,0,IF(Z251=$Z$89,AG251,0))</f>
        <v>0</v>
      </c>
      <c r="BQ251" s="174">
        <f>IF(AA251&gt;0,0,IF(Z251=$Z$90,AG251,0))</f>
        <v>0</v>
      </c>
      <c r="BR251" s="174">
        <f>IF(Z251=$Z$82,AA251*AG251,0)</f>
        <v>0</v>
      </c>
      <c r="BS251" s="174">
        <f>IF(Z251=$Z$83,AA251*AG251,0)</f>
        <v>0</v>
      </c>
      <c r="BT251" s="174">
        <f>IF(AA251&lt;1,0,IF(Z251=$Z$84,AA251*AG251,IF(Z251=$Z$93,"ERRO",IF(Z251=$Z$100,"ERRO",0))))</f>
        <v>0</v>
      </c>
      <c r="BU251" s="174">
        <f>IF(AA251&lt;1,0,IF(Z251=$Z$85,AA251*AG251,IF(Z251=$Z$93,"ERRO",IF(Z251=$Z$100,"ERRO",0))))</f>
        <v>0</v>
      </c>
      <c r="BV251" s="174">
        <f>IF(Z251=$Z$92,AA251*AG251,0)</f>
        <v>0</v>
      </c>
      <c r="BW251" s="174">
        <f>IF(Z251=$Z$91,AA251*AG251,0)</f>
        <v>0</v>
      </c>
      <c r="BX251" s="174">
        <f>IF(Z251=$Z$86,AA251*AG251,0)</f>
        <v>0</v>
      </c>
      <c r="BY251" s="174">
        <f>IF(Z251=$Z$87,AA251*AG251,0)</f>
        <v>0</v>
      </c>
      <c r="BZ251" s="174">
        <f>IF(Z251=$Z$88,AA251*AG251,0)</f>
        <v>0</v>
      </c>
      <c r="CA251" s="174">
        <f>IF(Z251=$Z$89,AA251*AG251,0)</f>
        <v>0</v>
      </c>
      <c r="CB251" s="174">
        <f>IF(Z251=$Z$90,AA251*AG251,0)</f>
        <v>0</v>
      </c>
      <c r="CC251" s="175">
        <f>IFERROR(IF(L251=$L$49,AG251*AH251*(1+AI251)*(1-AK251)*(1-AL251),0),0)</f>
        <v>740.01960000000008</v>
      </c>
      <c r="CD251" s="203"/>
      <c r="CE251" s="203"/>
      <c r="CF251" s="204"/>
      <c r="CG251" s="203"/>
      <c r="CH251" s="204"/>
      <c r="CI251" s="203"/>
      <c r="CJ251" s="205"/>
      <c r="CK251" s="205"/>
      <c r="CL251" s="205"/>
      <c r="CM251" s="205"/>
      <c r="CN251" s="206"/>
      <c r="CO251" s="204"/>
      <c r="CP251" s="207"/>
      <c r="CQ251" s="208"/>
      <c r="CR251" s="209"/>
      <c r="CS251" s="49"/>
      <c r="CT251" s="49"/>
      <c r="CU251" s="49"/>
      <c r="CV251" s="49"/>
      <c r="CW251" s="49"/>
      <c r="CX251" s="49"/>
      <c r="CY251" s="49"/>
      <c r="CZ251" s="49"/>
      <c r="DA251" s="49"/>
      <c r="DB251" s="49"/>
      <c r="DC251" s="49"/>
      <c r="DD251" s="49"/>
      <c r="DE251" s="49"/>
      <c r="DF251" s="49"/>
      <c r="DG251" s="49"/>
      <c r="DH251" s="49"/>
      <c r="DI251" s="49"/>
      <c r="DJ251" s="49"/>
      <c r="DK251" s="49"/>
      <c r="DL251" s="49"/>
      <c r="DM251" s="49"/>
      <c r="DN251" s="49"/>
      <c r="DO251" s="49"/>
      <c r="DP251" s="49"/>
      <c r="DQ251" s="49"/>
      <c r="DR251" s="49"/>
      <c r="DS251" s="49"/>
      <c r="DT251" s="49"/>
      <c r="DU251" s="49"/>
      <c r="DV251" s="49"/>
      <c r="DW251" s="49"/>
      <c r="DX251" s="49"/>
      <c r="DY251" s="49"/>
      <c r="DZ251" s="49"/>
      <c r="EA251" s="49"/>
      <c r="EB251" s="49"/>
      <c r="EC251" s="49"/>
      <c r="ED251" s="49"/>
      <c r="EE251" s="49"/>
      <c r="EF251" s="49"/>
      <c r="EG251" s="49"/>
      <c r="EH251" s="49"/>
      <c r="EI251" s="49"/>
      <c r="EJ251" s="49"/>
      <c r="EK251" s="49"/>
      <c r="EL251" s="49"/>
      <c r="EM251" s="49"/>
      <c r="EN251" s="49"/>
      <c r="EO251" s="49"/>
      <c r="EP251" s="49"/>
      <c r="EQ251" s="49"/>
      <c r="ER251" s="49"/>
      <c r="ES251" s="49"/>
      <c r="ET251" s="49"/>
      <c r="EU251" s="49"/>
      <c r="EV251" s="49"/>
      <c r="EW251" s="49"/>
      <c r="EX251" s="49"/>
      <c r="EY251" s="49"/>
      <c r="EZ251" s="49"/>
      <c r="FA251" s="49"/>
    </row>
    <row r="252" spans="1:157" s="210" customFormat="1" ht="51" x14ac:dyDescent="0.25">
      <c r="A252" s="113"/>
      <c r="B252" s="113"/>
      <c r="C252" s="113"/>
      <c r="D252" s="148"/>
      <c r="E252" s="115"/>
      <c r="F252" s="116"/>
      <c r="G252" s="149"/>
      <c r="H252" s="150" t="s">
        <v>7</v>
      </c>
      <c r="I252" s="151" t="str">
        <f t="shared" si="46"/>
        <v>Mercadorias</v>
      </c>
      <c r="J252" s="150" t="s">
        <v>15</v>
      </c>
      <c r="K252" s="152" t="s">
        <v>7</v>
      </c>
      <c r="L252" s="153" t="s">
        <v>21</v>
      </c>
      <c r="M252" s="154" t="s">
        <v>290</v>
      </c>
      <c r="N252" s="155" t="s">
        <v>370</v>
      </c>
      <c r="O252" s="155" t="s">
        <v>343</v>
      </c>
      <c r="P252" s="155"/>
      <c r="Q252" s="155"/>
      <c r="R252" s="155"/>
      <c r="S252" s="156"/>
      <c r="T252" s="156"/>
      <c r="U252" s="150"/>
      <c r="V252" s="150"/>
      <c r="W252" s="150"/>
      <c r="X252" s="157" t="s">
        <v>397</v>
      </c>
      <c r="Y252" s="150"/>
      <c r="Z252" s="150"/>
      <c r="AA252" s="158"/>
      <c r="AB252" s="155"/>
      <c r="AC252" s="150"/>
      <c r="AD252" s="155"/>
      <c r="AE252" s="155"/>
      <c r="AF252" s="150"/>
      <c r="AG252" s="159">
        <v>3</v>
      </c>
      <c r="AH252" s="159">
        <v>144.19650000000001</v>
      </c>
      <c r="AI252" s="202">
        <v>0</v>
      </c>
      <c r="AJ252" s="161">
        <v>7.0000000000000007E-2</v>
      </c>
      <c r="AK252" s="162">
        <v>0.05</v>
      </c>
      <c r="AL252" s="163"/>
      <c r="AM252" s="164">
        <f>(((IF(L252=$L$101,1,IF(L252=$L$47,1,0))*(AH252*(1-AK252)))*AG252)*(1-AL252))</f>
        <v>0</v>
      </c>
      <c r="AN252" s="165">
        <f>IF(K252=$K$50,AM252,IF(K252=$K$53,AM252,IF(K252=$K$54,AM252,IF(K252=$K$55,AM252,IF(K252=$K$56,AM252,IF(K252=$K$57,AM252,IF(K252=$K$58,AM252,IF(K252=$K$65,AM252,IF(K252=$K$66,AM252,IF(K252=$K$67,AM252,IF(K252=$K$68,AM252,IF(K252=$K$69,AM252,IF(K252=$K$51,AM252,(AM252*(1+AI252)))))))))))))))</f>
        <v>0</v>
      </c>
      <c r="AO252" s="166">
        <v>1.4</v>
      </c>
      <c r="AP252" s="160">
        <f t="shared" si="47"/>
        <v>0</v>
      </c>
      <c r="AQ252" s="167">
        <f t="shared" si="45"/>
        <v>0</v>
      </c>
      <c r="AR252" s="160">
        <f t="shared" si="48"/>
        <v>0</v>
      </c>
      <c r="AS252" s="168">
        <f t="shared" si="49"/>
        <v>0</v>
      </c>
      <c r="AT252" s="169" t="str">
        <f>K252</f>
        <v>MI</v>
      </c>
      <c r="AU252" s="169" t="str">
        <f>I252</f>
        <v>Mercadorias</v>
      </c>
      <c r="AV252" s="170"/>
      <c r="AW252" s="171">
        <f>IF(K252=$K$50,0,IF(K252=$K$53,0,IF(K252=$K$54,0,IF(K252=$K$55,0,IF(K252=$K$56,0,IF(K252=$K$57,0,IF(K252=$K$58,0,IF(K252=$K$65,0,IF(K252=$K$66,0,IF(K252=$K$67,0,IF(K252=$K$68,0,IF(K252=$K$69,0,IF(K252=$K$51,0,1))))))))))))*AM252*AI252)</f>
        <v>0</v>
      </c>
      <c r="AX252" s="172">
        <f>IF(K252=$K$50,0,IF(K252=$K$53,0,IF(K252=$K$54,0,IF(K252=$K$55,0,IF(K252=$K$56,0,IF(K252=$K$57,0,IF(K252=$K$58,0,IF(K252=$K$65,0,IF(K252=$K$66,0,IF(K252=$K$67,0,IF(K252=$K$68,0,IF(K252=$K$69,0,IF(K252=$K$51,0,1))))))))))))*AM252*AJ252*$AX$94)</f>
        <v>0</v>
      </c>
      <c r="AY252" s="172">
        <f>IF(K252=$K$53,0,IF(K252=$K$54,0,IF(K252=$K$55,0,IF(K252=$K$56,0,IF(K252=$K$58,0,IF(K252=$K$50,0,IF(K252=$K$65,0,IF(K252=$K$57,0,IF(K252=$K$51,0,AM252*$AY$102)))))))))</f>
        <v>0</v>
      </c>
      <c r="AZ252" s="172">
        <f>IF(K252=$K$53,0,IF(K252=$K$54,0,IF(K252=$K$55,0,IF(K252=$K$56,0,IF(K252=$K$58,0,IF(K252=$K$50,0,IF(K252=$K$65,0,IF(K252=$K$57,0,IF(K252=$K$51,0,AM252*$AZ$102)))))))))</f>
        <v>0</v>
      </c>
      <c r="BA252" s="172">
        <f t="shared" si="50"/>
        <v>0</v>
      </c>
      <c r="BB252" s="173">
        <f>IF($BA$97=1,AQ252*$BB$102,IF(K252=$K$50,0,IF(K252=$K$53,0,IF(K252=$K$54,0,IF(K252=$K$55,0,IF(K252=$K$56,0,IF(K252=$K$57,0,IF(K252=$K$58,0,IF(K252=$K$65,0,IF(K252=$K$66,0,IF(K252=$K$67,0,IF(K252=$K$68,0,IF(K252=$K$69,0,IF(K252=$K$51,0,1)))))))))))*AQ252*$BB$102)))</f>
        <v>0</v>
      </c>
      <c r="BC252" s="172">
        <f t="shared" si="51"/>
        <v>0</v>
      </c>
      <c r="BD252" s="172">
        <f t="shared" si="52"/>
        <v>0</v>
      </c>
      <c r="BE252" s="172">
        <f>IF($BE$95=I252,$BE$97,IF(I252=$BE$96,$BE$97,1))*($BE$102*AQ252)*$AZ$97</f>
        <v>0</v>
      </c>
      <c r="BF252" s="172">
        <f>IF('[1]Cockpit Retorno'!$C$65=Sim,Mestre!BA252,SUM(BB252:BE252)+(IF(K252=$K$56,AQ252*MOE_IRRF_LR,0)))</f>
        <v>0</v>
      </c>
      <c r="BG252" s="174">
        <f>IF(AA252&gt;0,0,IF(Z252=$Z$82,AG252*1,(IF(Z252=$Z$81,AG252*1,0))))</f>
        <v>0</v>
      </c>
      <c r="BH252" s="174">
        <f>IF(AA252&gt;0,0,IF(Z252=$Z$83,AG252*1,IF(Z252=$Z$81,AG252*1,0)))</f>
        <v>0</v>
      </c>
      <c r="BI252" s="174">
        <f>IF(AA252&gt;0,0,IF(Z252=$Z$84,AG252*1,IF(Z252=$Z$93,AG252*2,IF(Z252=$Z$100,AG252,IF(Z252=$Z$81,AG252*2,IF(Z252=$Z$80,AG252*1,IF(Z252=$Z$79,AG252*3,IF(Z252=$Z$78,AG252*2,0))))))))</f>
        <v>0</v>
      </c>
      <c r="BJ252" s="174">
        <f>IF(AA252&gt;0,0,IF(Z252=$Z$85,AG252,IF(Z252=$Z$93,AG252,IF(Z252=$Z$100,AG252,IF(Z252=$Z$81,AG252*1,IF(Z252=$Z$80,AG252*2,IF(Z252=$Z$79,AG252*2,IF(Z252=$Z$78,AG252*2,0))))))))</f>
        <v>0</v>
      </c>
      <c r="BK252" s="174">
        <f>IF(AA252&gt;0,0,IF(Z252=$Z$92,AG252,0))</f>
        <v>0</v>
      </c>
      <c r="BL252" s="174">
        <f>IF(AA252&gt;0,0,IF(Z252=$Z$91,AG252,0))</f>
        <v>0</v>
      </c>
      <c r="BM252" s="174">
        <f>IF(AA252&gt;0,0,IF(Z252=$Z$86,AG252,0))</f>
        <v>0</v>
      </c>
      <c r="BN252" s="174">
        <f>IF(AA252&gt;0,0,IF(Z252=$Z$87,AG252,0))</f>
        <v>0</v>
      </c>
      <c r="BO252" s="174">
        <f>IF(AA252&gt;0,0,IF(Z252=$Z$88,AG252,0))</f>
        <v>0</v>
      </c>
      <c r="BP252" s="174">
        <f>IF(AA252&gt;0,0,IF(Z252=$Z$89,AG252,0))</f>
        <v>0</v>
      </c>
      <c r="BQ252" s="174">
        <f>IF(AA252&gt;0,0,IF(Z252=$Z$90,AG252,0))</f>
        <v>0</v>
      </c>
      <c r="BR252" s="174">
        <f>IF(Z252=$Z$82,AA252*AG252,0)</f>
        <v>0</v>
      </c>
      <c r="BS252" s="174">
        <f>IF(Z252=$Z$83,AA252*AG252,0)</f>
        <v>0</v>
      </c>
      <c r="BT252" s="174">
        <f>IF(AA252&lt;1,0,IF(Z252=$Z$84,AA252*AG252,IF(Z252=$Z$93,"ERRO",IF(Z252=$Z$100,"ERRO",0))))</f>
        <v>0</v>
      </c>
      <c r="BU252" s="174">
        <f>IF(AA252&lt;1,0,IF(Z252=$Z$85,AA252*AG252,IF(Z252=$Z$93,"ERRO",IF(Z252=$Z$100,"ERRO",0))))</f>
        <v>0</v>
      </c>
      <c r="BV252" s="174">
        <f>IF(Z252=$Z$92,AA252*AG252,0)</f>
        <v>0</v>
      </c>
      <c r="BW252" s="174">
        <f>IF(Z252=$Z$91,AA252*AG252,0)</f>
        <v>0</v>
      </c>
      <c r="BX252" s="174">
        <f>IF(Z252=$Z$86,AA252*AG252,0)</f>
        <v>0</v>
      </c>
      <c r="BY252" s="174">
        <f>IF(Z252=$Z$87,AA252*AG252,0)</f>
        <v>0</v>
      </c>
      <c r="BZ252" s="174">
        <f>IF(Z252=$Z$88,AA252*AG252,0)</f>
        <v>0</v>
      </c>
      <c r="CA252" s="174">
        <f>IF(Z252=$Z$89,AA252*AG252,0)</f>
        <v>0</v>
      </c>
      <c r="CB252" s="174">
        <f>IF(Z252=$Z$90,AA252*AG252,0)</f>
        <v>0</v>
      </c>
      <c r="CC252" s="175">
        <f>IFERROR(IF(L252=$L$49,AG252*AH252*(1+AI252)*(1-AK252)*(1-AL252),0),0)</f>
        <v>410.96002500000003</v>
      </c>
      <c r="CD252" s="203"/>
      <c r="CE252" s="203"/>
      <c r="CF252" s="204"/>
      <c r="CG252" s="203"/>
      <c r="CH252" s="204"/>
      <c r="CI252" s="203"/>
      <c r="CJ252" s="205"/>
      <c r="CK252" s="205"/>
      <c r="CL252" s="205"/>
      <c r="CM252" s="205"/>
      <c r="CN252" s="206"/>
      <c r="CO252" s="204"/>
      <c r="CP252" s="207"/>
      <c r="CQ252" s="208"/>
      <c r="CR252" s="209"/>
      <c r="CS252" s="49"/>
      <c r="CT252" s="49"/>
      <c r="CU252" s="49"/>
      <c r="CV252" s="49"/>
      <c r="CW252" s="49"/>
      <c r="CX252" s="49"/>
      <c r="CY252" s="49"/>
      <c r="CZ252" s="49"/>
      <c r="DA252" s="49"/>
      <c r="DB252" s="49"/>
      <c r="DC252" s="49"/>
      <c r="DD252" s="49"/>
      <c r="DE252" s="49"/>
      <c r="DF252" s="49"/>
      <c r="DG252" s="49"/>
      <c r="DH252" s="49"/>
      <c r="DI252" s="49"/>
      <c r="DJ252" s="49"/>
      <c r="DK252" s="49"/>
      <c r="DL252" s="49"/>
      <c r="DM252" s="49"/>
      <c r="DN252" s="49"/>
      <c r="DO252" s="49"/>
      <c r="DP252" s="49"/>
      <c r="DQ252" s="49"/>
      <c r="DR252" s="49"/>
      <c r="DS252" s="49"/>
      <c r="DT252" s="49"/>
      <c r="DU252" s="49"/>
      <c r="DV252" s="49"/>
      <c r="DW252" s="49"/>
      <c r="DX252" s="49"/>
      <c r="DY252" s="49"/>
      <c r="DZ252" s="49"/>
      <c r="EA252" s="49"/>
      <c r="EB252" s="49"/>
      <c r="EC252" s="49"/>
      <c r="ED252" s="49"/>
      <c r="EE252" s="49"/>
      <c r="EF252" s="49"/>
      <c r="EG252" s="49"/>
      <c r="EH252" s="49"/>
      <c r="EI252" s="49"/>
      <c r="EJ252" s="49"/>
      <c r="EK252" s="49"/>
      <c r="EL252" s="49"/>
      <c r="EM252" s="49"/>
      <c r="EN252" s="49"/>
      <c r="EO252" s="49"/>
      <c r="EP252" s="49"/>
      <c r="EQ252" s="49"/>
      <c r="ER252" s="49"/>
      <c r="ES252" s="49"/>
      <c r="ET252" s="49"/>
      <c r="EU252" s="49"/>
      <c r="EV252" s="49"/>
      <c r="EW252" s="49"/>
      <c r="EX252" s="49"/>
      <c r="EY252" s="49"/>
      <c r="EZ252" s="49"/>
      <c r="FA252" s="49"/>
    </row>
    <row r="253" spans="1:157" s="210" customFormat="1" ht="38.25" x14ac:dyDescent="0.25">
      <c r="A253" s="113"/>
      <c r="B253" s="113"/>
      <c r="C253" s="113"/>
      <c r="D253" s="148"/>
      <c r="E253" s="115"/>
      <c r="F253" s="116"/>
      <c r="G253" s="149"/>
      <c r="H253" s="150" t="s">
        <v>7</v>
      </c>
      <c r="I253" s="151" t="str">
        <f t="shared" si="46"/>
        <v>Mercadorias</v>
      </c>
      <c r="J253" s="150" t="s">
        <v>15</v>
      </c>
      <c r="K253" s="152" t="s">
        <v>7</v>
      </c>
      <c r="L253" s="153" t="s">
        <v>21</v>
      </c>
      <c r="M253" s="154" t="s">
        <v>290</v>
      </c>
      <c r="N253" s="155" t="s">
        <v>370</v>
      </c>
      <c r="O253" s="155" t="s">
        <v>343</v>
      </c>
      <c r="P253" s="155"/>
      <c r="Q253" s="155"/>
      <c r="R253" s="155"/>
      <c r="S253" s="156"/>
      <c r="T253" s="156"/>
      <c r="U253" s="150"/>
      <c r="V253" s="150"/>
      <c r="W253" s="150"/>
      <c r="X253" s="157" t="s">
        <v>398</v>
      </c>
      <c r="Y253" s="150"/>
      <c r="Z253" s="150"/>
      <c r="AA253" s="158"/>
      <c r="AB253" s="155"/>
      <c r="AC253" s="150"/>
      <c r="AD253" s="155"/>
      <c r="AE253" s="155"/>
      <c r="AF253" s="150"/>
      <c r="AG253" s="159">
        <v>20</v>
      </c>
      <c r="AH253" s="159">
        <v>63.091200000000008</v>
      </c>
      <c r="AI253" s="202">
        <v>0</v>
      </c>
      <c r="AJ253" s="161">
        <v>7.0000000000000007E-2</v>
      </c>
      <c r="AK253" s="162">
        <v>0.05</v>
      </c>
      <c r="AL253" s="163"/>
      <c r="AM253" s="164">
        <f>(((IF(L253=$L$101,1,IF(L253=$L$47,1,0))*(AH253*(1-AK253)))*AG253)*(1-AL253))</f>
        <v>0</v>
      </c>
      <c r="AN253" s="165">
        <f>IF(K253=$K$50,AM253,IF(K253=$K$53,AM253,IF(K253=$K$54,AM253,IF(K253=$K$55,AM253,IF(K253=$K$56,AM253,IF(K253=$K$57,AM253,IF(K253=$K$58,AM253,IF(K253=$K$65,AM253,IF(K253=$K$66,AM253,IF(K253=$K$67,AM253,IF(K253=$K$68,AM253,IF(K253=$K$69,AM253,IF(K253=$K$51,AM253,(AM253*(1+AI253)))))))))))))))</f>
        <v>0</v>
      </c>
      <c r="AO253" s="166">
        <v>1.4</v>
      </c>
      <c r="AP253" s="160">
        <f t="shared" si="47"/>
        <v>0</v>
      </c>
      <c r="AQ253" s="167">
        <f t="shared" si="45"/>
        <v>0</v>
      </c>
      <c r="AR253" s="160">
        <f t="shared" si="48"/>
        <v>0</v>
      </c>
      <c r="AS253" s="168">
        <f t="shared" si="49"/>
        <v>0</v>
      </c>
      <c r="AT253" s="169" t="str">
        <f>K253</f>
        <v>MI</v>
      </c>
      <c r="AU253" s="169" t="str">
        <f>I253</f>
        <v>Mercadorias</v>
      </c>
      <c r="AV253" s="170"/>
      <c r="AW253" s="171">
        <f>IF(K253=$K$50,0,IF(K253=$K$53,0,IF(K253=$K$54,0,IF(K253=$K$55,0,IF(K253=$K$56,0,IF(K253=$K$57,0,IF(K253=$K$58,0,IF(K253=$K$65,0,IF(K253=$K$66,0,IF(K253=$K$67,0,IF(K253=$K$68,0,IF(K253=$K$69,0,IF(K253=$K$51,0,1))))))))))))*AM253*AI253)</f>
        <v>0</v>
      </c>
      <c r="AX253" s="172">
        <f>IF(K253=$K$50,0,IF(K253=$K$53,0,IF(K253=$K$54,0,IF(K253=$K$55,0,IF(K253=$K$56,0,IF(K253=$K$57,0,IF(K253=$K$58,0,IF(K253=$K$65,0,IF(K253=$K$66,0,IF(K253=$K$67,0,IF(K253=$K$68,0,IF(K253=$K$69,0,IF(K253=$K$51,0,1))))))))))))*AM253*AJ253*$AX$94)</f>
        <v>0</v>
      </c>
      <c r="AY253" s="172">
        <f>IF(K253=$K$53,0,IF(K253=$K$54,0,IF(K253=$K$55,0,IF(K253=$K$56,0,IF(K253=$K$58,0,IF(K253=$K$50,0,IF(K253=$K$65,0,IF(K253=$K$57,0,IF(K253=$K$51,0,AM253*$AY$102)))))))))</f>
        <v>0</v>
      </c>
      <c r="AZ253" s="172">
        <f>IF(K253=$K$53,0,IF(K253=$K$54,0,IF(K253=$K$55,0,IF(K253=$K$56,0,IF(K253=$K$58,0,IF(K253=$K$50,0,IF(K253=$K$65,0,IF(K253=$K$57,0,IF(K253=$K$51,0,AM253*$AZ$102)))))))))</f>
        <v>0</v>
      </c>
      <c r="BA253" s="172">
        <f t="shared" si="50"/>
        <v>0</v>
      </c>
      <c r="BB253" s="173">
        <f>IF($BA$97=1,AQ253*$BB$102,IF(K253=$K$50,0,IF(K253=$K$53,0,IF(K253=$K$54,0,IF(K253=$K$55,0,IF(K253=$K$56,0,IF(K253=$K$57,0,IF(K253=$K$58,0,IF(K253=$K$65,0,IF(K253=$K$66,0,IF(K253=$K$67,0,IF(K253=$K$68,0,IF(K253=$K$69,0,IF(K253=$K$51,0,1)))))))))))*AQ253*$BB$102)))</f>
        <v>0</v>
      </c>
      <c r="BC253" s="172">
        <f t="shared" si="51"/>
        <v>0</v>
      </c>
      <c r="BD253" s="172">
        <f t="shared" si="52"/>
        <v>0</v>
      </c>
      <c r="BE253" s="172">
        <f>IF($BE$95=I253,$BE$97,IF(I253=$BE$96,$BE$97,1))*($BE$102*AQ253)*$AZ$97</f>
        <v>0</v>
      </c>
      <c r="BF253" s="172">
        <f>IF('[1]Cockpit Retorno'!$C$65=Sim,Mestre!BA253,SUM(BB253:BE253)+(IF(K253=$K$56,AQ253*MOE_IRRF_LR,0)))</f>
        <v>0</v>
      </c>
      <c r="BG253" s="174">
        <f>IF(AA253&gt;0,0,IF(Z253=$Z$82,AG253*1,(IF(Z253=$Z$81,AG253*1,0))))</f>
        <v>0</v>
      </c>
      <c r="BH253" s="174">
        <f>IF(AA253&gt;0,0,IF(Z253=$Z$83,AG253*1,IF(Z253=$Z$81,AG253*1,0)))</f>
        <v>0</v>
      </c>
      <c r="BI253" s="174">
        <f>IF(AA253&gt;0,0,IF(Z253=$Z$84,AG253*1,IF(Z253=$Z$93,AG253*2,IF(Z253=$Z$100,AG253,IF(Z253=$Z$81,AG253*2,IF(Z253=$Z$80,AG253*1,IF(Z253=$Z$79,AG253*3,IF(Z253=$Z$78,AG253*2,0))))))))</f>
        <v>0</v>
      </c>
      <c r="BJ253" s="174">
        <f>IF(AA253&gt;0,0,IF(Z253=$Z$85,AG253,IF(Z253=$Z$93,AG253,IF(Z253=$Z$100,AG253,IF(Z253=$Z$81,AG253*1,IF(Z253=$Z$80,AG253*2,IF(Z253=$Z$79,AG253*2,IF(Z253=$Z$78,AG253*2,0))))))))</f>
        <v>0</v>
      </c>
      <c r="BK253" s="174">
        <f>IF(AA253&gt;0,0,IF(Z253=$Z$92,AG253,0))</f>
        <v>0</v>
      </c>
      <c r="BL253" s="174">
        <f>IF(AA253&gt;0,0,IF(Z253=$Z$91,AG253,0))</f>
        <v>0</v>
      </c>
      <c r="BM253" s="174">
        <f>IF(AA253&gt;0,0,IF(Z253=$Z$86,AG253,0))</f>
        <v>0</v>
      </c>
      <c r="BN253" s="174">
        <f>IF(AA253&gt;0,0,IF(Z253=$Z$87,AG253,0))</f>
        <v>0</v>
      </c>
      <c r="BO253" s="174">
        <f>IF(AA253&gt;0,0,IF(Z253=$Z$88,AG253,0))</f>
        <v>0</v>
      </c>
      <c r="BP253" s="174">
        <f>IF(AA253&gt;0,0,IF(Z253=$Z$89,AG253,0))</f>
        <v>0</v>
      </c>
      <c r="BQ253" s="174">
        <f>IF(AA253&gt;0,0,IF(Z253=$Z$90,AG253,0))</f>
        <v>0</v>
      </c>
      <c r="BR253" s="174">
        <f>IF(Z253=$Z$82,AA253*AG253,0)</f>
        <v>0</v>
      </c>
      <c r="BS253" s="174">
        <f>IF(Z253=$Z$83,AA253*AG253,0)</f>
        <v>0</v>
      </c>
      <c r="BT253" s="174">
        <f>IF(AA253&lt;1,0,IF(Z253=$Z$84,AA253*AG253,IF(Z253=$Z$93,"ERRO",IF(Z253=$Z$100,"ERRO",0))))</f>
        <v>0</v>
      </c>
      <c r="BU253" s="174">
        <f>IF(AA253&lt;1,0,IF(Z253=$Z$85,AA253*AG253,IF(Z253=$Z$93,"ERRO",IF(Z253=$Z$100,"ERRO",0))))</f>
        <v>0</v>
      </c>
      <c r="BV253" s="174">
        <f>IF(Z253=$Z$92,AA253*AG253,0)</f>
        <v>0</v>
      </c>
      <c r="BW253" s="174">
        <f>IF(Z253=$Z$91,AA253*AG253,0)</f>
        <v>0</v>
      </c>
      <c r="BX253" s="174">
        <f>IF(Z253=$Z$86,AA253*AG253,0)</f>
        <v>0</v>
      </c>
      <c r="BY253" s="174">
        <f>IF(Z253=$Z$87,AA253*AG253,0)</f>
        <v>0</v>
      </c>
      <c r="BZ253" s="174">
        <f>IF(Z253=$Z$88,AA253*AG253,0)</f>
        <v>0</v>
      </c>
      <c r="CA253" s="174">
        <f>IF(Z253=$Z$89,AA253*AG253,0)</f>
        <v>0</v>
      </c>
      <c r="CB253" s="174">
        <f>IF(Z253=$Z$90,AA253*AG253,0)</f>
        <v>0</v>
      </c>
      <c r="CC253" s="175">
        <f>IFERROR(IF(L253=$L$49,AG253*AH253*(1+AI253)*(1-AK253)*(1-AL253),0),0)</f>
        <v>1198.7328</v>
      </c>
      <c r="CD253" s="203"/>
      <c r="CE253" s="203"/>
      <c r="CF253" s="204"/>
      <c r="CG253" s="203"/>
      <c r="CH253" s="204"/>
      <c r="CI253" s="203"/>
      <c r="CJ253" s="205"/>
      <c r="CK253" s="205"/>
      <c r="CL253" s="205"/>
      <c r="CM253" s="205"/>
      <c r="CN253" s="206"/>
      <c r="CO253" s="204"/>
      <c r="CP253" s="207"/>
      <c r="CQ253" s="208"/>
      <c r="CR253" s="209"/>
      <c r="CS253" s="49"/>
      <c r="CT253" s="49"/>
      <c r="CU253" s="49"/>
      <c r="CV253" s="49"/>
      <c r="CW253" s="49"/>
      <c r="CX253" s="49"/>
      <c r="CY253" s="49"/>
      <c r="CZ253" s="49"/>
      <c r="DA253" s="49"/>
      <c r="DB253" s="49"/>
      <c r="DC253" s="49"/>
      <c r="DD253" s="49"/>
      <c r="DE253" s="49"/>
      <c r="DF253" s="49"/>
      <c r="DG253" s="49"/>
      <c r="DH253" s="49"/>
      <c r="DI253" s="49"/>
      <c r="DJ253" s="49"/>
      <c r="DK253" s="49"/>
      <c r="DL253" s="49"/>
      <c r="DM253" s="49"/>
      <c r="DN253" s="49"/>
      <c r="DO253" s="49"/>
      <c r="DP253" s="49"/>
      <c r="DQ253" s="49"/>
      <c r="DR253" s="49"/>
      <c r="DS253" s="49"/>
      <c r="DT253" s="49"/>
      <c r="DU253" s="49"/>
      <c r="DV253" s="49"/>
      <c r="DW253" s="49"/>
      <c r="DX253" s="49"/>
      <c r="DY253" s="49"/>
      <c r="DZ253" s="49"/>
      <c r="EA253" s="49"/>
      <c r="EB253" s="49"/>
      <c r="EC253" s="49"/>
      <c r="ED253" s="49"/>
      <c r="EE253" s="49"/>
      <c r="EF253" s="49"/>
      <c r="EG253" s="49"/>
      <c r="EH253" s="49"/>
      <c r="EI253" s="49"/>
      <c r="EJ253" s="49"/>
      <c r="EK253" s="49"/>
      <c r="EL253" s="49"/>
      <c r="EM253" s="49"/>
      <c r="EN253" s="49"/>
      <c r="EO253" s="49"/>
      <c r="EP253" s="49"/>
      <c r="EQ253" s="49"/>
      <c r="ER253" s="49"/>
      <c r="ES253" s="49"/>
      <c r="ET253" s="49"/>
      <c r="EU253" s="49"/>
      <c r="EV253" s="49"/>
      <c r="EW253" s="49"/>
      <c r="EX253" s="49"/>
      <c r="EY253" s="49"/>
      <c r="EZ253" s="49"/>
      <c r="FA253" s="49"/>
    </row>
    <row r="254" spans="1:157" s="210" customFormat="1" ht="38.25" x14ac:dyDescent="0.25">
      <c r="A254" s="113"/>
      <c r="B254" s="113"/>
      <c r="C254" s="113"/>
      <c r="D254" s="148"/>
      <c r="E254" s="115"/>
      <c r="F254" s="116"/>
      <c r="G254" s="149"/>
      <c r="H254" s="150" t="s">
        <v>7</v>
      </c>
      <c r="I254" s="151" t="str">
        <f t="shared" si="46"/>
        <v>Mercadorias</v>
      </c>
      <c r="J254" s="150" t="s">
        <v>15</v>
      </c>
      <c r="K254" s="152" t="s">
        <v>7</v>
      </c>
      <c r="L254" s="153" t="s">
        <v>21</v>
      </c>
      <c r="M254" s="154" t="s">
        <v>290</v>
      </c>
      <c r="N254" s="155" t="s">
        <v>370</v>
      </c>
      <c r="O254" s="155" t="s">
        <v>343</v>
      </c>
      <c r="P254" s="155"/>
      <c r="Q254" s="155"/>
      <c r="R254" s="155"/>
      <c r="S254" s="156"/>
      <c r="T254" s="156"/>
      <c r="U254" s="150"/>
      <c r="V254" s="150"/>
      <c r="W254" s="150"/>
      <c r="X254" s="157" t="s">
        <v>399</v>
      </c>
      <c r="Y254" s="150"/>
      <c r="Z254" s="150"/>
      <c r="AA254" s="158"/>
      <c r="AB254" s="155"/>
      <c r="AC254" s="150"/>
      <c r="AD254" s="155"/>
      <c r="AE254" s="155"/>
      <c r="AF254" s="150"/>
      <c r="AG254" s="159">
        <v>5</v>
      </c>
      <c r="AH254" s="159">
        <v>63.091200000000008</v>
      </c>
      <c r="AI254" s="202">
        <v>0</v>
      </c>
      <c r="AJ254" s="161">
        <v>7.0000000000000007E-2</v>
      </c>
      <c r="AK254" s="162">
        <v>0.05</v>
      </c>
      <c r="AL254" s="163"/>
      <c r="AM254" s="164">
        <f>(((IF(L254=$L$101,1,IF(L254=$L$47,1,0))*(AH254*(1-AK254)))*AG254)*(1-AL254))</f>
        <v>0</v>
      </c>
      <c r="AN254" s="165">
        <f>IF(K254=$K$50,AM254,IF(K254=$K$53,AM254,IF(K254=$K$54,AM254,IF(K254=$K$55,AM254,IF(K254=$K$56,AM254,IF(K254=$K$57,AM254,IF(K254=$K$58,AM254,IF(K254=$K$65,AM254,IF(K254=$K$66,AM254,IF(K254=$K$67,AM254,IF(K254=$K$68,AM254,IF(K254=$K$69,AM254,IF(K254=$K$51,AM254,(AM254*(1+AI254)))))))))))))))</f>
        <v>0</v>
      </c>
      <c r="AO254" s="166">
        <v>1.4</v>
      </c>
      <c r="AP254" s="160">
        <f t="shared" si="47"/>
        <v>0</v>
      </c>
      <c r="AQ254" s="167">
        <f t="shared" si="45"/>
        <v>0</v>
      </c>
      <c r="AR254" s="160">
        <f t="shared" si="48"/>
        <v>0</v>
      </c>
      <c r="AS254" s="168">
        <f t="shared" si="49"/>
        <v>0</v>
      </c>
      <c r="AT254" s="169" t="str">
        <f>K254</f>
        <v>MI</v>
      </c>
      <c r="AU254" s="169" t="str">
        <f>I254</f>
        <v>Mercadorias</v>
      </c>
      <c r="AV254" s="170"/>
      <c r="AW254" s="171">
        <f>IF(K254=$K$50,0,IF(K254=$K$53,0,IF(K254=$K$54,0,IF(K254=$K$55,0,IF(K254=$K$56,0,IF(K254=$K$57,0,IF(K254=$K$58,0,IF(K254=$K$65,0,IF(K254=$K$66,0,IF(K254=$K$67,0,IF(K254=$K$68,0,IF(K254=$K$69,0,IF(K254=$K$51,0,1))))))))))))*AM254*AI254)</f>
        <v>0</v>
      </c>
      <c r="AX254" s="172">
        <f>IF(K254=$K$50,0,IF(K254=$K$53,0,IF(K254=$K$54,0,IF(K254=$K$55,0,IF(K254=$K$56,0,IF(K254=$K$57,0,IF(K254=$K$58,0,IF(K254=$K$65,0,IF(K254=$K$66,0,IF(K254=$K$67,0,IF(K254=$K$68,0,IF(K254=$K$69,0,IF(K254=$K$51,0,1))))))))))))*AM254*AJ254*$AX$94)</f>
        <v>0</v>
      </c>
      <c r="AY254" s="172">
        <f>IF(K254=$K$53,0,IF(K254=$K$54,0,IF(K254=$K$55,0,IF(K254=$K$56,0,IF(K254=$K$58,0,IF(K254=$K$50,0,IF(K254=$K$65,0,IF(K254=$K$57,0,IF(K254=$K$51,0,AM254*$AY$102)))))))))</f>
        <v>0</v>
      </c>
      <c r="AZ254" s="172">
        <f>IF(K254=$K$53,0,IF(K254=$K$54,0,IF(K254=$K$55,0,IF(K254=$K$56,0,IF(K254=$K$58,0,IF(K254=$K$50,0,IF(K254=$K$65,0,IF(K254=$K$57,0,IF(K254=$K$51,0,AM254*$AZ$102)))))))))</f>
        <v>0</v>
      </c>
      <c r="BA254" s="172">
        <f t="shared" si="50"/>
        <v>0</v>
      </c>
      <c r="BB254" s="173">
        <f>IF($BA$97=1,AQ254*$BB$102,IF(K254=$K$50,0,IF(K254=$K$53,0,IF(K254=$K$54,0,IF(K254=$K$55,0,IF(K254=$K$56,0,IF(K254=$K$57,0,IF(K254=$K$58,0,IF(K254=$K$65,0,IF(K254=$K$66,0,IF(K254=$K$67,0,IF(K254=$K$68,0,IF(K254=$K$69,0,IF(K254=$K$51,0,1)))))))))))*AQ254*$BB$102)))</f>
        <v>0</v>
      </c>
      <c r="BC254" s="172">
        <f t="shared" si="51"/>
        <v>0</v>
      </c>
      <c r="BD254" s="172">
        <f t="shared" si="52"/>
        <v>0</v>
      </c>
      <c r="BE254" s="172">
        <f>IF($BE$95=I254,$BE$97,IF(I254=$BE$96,$BE$97,1))*($BE$102*AQ254)*$AZ$97</f>
        <v>0</v>
      </c>
      <c r="BF254" s="172">
        <f>IF('[1]Cockpit Retorno'!$C$65=Sim,Mestre!BA254,SUM(BB254:BE254)+(IF(K254=$K$56,AQ254*MOE_IRRF_LR,0)))</f>
        <v>0</v>
      </c>
      <c r="BG254" s="174">
        <f>IF(AA254&gt;0,0,IF(Z254=$Z$82,AG254*1,(IF(Z254=$Z$81,AG254*1,0))))</f>
        <v>0</v>
      </c>
      <c r="BH254" s="174">
        <f>IF(AA254&gt;0,0,IF(Z254=$Z$83,AG254*1,IF(Z254=$Z$81,AG254*1,0)))</f>
        <v>0</v>
      </c>
      <c r="BI254" s="174">
        <f>IF(AA254&gt;0,0,IF(Z254=$Z$84,AG254*1,IF(Z254=$Z$93,AG254*2,IF(Z254=$Z$100,AG254,IF(Z254=$Z$81,AG254*2,IF(Z254=$Z$80,AG254*1,IF(Z254=$Z$79,AG254*3,IF(Z254=$Z$78,AG254*2,0))))))))</f>
        <v>0</v>
      </c>
      <c r="BJ254" s="174">
        <f>IF(AA254&gt;0,0,IF(Z254=$Z$85,AG254,IF(Z254=$Z$93,AG254,IF(Z254=$Z$100,AG254,IF(Z254=$Z$81,AG254*1,IF(Z254=$Z$80,AG254*2,IF(Z254=$Z$79,AG254*2,IF(Z254=$Z$78,AG254*2,0))))))))</f>
        <v>0</v>
      </c>
      <c r="BK254" s="174">
        <f>IF(AA254&gt;0,0,IF(Z254=$Z$92,AG254,0))</f>
        <v>0</v>
      </c>
      <c r="BL254" s="174">
        <f>IF(AA254&gt;0,0,IF(Z254=$Z$91,AG254,0))</f>
        <v>0</v>
      </c>
      <c r="BM254" s="174">
        <f>IF(AA254&gt;0,0,IF(Z254=$Z$86,AG254,0))</f>
        <v>0</v>
      </c>
      <c r="BN254" s="174">
        <f>IF(AA254&gt;0,0,IF(Z254=$Z$87,AG254,0))</f>
        <v>0</v>
      </c>
      <c r="BO254" s="174">
        <f>IF(AA254&gt;0,0,IF(Z254=$Z$88,AG254,0))</f>
        <v>0</v>
      </c>
      <c r="BP254" s="174">
        <f>IF(AA254&gt;0,0,IF(Z254=$Z$89,AG254,0))</f>
        <v>0</v>
      </c>
      <c r="BQ254" s="174">
        <f>IF(AA254&gt;0,0,IF(Z254=$Z$90,AG254,0))</f>
        <v>0</v>
      </c>
      <c r="BR254" s="174">
        <f>IF(Z254=$Z$82,AA254*AG254,0)</f>
        <v>0</v>
      </c>
      <c r="BS254" s="174">
        <f>IF(Z254=$Z$83,AA254*AG254,0)</f>
        <v>0</v>
      </c>
      <c r="BT254" s="174">
        <f>IF(AA254&lt;1,0,IF(Z254=$Z$84,AA254*AG254,IF(Z254=$Z$93,"ERRO",IF(Z254=$Z$100,"ERRO",0))))</f>
        <v>0</v>
      </c>
      <c r="BU254" s="174">
        <f>IF(AA254&lt;1,0,IF(Z254=$Z$85,AA254*AG254,IF(Z254=$Z$93,"ERRO",IF(Z254=$Z$100,"ERRO",0))))</f>
        <v>0</v>
      </c>
      <c r="BV254" s="174">
        <f>IF(Z254=$Z$92,AA254*AG254,0)</f>
        <v>0</v>
      </c>
      <c r="BW254" s="174">
        <f>IF(Z254=$Z$91,AA254*AG254,0)</f>
        <v>0</v>
      </c>
      <c r="BX254" s="174">
        <f>IF(Z254=$Z$86,AA254*AG254,0)</f>
        <v>0</v>
      </c>
      <c r="BY254" s="174">
        <f>IF(Z254=$Z$87,AA254*AG254,0)</f>
        <v>0</v>
      </c>
      <c r="BZ254" s="174">
        <f>IF(Z254=$Z$88,AA254*AG254,0)</f>
        <v>0</v>
      </c>
      <c r="CA254" s="174">
        <f>IF(Z254=$Z$89,AA254*AG254,0)</f>
        <v>0</v>
      </c>
      <c r="CB254" s="174">
        <f>IF(Z254=$Z$90,AA254*AG254,0)</f>
        <v>0</v>
      </c>
      <c r="CC254" s="175">
        <f>IFERROR(IF(L254=$L$49,AG254*AH254*(1+AI254)*(1-AK254)*(1-AL254),0),0)</f>
        <v>299.6832</v>
      </c>
      <c r="CD254" s="203"/>
      <c r="CE254" s="203"/>
      <c r="CF254" s="204"/>
      <c r="CG254" s="203"/>
      <c r="CH254" s="204"/>
      <c r="CI254" s="203"/>
      <c r="CJ254" s="205"/>
      <c r="CK254" s="205"/>
      <c r="CL254" s="205"/>
      <c r="CM254" s="205"/>
      <c r="CN254" s="206"/>
      <c r="CO254" s="204"/>
      <c r="CP254" s="207"/>
      <c r="CQ254" s="208"/>
      <c r="CR254" s="209"/>
      <c r="CS254" s="49"/>
      <c r="CT254" s="49"/>
      <c r="CU254" s="49"/>
      <c r="CV254" s="49"/>
      <c r="CW254" s="49"/>
      <c r="CX254" s="49"/>
      <c r="CY254" s="49"/>
      <c r="CZ254" s="49"/>
      <c r="DA254" s="49"/>
      <c r="DB254" s="49"/>
      <c r="DC254" s="49"/>
      <c r="DD254" s="49"/>
      <c r="DE254" s="49"/>
      <c r="DF254" s="49"/>
      <c r="DG254" s="49"/>
      <c r="DH254" s="49"/>
      <c r="DI254" s="49"/>
      <c r="DJ254" s="49"/>
      <c r="DK254" s="49"/>
      <c r="DL254" s="49"/>
      <c r="DM254" s="49"/>
      <c r="DN254" s="49"/>
      <c r="DO254" s="49"/>
      <c r="DP254" s="49"/>
      <c r="DQ254" s="49"/>
      <c r="DR254" s="49"/>
      <c r="DS254" s="49"/>
      <c r="DT254" s="49"/>
      <c r="DU254" s="49"/>
      <c r="DV254" s="49"/>
      <c r="DW254" s="49"/>
      <c r="DX254" s="49"/>
      <c r="DY254" s="49"/>
      <c r="DZ254" s="49"/>
      <c r="EA254" s="49"/>
      <c r="EB254" s="49"/>
      <c r="EC254" s="49"/>
      <c r="ED254" s="49"/>
      <c r="EE254" s="49"/>
      <c r="EF254" s="49"/>
      <c r="EG254" s="49"/>
      <c r="EH254" s="49"/>
      <c r="EI254" s="49"/>
      <c r="EJ254" s="49"/>
      <c r="EK254" s="49"/>
      <c r="EL254" s="49"/>
      <c r="EM254" s="49"/>
      <c r="EN254" s="49"/>
      <c r="EO254" s="49"/>
      <c r="EP254" s="49"/>
      <c r="EQ254" s="49"/>
      <c r="ER254" s="49"/>
      <c r="ES254" s="49"/>
      <c r="ET254" s="49"/>
      <c r="EU254" s="49"/>
      <c r="EV254" s="49"/>
      <c r="EW254" s="49"/>
      <c r="EX254" s="49"/>
      <c r="EY254" s="49"/>
      <c r="EZ254" s="49"/>
      <c r="FA254" s="49"/>
    </row>
    <row r="255" spans="1:157" s="210" customFormat="1" ht="38.25" x14ac:dyDescent="0.25">
      <c r="A255" s="113"/>
      <c r="B255" s="113"/>
      <c r="C255" s="113"/>
      <c r="D255" s="148"/>
      <c r="E255" s="115"/>
      <c r="F255" s="116"/>
      <c r="G255" s="149"/>
      <c r="H255" s="150" t="s">
        <v>7</v>
      </c>
      <c r="I255" s="151" t="str">
        <f t="shared" si="46"/>
        <v>Mercadorias</v>
      </c>
      <c r="J255" s="150" t="s">
        <v>15</v>
      </c>
      <c r="K255" s="152" t="s">
        <v>7</v>
      </c>
      <c r="L255" s="153" t="s">
        <v>21</v>
      </c>
      <c r="M255" s="154" t="s">
        <v>290</v>
      </c>
      <c r="N255" s="155" t="s">
        <v>370</v>
      </c>
      <c r="O255" s="155" t="s">
        <v>343</v>
      </c>
      <c r="P255" s="155"/>
      <c r="Q255" s="155"/>
      <c r="R255" s="155"/>
      <c r="S255" s="156"/>
      <c r="T255" s="156"/>
      <c r="U255" s="150"/>
      <c r="V255" s="150"/>
      <c r="W255" s="150"/>
      <c r="X255" s="157" t="s">
        <v>400</v>
      </c>
      <c r="Y255" s="150"/>
      <c r="Z255" s="150"/>
      <c r="AA255" s="158"/>
      <c r="AB255" s="155"/>
      <c r="AC255" s="150"/>
      <c r="AD255" s="155"/>
      <c r="AE255" s="155"/>
      <c r="AF255" s="150"/>
      <c r="AG255" s="159">
        <v>30</v>
      </c>
      <c r="AH255" s="159">
        <v>59.166600000000003</v>
      </c>
      <c r="AI255" s="202">
        <v>0</v>
      </c>
      <c r="AJ255" s="161">
        <v>7.0000000000000007E-2</v>
      </c>
      <c r="AK255" s="162">
        <v>0.05</v>
      </c>
      <c r="AL255" s="163"/>
      <c r="AM255" s="164">
        <f>(((IF(L255=$L$101,1,IF(L255=$L$47,1,0))*(AH255*(1-AK255)))*AG255)*(1-AL255))</f>
        <v>0</v>
      </c>
      <c r="AN255" s="165">
        <f>IF(K255=$K$50,AM255,IF(K255=$K$53,AM255,IF(K255=$K$54,AM255,IF(K255=$K$55,AM255,IF(K255=$K$56,AM255,IF(K255=$K$57,AM255,IF(K255=$K$58,AM255,IF(K255=$K$65,AM255,IF(K255=$K$66,AM255,IF(K255=$K$67,AM255,IF(K255=$K$68,AM255,IF(K255=$K$69,AM255,IF(K255=$K$51,AM255,(AM255*(1+AI255)))))))))))))))</f>
        <v>0</v>
      </c>
      <c r="AO255" s="166">
        <v>1.4</v>
      </c>
      <c r="AP255" s="160">
        <f t="shared" si="47"/>
        <v>0</v>
      </c>
      <c r="AQ255" s="167">
        <f t="shared" si="45"/>
        <v>0</v>
      </c>
      <c r="AR255" s="160">
        <f t="shared" si="48"/>
        <v>0</v>
      </c>
      <c r="AS255" s="168">
        <f t="shared" si="49"/>
        <v>0</v>
      </c>
      <c r="AT255" s="169" t="str">
        <f>K255</f>
        <v>MI</v>
      </c>
      <c r="AU255" s="169" t="str">
        <f>I255</f>
        <v>Mercadorias</v>
      </c>
      <c r="AV255" s="170"/>
      <c r="AW255" s="171">
        <f>IF(K255=$K$50,0,IF(K255=$K$53,0,IF(K255=$K$54,0,IF(K255=$K$55,0,IF(K255=$K$56,0,IF(K255=$K$57,0,IF(K255=$K$58,0,IF(K255=$K$65,0,IF(K255=$K$66,0,IF(K255=$K$67,0,IF(K255=$K$68,0,IF(K255=$K$69,0,IF(K255=$K$51,0,1))))))))))))*AM255*AI255)</f>
        <v>0</v>
      </c>
      <c r="AX255" s="172">
        <f>IF(K255=$K$50,0,IF(K255=$K$53,0,IF(K255=$K$54,0,IF(K255=$K$55,0,IF(K255=$K$56,0,IF(K255=$K$57,0,IF(K255=$K$58,0,IF(K255=$K$65,0,IF(K255=$K$66,0,IF(K255=$K$67,0,IF(K255=$K$68,0,IF(K255=$K$69,0,IF(K255=$K$51,0,1))))))))))))*AM255*AJ255*$AX$94)</f>
        <v>0</v>
      </c>
      <c r="AY255" s="172">
        <f>IF(K255=$K$53,0,IF(K255=$K$54,0,IF(K255=$K$55,0,IF(K255=$K$56,0,IF(K255=$K$58,0,IF(K255=$K$50,0,IF(K255=$K$65,0,IF(K255=$K$57,0,IF(K255=$K$51,0,AM255*$AY$102)))))))))</f>
        <v>0</v>
      </c>
      <c r="AZ255" s="172">
        <f>IF(K255=$K$53,0,IF(K255=$K$54,0,IF(K255=$K$55,0,IF(K255=$K$56,0,IF(K255=$K$58,0,IF(K255=$K$50,0,IF(K255=$K$65,0,IF(K255=$K$57,0,IF(K255=$K$51,0,AM255*$AZ$102)))))))))</f>
        <v>0</v>
      </c>
      <c r="BA255" s="172">
        <f t="shared" si="50"/>
        <v>0</v>
      </c>
      <c r="BB255" s="173">
        <f>IF($BA$97=1,AQ255*$BB$102,IF(K255=$K$50,0,IF(K255=$K$53,0,IF(K255=$K$54,0,IF(K255=$K$55,0,IF(K255=$K$56,0,IF(K255=$K$57,0,IF(K255=$K$58,0,IF(K255=$K$65,0,IF(K255=$K$66,0,IF(K255=$K$67,0,IF(K255=$K$68,0,IF(K255=$K$69,0,IF(K255=$K$51,0,1)))))))))))*AQ255*$BB$102)))</f>
        <v>0</v>
      </c>
      <c r="BC255" s="172">
        <f t="shared" si="51"/>
        <v>0</v>
      </c>
      <c r="BD255" s="172">
        <f t="shared" si="52"/>
        <v>0</v>
      </c>
      <c r="BE255" s="172">
        <f>IF($BE$95=I255,$BE$97,IF(I255=$BE$96,$BE$97,1))*($BE$102*AQ255)*$AZ$97</f>
        <v>0</v>
      </c>
      <c r="BF255" s="172">
        <f>IF('[1]Cockpit Retorno'!$C$65=Sim,Mestre!BA255,SUM(BB255:BE255)+(IF(K255=$K$56,AQ255*MOE_IRRF_LR,0)))</f>
        <v>0</v>
      </c>
      <c r="BG255" s="174">
        <f>IF(AA255&gt;0,0,IF(Z255=$Z$82,AG255*1,(IF(Z255=$Z$81,AG255*1,0))))</f>
        <v>0</v>
      </c>
      <c r="BH255" s="174">
        <f>IF(AA255&gt;0,0,IF(Z255=$Z$83,AG255*1,IF(Z255=$Z$81,AG255*1,0)))</f>
        <v>0</v>
      </c>
      <c r="BI255" s="174">
        <f>IF(AA255&gt;0,0,IF(Z255=$Z$84,AG255*1,IF(Z255=$Z$93,AG255*2,IF(Z255=$Z$100,AG255,IF(Z255=$Z$81,AG255*2,IF(Z255=$Z$80,AG255*1,IF(Z255=$Z$79,AG255*3,IF(Z255=$Z$78,AG255*2,0))))))))</f>
        <v>0</v>
      </c>
      <c r="BJ255" s="174">
        <f>IF(AA255&gt;0,0,IF(Z255=$Z$85,AG255,IF(Z255=$Z$93,AG255,IF(Z255=$Z$100,AG255,IF(Z255=$Z$81,AG255*1,IF(Z255=$Z$80,AG255*2,IF(Z255=$Z$79,AG255*2,IF(Z255=$Z$78,AG255*2,0))))))))</f>
        <v>0</v>
      </c>
      <c r="BK255" s="174">
        <f>IF(AA255&gt;0,0,IF(Z255=$Z$92,AG255,0))</f>
        <v>0</v>
      </c>
      <c r="BL255" s="174">
        <f>IF(AA255&gt;0,0,IF(Z255=$Z$91,AG255,0))</f>
        <v>0</v>
      </c>
      <c r="BM255" s="174">
        <f>IF(AA255&gt;0,0,IF(Z255=$Z$86,AG255,0))</f>
        <v>0</v>
      </c>
      <c r="BN255" s="174">
        <f>IF(AA255&gt;0,0,IF(Z255=$Z$87,AG255,0))</f>
        <v>0</v>
      </c>
      <c r="BO255" s="174">
        <f>IF(AA255&gt;0,0,IF(Z255=$Z$88,AG255,0))</f>
        <v>0</v>
      </c>
      <c r="BP255" s="174">
        <f>IF(AA255&gt;0,0,IF(Z255=$Z$89,AG255,0))</f>
        <v>0</v>
      </c>
      <c r="BQ255" s="174">
        <f>IF(AA255&gt;0,0,IF(Z255=$Z$90,AG255,0))</f>
        <v>0</v>
      </c>
      <c r="BR255" s="174">
        <f>IF(Z255=$Z$82,AA255*AG255,0)</f>
        <v>0</v>
      </c>
      <c r="BS255" s="174">
        <f>IF(Z255=$Z$83,AA255*AG255,0)</f>
        <v>0</v>
      </c>
      <c r="BT255" s="174">
        <f>IF(AA255&lt;1,0,IF(Z255=$Z$84,AA255*AG255,IF(Z255=$Z$93,"ERRO",IF(Z255=$Z$100,"ERRO",0))))</f>
        <v>0</v>
      </c>
      <c r="BU255" s="174">
        <f>IF(AA255&lt;1,0,IF(Z255=$Z$85,AA255*AG255,IF(Z255=$Z$93,"ERRO",IF(Z255=$Z$100,"ERRO",0))))</f>
        <v>0</v>
      </c>
      <c r="BV255" s="174">
        <f>IF(Z255=$Z$92,AA255*AG255,0)</f>
        <v>0</v>
      </c>
      <c r="BW255" s="174">
        <f>IF(Z255=$Z$91,AA255*AG255,0)</f>
        <v>0</v>
      </c>
      <c r="BX255" s="174">
        <f>IF(Z255=$Z$86,AA255*AG255,0)</f>
        <v>0</v>
      </c>
      <c r="BY255" s="174">
        <f>IF(Z255=$Z$87,AA255*AG255,0)</f>
        <v>0</v>
      </c>
      <c r="BZ255" s="174">
        <f>IF(Z255=$Z$88,AA255*AG255,0)</f>
        <v>0</v>
      </c>
      <c r="CA255" s="174">
        <f>IF(Z255=$Z$89,AA255*AG255,0)</f>
        <v>0</v>
      </c>
      <c r="CB255" s="174">
        <f>IF(Z255=$Z$90,AA255*AG255,0)</f>
        <v>0</v>
      </c>
      <c r="CC255" s="175">
        <f>IFERROR(IF(L255=$L$49,AG255*AH255*(1+AI255)*(1-AK255)*(1-AL255),0),0)</f>
        <v>1686.2481</v>
      </c>
      <c r="CD255" s="203"/>
      <c r="CE255" s="203"/>
      <c r="CF255" s="204"/>
      <c r="CG255" s="203"/>
      <c r="CH255" s="204"/>
      <c r="CI255" s="203"/>
      <c r="CJ255" s="205"/>
      <c r="CK255" s="205"/>
      <c r="CL255" s="205"/>
      <c r="CM255" s="205"/>
      <c r="CN255" s="206"/>
      <c r="CO255" s="204"/>
      <c r="CP255" s="207"/>
      <c r="CQ255" s="208"/>
      <c r="CR255" s="209"/>
      <c r="CS255" s="49"/>
      <c r="CT255" s="49"/>
      <c r="CU255" s="49"/>
      <c r="CV255" s="49"/>
      <c r="CW255" s="49"/>
      <c r="CX255" s="49"/>
      <c r="CY255" s="49"/>
      <c r="CZ255" s="49"/>
      <c r="DA255" s="49"/>
      <c r="DB255" s="49"/>
      <c r="DC255" s="49"/>
      <c r="DD255" s="49"/>
      <c r="DE255" s="49"/>
      <c r="DF255" s="49"/>
      <c r="DG255" s="49"/>
      <c r="DH255" s="49"/>
      <c r="DI255" s="49"/>
      <c r="DJ255" s="49"/>
      <c r="DK255" s="49"/>
      <c r="DL255" s="49"/>
      <c r="DM255" s="49"/>
      <c r="DN255" s="49"/>
      <c r="DO255" s="49"/>
      <c r="DP255" s="49"/>
      <c r="DQ255" s="49"/>
      <c r="DR255" s="49"/>
      <c r="DS255" s="49"/>
      <c r="DT255" s="49"/>
      <c r="DU255" s="49"/>
      <c r="DV255" s="49"/>
      <c r="DW255" s="49"/>
      <c r="DX255" s="49"/>
      <c r="DY255" s="49"/>
      <c r="DZ255" s="49"/>
      <c r="EA255" s="49"/>
      <c r="EB255" s="49"/>
      <c r="EC255" s="49"/>
      <c r="ED255" s="49"/>
      <c r="EE255" s="49"/>
      <c r="EF255" s="49"/>
      <c r="EG255" s="49"/>
      <c r="EH255" s="49"/>
      <c r="EI255" s="49"/>
      <c r="EJ255" s="49"/>
      <c r="EK255" s="49"/>
      <c r="EL255" s="49"/>
      <c r="EM255" s="49"/>
      <c r="EN255" s="49"/>
      <c r="EO255" s="49"/>
      <c r="EP255" s="49"/>
      <c r="EQ255" s="49"/>
      <c r="ER255" s="49"/>
      <c r="ES255" s="49"/>
      <c r="ET255" s="49"/>
      <c r="EU255" s="49"/>
      <c r="EV255" s="49"/>
      <c r="EW255" s="49"/>
      <c r="EX255" s="49"/>
      <c r="EY255" s="49"/>
      <c r="EZ255" s="49"/>
      <c r="FA255" s="49"/>
    </row>
    <row r="256" spans="1:157" s="210" customFormat="1" ht="38.25" x14ac:dyDescent="0.25">
      <c r="A256" s="113"/>
      <c r="B256" s="113"/>
      <c r="C256" s="113"/>
      <c r="D256" s="148"/>
      <c r="E256" s="115"/>
      <c r="F256" s="116"/>
      <c r="G256" s="149"/>
      <c r="H256" s="150" t="s">
        <v>7</v>
      </c>
      <c r="I256" s="151" t="str">
        <f t="shared" si="46"/>
        <v>Mercadorias</v>
      </c>
      <c r="J256" s="150" t="s">
        <v>15</v>
      </c>
      <c r="K256" s="152" t="s">
        <v>7</v>
      </c>
      <c r="L256" s="153" t="s">
        <v>21</v>
      </c>
      <c r="M256" s="154" t="s">
        <v>290</v>
      </c>
      <c r="N256" s="155" t="s">
        <v>370</v>
      </c>
      <c r="O256" s="155" t="s">
        <v>343</v>
      </c>
      <c r="P256" s="155"/>
      <c r="Q256" s="155"/>
      <c r="R256" s="155"/>
      <c r="S256" s="156"/>
      <c r="T256" s="156"/>
      <c r="U256" s="150"/>
      <c r="V256" s="150"/>
      <c r="W256" s="150"/>
      <c r="X256" s="157" t="s">
        <v>401</v>
      </c>
      <c r="Y256" s="150"/>
      <c r="Z256" s="150"/>
      <c r="AA256" s="158"/>
      <c r="AB256" s="155"/>
      <c r="AC256" s="150"/>
      <c r="AD256" s="155"/>
      <c r="AE256" s="155"/>
      <c r="AF256" s="150"/>
      <c r="AG256" s="159">
        <v>20</v>
      </c>
      <c r="AH256" s="159">
        <v>49.940999999999995</v>
      </c>
      <c r="AI256" s="202">
        <v>0</v>
      </c>
      <c r="AJ256" s="161">
        <v>7.0000000000000007E-2</v>
      </c>
      <c r="AK256" s="162">
        <v>0.05</v>
      </c>
      <c r="AL256" s="163"/>
      <c r="AM256" s="164">
        <f>(((IF(L256=$L$101,1,IF(L256=$L$47,1,0))*(AH256*(1-AK256)))*AG256)*(1-AL256))</f>
        <v>0</v>
      </c>
      <c r="AN256" s="165">
        <f>IF(K256=$K$50,AM256,IF(K256=$K$53,AM256,IF(K256=$K$54,AM256,IF(K256=$K$55,AM256,IF(K256=$K$56,AM256,IF(K256=$K$57,AM256,IF(K256=$K$58,AM256,IF(K256=$K$65,AM256,IF(K256=$K$66,AM256,IF(K256=$K$67,AM256,IF(K256=$K$68,AM256,IF(K256=$K$69,AM256,IF(K256=$K$51,AM256,(AM256*(1+AI256)))))))))))))))</f>
        <v>0</v>
      </c>
      <c r="AO256" s="166">
        <v>1.4</v>
      </c>
      <c r="AP256" s="160">
        <f t="shared" si="47"/>
        <v>0</v>
      </c>
      <c r="AQ256" s="167">
        <f t="shared" si="45"/>
        <v>0</v>
      </c>
      <c r="AR256" s="160">
        <f t="shared" si="48"/>
        <v>0</v>
      </c>
      <c r="AS256" s="168">
        <f t="shared" si="49"/>
        <v>0</v>
      </c>
      <c r="AT256" s="169" t="str">
        <f>K256</f>
        <v>MI</v>
      </c>
      <c r="AU256" s="169" t="str">
        <f>I256</f>
        <v>Mercadorias</v>
      </c>
      <c r="AV256" s="170"/>
      <c r="AW256" s="171">
        <f>IF(K256=$K$50,0,IF(K256=$K$53,0,IF(K256=$K$54,0,IF(K256=$K$55,0,IF(K256=$K$56,0,IF(K256=$K$57,0,IF(K256=$K$58,0,IF(K256=$K$65,0,IF(K256=$K$66,0,IF(K256=$K$67,0,IF(K256=$K$68,0,IF(K256=$K$69,0,IF(K256=$K$51,0,1))))))))))))*AM256*AI256)</f>
        <v>0</v>
      </c>
      <c r="AX256" s="172">
        <f>IF(K256=$K$50,0,IF(K256=$K$53,0,IF(K256=$K$54,0,IF(K256=$K$55,0,IF(K256=$K$56,0,IF(K256=$K$57,0,IF(K256=$K$58,0,IF(K256=$K$65,0,IF(K256=$K$66,0,IF(K256=$K$67,0,IF(K256=$K$68,0,IF(K256=$K$69,0,IF(K256=$K$51,0,1))))))))))))*AM256*AJ256*$AX$94)</f>
        <v>0</v>
      </c>
      <c r="AY256" s="172">
        <f>IF(K256=$K$53,0,IF(K256=$K$54,0,IF(K256=$K$55,0,IF(K256=$K$56,0,IF(K256=$K$58,0,IF(K256=$K$50,0,IF(K256=$K$65,0,IF(K256=$K$57,0,IF(K256=$K$51,0,AM256*$AY$102)))))))))</f>
        <v>0</v>
      </c>
      <c r="AZ256" s="172">
        <f>IF(K256=$K$53,0,IF(K256=$K$54,0,IF(K256=$K$55,0,IF(K256=$K$56,0,IF(K256=$K$58,0,IF(K256=$K$50,0,IF(K256=$K$65,0,IF(K256=$K$57,0,IF(K256=$K$51,0,AM256*$AZ$102)))))))))</f>
        <v>0</v>
      </c>
      <c r="BA256" s="172">
        <f t="shared" si="50"/>
        <v>0</v>
      </c>
      <c r="BB256" s="173">
        <f>IF($BA$97=1,AQ256*$BB$102,IF(K256=$K$50,0,IF(K256=$K$53,0,IF(K256=$K$54,0,IF(K256=$K$55,0,IF(K256=$K$56,0,IF(K256=$K$57,0,IF(K256=$K$58,0,IF(K256=$K$65,0,IF(K256=$K$66,0,IF(K256=$K$67,0,IF(K256=$K$68,0,IF(K256=$K$69,0,IF(K256=$K$51,0,1)))))))))))*AQ256*$BB$102)))</f>
        <v>0</v>
      </c>
      <c r="BC256" s="172">
        <f t="shared" si="51"/>
        <v>0</v>
      </c>
      <c r="BD256" s="172">
        <f t="shared" si="52"/>
        <v>0</v>
      </c>
      <c r="BE256" s="172">
        <f>IF($BE$95=I256,$BE$97,IF(I256=$BE$96,$BE$97,1))*($BE$102*AQ256)*$AZ$97</f>
        <v>0</v>
      </c>
      <c r="BF256" s="172">
        <f>IF('[1]Cockpit Retorno'!$C$65=Sim,Mestre!BA256,SUM(BB256:BE256)+(IF(K256=$K$56,AQ256*MOE_IRRF_LR,0)))</f>
        <v>0</v>
      </c>
      <c r="BG256" s="174">
        <f>IF(AA256&gt;0,0,IF(Z256=$Z$82,AG256*1,(IF(Z256=$Z$81,AG256*1,0))))</f>
        <v>0</v>
      </c>
      <c r="BH256" s="174">
        <f>IF(AA256&gt;0,0,IF(Z256=$Z$83,AG256*1,IF(Z256=$Z$81,AG256*1,0)))</f>
        <v>0</v>
      </c>
      <c r="BI256" s="174">
        <f>IF(AA256&gt;0,0,IF(Z256=$Z$84,AG256*1,IF(Z256=$Z$93,AG256*2,IF(Z256=$Z$100,AG256,IF(Z256=$Z$81,AG256*2,IF(Z256=$Z$80,AG256*1,IF(Z256=$Z$79,AG256*3,IF(Z256=$Z$78,AG256*2,0))))))))</f>
        <v>0</v>
      </c>
      <c r="BJ256" s="174">
        <f>IF(AA256&gt;0,0,IF(Z256=$Z$85,AG256,IF(Z256=$Z$93,AG256,IF(Z256=$Z$100,AG256,IF(Z256=$Z$81,AG256*1,IF(Z256=$Z$80,AG256*2,IF(Z256=$Z$79,AG256*2,IF(Z256=$Z$78,AG256*2,0))))))))</f>
        <v>0</v>
      </c>
      <c r="BK256" s="174">
        <f>IF(AA256&gt;0,0,IF(Z256=$Z$92,AG256,0))</f>
        <v>0</v>
      </c>
      <c r="BL256" s="174">
        <f>IF(AA256&gt;0,0,IF(Z256=$Z$91,AG256,0))</f>
        <v>0</v>
      </c>
      <c r="BM256" s="174">
        <f>IF(AA256&gt;0,0,IF(Z256=$Z$86,AG256,0))</f>
        <v>0</v>
      </c>
      <c r="BN256" s="174">
        <f>IF(AA256&gt;0,0,IF(Z256=$Z$87,AG256,0))</f>
        <v>0</v>
      </c>
      <c r="BO256" s="174">
        <f>IF(AA256&gt;0,0,IF(Z256=$Z$88,AG256,0))</f>
        <v>0</v>
      </c>
      <c r="BP256" s="174">
        <f>IF(AA256&gt;0,0,IF(Z256=$Z$89,AG256,0))</f>
        <v>0</v>
      </c>
      <c r="BQ256" s="174">
        <f>IF(AA256&gt;0,0,IF(Z256=$Z$90,AG256,0))</f>
        <v>0</v>
      </c>
      <c r="BR256" s="174">
        <f>IF(Z256=$Z$82,AA256*AG256,0)</f>
        <v>0</v>
      </c>
      <c r="BS256" s="174">
        <f>IF(Z256=$Z$83,AA256*AG256,0)</f>
        <v>0</v>
      </c>
      <c r="BT256" s="174">
        <f>IF(AA256&lt;1,0,IF(Z256=$Z$84,AA256*AG256,IF(Z256=$Z$93,"ERRO",IF(Z256=$Z$100,"ERRO",0))))</f>
        <v>0</v>
      </c>
      <c r="BU256" s="174">
        <f>IF(AA256&lt;1,0,IF(Z256=$Z$85,AA256*AG256,IF(Z256=$Z$93,"ERRO",IF(Z256=$Z$100,"ERRO",0))))</f>
        <v>0</v>
      </c>
      <c r="BV256" s="174">
        <f>IF(Z256=$Z$92,AA256*AG256,0)</f>
        <v>0</v>
      </c>
      <c r="BW256" s="174">
        <f>IF(Z256=$Z$91,AA256*AG256,0)</f>
        <v>0</v>
      </c>
      <c r="BX256" s="174">
        <f>IF(Z256=$Z$86,AA256*AG256,0)</f>
        <v>0</v>
      </c>
      <c r="BY256" s="174">
        <f>IF(Z256=$Z$87,AA256*AG256,0)</f>
        <v>0</v>
      </c>
      <c r="BZ256" s="174">
        <f>IF(Z256=$Z$88,AA256*AG256,0)</f>
        <v>0</v>
      </c>
      <c r="CA256" s="174">
        <f>IF(Z256=$Z$89,AA256*AG256,0)</f>
        <v>0</v>
      </c>
      <c r="CB256" s="174">
        <f>IF(Z256=$Z$90,AA256*AG256,0)</f>
        <v>0</v>
      </c>
      <c r="CC256" s="175">
        <f>IFERROR(IF(L256=$L$49,AG256*AH256*(1+AI256)*(1-AK256)*(1-AL256),0),0)</f>
        <v>948.87899999999991</v>
      </c>
      <c r="CD256" s="203"/>
      <c r="CE256" s="203"/>
      <c r="CF256" s="204"/>
      <c r="CG256" s="203"/>
      <c r="CH256" s="204"/>
      <c r="CI256" s="203"/>
      <c r="CJ256" s="205"/>
      <c r="CK256" s="205"/>
      <c r="CL256" s="205"/>
      <c r="CM256" s="205"/>
      <c r="CN256" s="206"/>
      <c r="CO256" s="204"/>
      <c r="CP256" s="207"/>
      <c r="CQ256" s="208"/>
      <c r="CR256" s="209"/>
      <c r="CS256" s="49"/>
      <c r="CT256" s="49"/>
      <c r="CU256" s="49"/>
      <c r="CV256" s="49"/>
      <c r="CW256" s="49"/>
      <c r="CX256" s="49"/>
      <c r="CY256" s="49"/>
      <c r="CZ256" s="49"/>
      <c r="DA256" s="49"/>
      <c r="DB256" s="49"/>
      <c r="DC256" s="49"/>
      <c r="DD256" s="49"/>
      <c r="DE256" s="49"/>
      <c r="DF256" s="49"/>
      <c r="DG256" s="49"/>
      <c r="DH256" s="49"/>
      <c r="DI256" s="49"/>
      <c r="DJ256" s="49"/>
      <c r="DK256" s="49"/>
      <c r="DL256" s="49"/>
      <c r="DM256" s="49"/>
      <c r="DN256" s="49"/>
      <c r="DO256" s="49"/>
      <c r="DP256" s="49"/>
      <c r="DQ256" s="49"/>
      <c r="DR256" s="49"/>
      <c r="DS256" s="49"/>
      <c r="DT256" s="49"/>
      <c r="DU256" s="49"/>
      <c r="DV256" s="49"/>
      <c r="DW256" s="49"/>
      <c r="DX256" s="49"/>
      <c r="DY256" s="49"/>
      <c r="DZ256" s="49"/>
      <c r="EA256" s="49"/>
      <c r="EB256" s="49"/>
      <c r="EC256" s="49"/>
      <c r="ED256" s="49"/>
      <c r="EE256" s="49"/>
      <c r="EF256" s="49"/>
      <c r="EG256" s="49"/>
      <c r="EH256" s="49"/>
      <c r="EI256" s="49"/>
      <c r="EJ256" s="49"/>
      <c r="EK256" s="49"/>
      <c r="EL256" s="49"/>
      <c r="EM256" s="49"/>
      <c r="EN256" s="49"/>
      <c r="EO256" s="49"/>
      <c r="EP256" s="49"/>
      <c r="EQ256" s="49"/>
      <c r="ER256" s="49"/>
      <c r="ES256" s="49"/>
      <c r="ET256" s="49"/>
      <c r="EU256" s="49"/>
      <c r="EV256" s="49"/>
      <c r="EW256" s="49"/>
      <c r="EX256" s="49"/>
      <c r="EY256" s="49"/>
      <c r="EZ256" s="49"/>
      <c r="FA256" s="49"/>
    </row>
    <row r="257" spans="1:157" s="210" customFormat="1" ht="38.25" x14ac:dyDescent="0.25">
      <c r="A257" s="113"/>
      <c r="B257" s="113"/>
      <c r="C257" s="113"/>
      <c r="D257" s="148"/>
      <c r="E257" s="115"/>
      <c r="F257" s="116"/>
      <c r="G257" s="149"/>
      <c r="H257" s="150" t="s">
        <v>7</v>
      </c>
      <c r="I257" s="151" t="str">
        <f t="shared" si="46"/>
        <v>Mercadorias</v>
      </c>
      <c r="J257" s="150" t="s">
        <v>15</v>
      </c>
      <c r="K257" s="152" t="s">
        <v>7</v>
      </c>
      <c r="L257" s="153" t="s">
        <v>21</v>
      </c>
      <c r="M257" s="154" t="s">
        <v>290</v>
      </c>
      <c r="N257" s="155" t="s">
        <v>370</v>
      </c>
      <c r="O257" s="155" t="s">
        <v>343</v>
      </c>
      <c r="P257" s="155"/>
      <c r="Q257" s="155"/>
      <c r="R257" s="155"/>
      <c r="S257" s="156"/>
      <c r="T257" s="156"/>
      <c r="U257" s="150"/>
      <c r="V257" s="150"/>
      <c r="W257" s="150"/>
      <c r="X257" s="157" t="s">
        <v>402</v>
      </c>
      <c r="Y257" s="150"/>
      <c r="Z257" s="150"/>
      <c r="AA257" s="158"/>
      <c r="AB257" s="155"/>
      <c r="AC257" s="150"/>
      <c r="AD257" s="155"/>
      <c r="AE257" s="155"/>
      <c r="AF257" s="150"/>
      <c r="AG257" s="159">
        <v>2</v>
      </c>
      <c r="AH257" s="159">
        <v>63.091200000000008</v>
      </c>
      <c r="AI257" s="202">
        <v>0</v>
      </c>
      <c r="AJ257" s="161">
        <v>7.0000000000000007E-2</v>
      </c>
      <c r="AK257" s="162">
        <v>0.05</v>
      </c>
      <c r="AL257" s="163"/>
      <c r="AM257" s="164">
        <f>(((IF(L257=$L$101,1,IF(L257=$L$47,1,0))*(AH257*(1-AK257)))*AG257)*(1-AL257))</f>
        <v>0</v>
      </c>
      <c r="AN257" s="165">
        <f>IF(K257=$K$50,AM257,IF(K257=$K$53,AM257,IF(K257=$K$54,AM257,IF(K257=$K$55,AM257,IF(K257=$K$56,AM257,IF(K257=$K$57,AM257,IF(K257=$K$58,AM257,IF(K257=$K$65,AM257,IF(K257=$K$66,AM257,IF(K257=$K$67,AM257,IF(K257=$K$68,AM257,IF(K257=$K$69,AM257,IF(K257=$K$51,AM257,(AM257*(1+AI257)))))))))))))))</f>
        <v>0</v>
      </c>
      <c r="AO257" s="166">
        <v>1.4</v>
      </c>
      <c r="AP257" s="160">
        <f t="shared" si="47"/>
        <v>0</v>
      </c>
      <c r="AQ257" s="167">
        <f t="shared" si="45"/>
        <v>0</v>
      </c>
      <c r="AR257" s="160">
        <f t="shared" si="48"/>
        <v>0</v>
      </c>
      <c r="AS257" s="168">
        <f t="shared" si="49"/>
        <v>0</v>
      </c>
      <c r="AT257" s="169" t="str">
        <f>K257</f>
        <v>MI</v>
      </c>
      <c r="AU257" s="169" t="str">
        <f>I257</f>
        <v>Mercadorias</v>
      </c>
      <c r="AV257" s="170"/>
      <c r="AW257" s="171">
        <f>IF(K257=$K$50,0,IF(K257=$K$53,0,IF(K257=$K$54,0,IF(K257=$K$55,0,IF(K257=$K$56,0,IF(K257=$K$57,0,IF(K257=$K$58,0,IF(K257=$K$65,0,IF(K257=$K$66,0,IF(K257=$K$67,0,IF(K257=$K$68,0,IF(K257=$K$69,0,IF(K257=$K$51,0,1))))))))))))*AM257*AI257)</f>
        <v>0</v>
      </c>
      <c r="AX257" s="172">
        <f>IF(K257=$K$50,0,IF(K257=$K$53,0,IF(K257=$K$54,0,IF(K257=$K$55,0,IF(K257=$K$56,0,IF(K257=$K$57,0,IF(K257=$K$58,0,IF(K257=$K$65,0,IF(K257=$K$66,0,IF(K257=$K$67,0,IF(K257=$K$68,0,IF(K257=$K$69,0,IF(K257=$K$51,0,1))))))))))))*AM257*AJ257*$AX$94)</f>
        <v>0</v>
      </c>
      <c r="AY257" s="172">
        <f>IF(K257=$K$53,0,IF(K257=$K$54,0,IF(K257=$K$55,0,IF(K257=$K$56,0,IF(K257=$K$58,0,IF(K257=$K$50,0,IF(K257=$K$65,0,IF(K257=$K$57,0,IF(K257=$K$51,0,AM257*$AY$102)))))))))</f>
        <v>0</v>
      </c>
      <c r="AZ257" s="172">
        <f>IF(K257=$K$53,0,IF(K257=$K$54,0,IF(K257=$K$55,0,IF(K257=$K$56,0,IF(K257=$K$58,0,IF(K257=$K$50,0,IF(K257=$K$65,0,IF(K257=$K$57,0,IF(K257=$K$51,0,AM257*$AZ$102)))))))))</f>
        <v>0</v>
      </c>
      <c r="BA257" s="172">
        <f t="shared" si="50"/>
        <v>0</v>
      </c>
      <c r="BB257" s="173">
        <f>IF($BA$97=1,AQ257*$BB$102,IF(K257=$K$50,0,IF(K257=$K$53,0,IF(K257=$K$54,0,IF(K257=$K$55,0,IF(K257=$K$56,0,IF(K257=$K$57,0,IF(K257=$K$58,0,IF(K257=$K$65,0,IF(K257=$K$66,0,IF(K257=$K$67,0,IF(K257=$K$68,0,IF(K257=$K$69,0,IF(K257=$K$51,0,1)))))))))))*AQ257*$BB$102)))</f>
        <v>0</v>
      </c>
      <c r="BC257" s="172">
        <f t="shared" si="51"/>
        <v>0</v>
      </c>
      <c r="BD257" s="172">
        <f t="shared" si="52"/>
        <v>0</v>
      </c>
      <c r="BE257" s="172">
        <f>IF($BE$95=I257,$BE$97,IF(I257=$BE$96,$BE$97,1))*($BE$102*AQ257)*$AZ$97</f>
        <v>0</v>
      </c>
      <c r="BF257" s="172">
        <f>IF('[1]Cockpit Retorno'!$C$65=Sim,Mestre!BA257,SUM(BB257:BE257)+(IF(K257=$K$56,AQ257*MOE_IRRF_LR,0)))</f>
        <v>0</v>
      </c>
      <c r="BG257" s="174">
        <f>IF(AA257&gt;0,0,IF(Z257=$Z$82,AG257*1,(IF(Z257=$Z$81,AG257*1,0))))</f>
        <v>0</v>
      </c>
      <c r="BH257" s="174">
        <f>IF(AA257&gt;0,0,IF(Z257=$Z$83,AG257*1,IF(Z257=$Z$81,AG257*1,0)))</f>
        <v>0</v>
      </c>
      <c r="BI257" s="174">
        <f>IF(AA257&gt;0,0,IF(Z257=$Z$84,AG257*1,IF(Z257=$Z$93,AG257*2,IF(Z257=$Z$100,AG257,IF(Z257=$Z$81,AG257*2,IF(Z257=$Z$80,AG257*1,IF(Z257=$Z$79,AG257*3,IF(Z257=$Z$78,AG257*2,0))))))))</f>
        <v>0</v>
      </c>
      <c r="BJ257" s="174">
        <f>IF(AA257&gt;0,0,IF(Z257=$Z$85,AG257,IF(Z257=$Z$93,AG257,IF(Z257=$Z$100,AG257,IF(Z257=$Z$81,AG257*1,IF(Z257=$Z$80,AG257*2,IF(Z257=$Z$79,AG257*2,IF(Z257=$Z$78,AG257*2,0))))))))</f>
        <v>0</v>
      </c>
      <c r="BK257" s="174">
        <f>IF(AA257&gt;0,0,IF(Z257=$Z$92,AG257,0))</f>
        <v>0</v>
      </c>
      <c r="BL257" s="174">
        <f>IF(AA257&gt;0,0,IF(Z257=$Z$91,AG257,0))</f>
        <v>0</v>
      </c>
      <c r="BM257" s="174">
        <f>IF(AA257&gt;0,0,IF(Z257=$Z$86,AG257,0))</f>
        <v>0</v>
      </c>
      <c r="BN257" s="174">
        <f>IF(AA257&gt;0,0,IF(Z257=$Z$87,AG257,0))</f>
        <v>0</v>
      </c>
      <c r="BO257" s="174">
        <f>IF(AA257&gt;0,0,IF(Z257=$Z$88,AG257,0))</f>
        <v>0</v>
      </c>
      <c r="BP257" s="174">
        <f>IF(AA257&gt;0,0,IF(Z257=$Z$89,AG257,0))</f>
        <v>0</v>
      </c>
      <c r="BQ257" s="174">
        <f>IF(AA257&gt;0,0,IF(Z257=$Z$90,AG257,0))</f>
        <v>0</v>
      </c>
      <c r="BR257" s="174">
        <f>IF(Z257=$Z$82,AA257*AG257,0)</f>
        <v>0</v>
      </c>
      <c r="BS257" s="174">
        <f>IF(Z257=$Z$83,AA257*AG257,0)</f>
        <v>0</v>
      </c>
      <c r="BT257" s="174">
        <f>IF(AA257&lt;1,0,IF(Z257=$Z$84,AA257*AG257,IF(Z257=$Z$93,"ERRO",IF(Z257=$Z$100,"ERRO",0))))</f>
        <v>0</v>
      </c>
      <c r="BU257" s="174">
        <f>IF(AA257&lt;1,0,IF(Z257=$Z$85,AA257*AG257,IF(Z257=$Z$93,"ERRO",IF(Z257=$Z$100,"ERRO",0))))</f>
        <v>0</v>
      </c>
      <c r="BV257" s="174">
        <f>IF(Z257=$Z$92,AA257*AG257,0)</f>
        <v>0</v>
      </c>
      <c r="BW257" s="174">
        <f>IF(Z257=$Z$91,AA257*AG257,0)</f>
        <v>0</v>
      </c>
      <c r="BX257" s="174">
        <f>IF(Z257=$Z$86,AA257*AG257,0)</f>
        <v>0</v>
      </c>
      <c r="BY257" s="174">
        <f>IF(Z257=$Z$87,AA257*AG257,0)</f>
        <v>0</v>
      </c>
      <c r="BZ257" s="174">
        <f>IF(Z257=$Z$88,AA257*AG257,0)</f>
        <v>0</v>
      </c>
      <c r="CA257" s="174">
        <f>IF(Z257=$Z$89,AA257*AG257,0)</f>
        <v>0</v>
      </c>
      <c r="CB257" s="174">
        <f>IF(Z257=$Z$90,AA257*AG257,0)</f>
        <v>0</v>
      </c>
      <c r="CC257" s="175">
        <f>IFERROR(IF(L257=$L$49,AG257*AH257*(1+AI257)*(1-AK257)*(1-AL257),0),0)</f>
        <v>119.87328000000001</v>
      </c>
      <c r="CD257" s="203"/>
      <c r="CE257" s="203"/>
      <c r="CF257" s="204"/>
      <c r="CG257" s="203"/>
      <c r="CH257" s="204"/>
      <c r="CI257" s="203"/>
      <c r="CJ257" s="205"/>
      <c r="CK257" s="205"/>
      <c r="CL257" s="205"/>
      <c r="CM257" s="205"/>
      <c r="CN257" s="206"/>
      <c r="CO257" s="204"/>
      <c r="CP257" s="207"/>
      <c r="CQ257" s="208"/>
      <c r="CR257" s="209"/>
      <c r="CS257" s="49"/>
      <c r="CT257" s="49"/>
      <c r="CU257" s="49"/>
      <c r="CV257" s="49"/>
      <c r="CW257" s="49"/>
      <c r="CX257" s="49"/>
      <c r="CY257" s="49"/>
      <c r="CZ257" s="49"/>
      <c r="DA257" s="49"/>
      <c r="DB257" s="49"/>
      <c r="DC257" s="49"/>
      <c r="DD257" s="49"/>
      <c r="DE257" s="49"/>
      <c r="DF257" s="49"/>
      <c r="DG257" s="49"/>
      <c r="DH257" s="49"/>
      <c r="DI257" s="49"/>
      <c r="DJ257" s="49"/>
      <c r="DK257" s="49"/>
      <c r="DL257" s="49"/>
      <c r="DM257" s="49"/>
      <c r="DN257" s="49"/>
      <c r="DO257" s="49"/>
      <c r="DP257" s="49"/>
      <c r="DQ257" s="49"/>
      <c r="DR257" s="49"/>
      <c r="DS257" s="49"/>
      <c r="DT257" s="49"/>
      <c r="DU257" s="49"/>
      <c r="DV257" s="49"/>
      <c r="DW257" s="49"/>
      <c r="DX257" s="49"/>
      <c r="DY257" s="49"/>
      <c r="DZ257" s="49"/>
      <c r="EA257" s="49"/>
      <c r="EB257" s="49"/>
      <c r="EC257" s="49"/>
      <c r="ED257" s="49"/>
      <c r="EE257" s="49"/>
      <c r="EF257" s="49"/>
      <c r="EG257" s="49"/>
      <c r="EH257" s="49"/>
      <c r="EI257" s="49"/>
      <c r="EJ257" s="49"/>
      <c r="EK257" s="49"/>
      <c r="EL257" s="49"/>
      <c r="EM257" s="49"/>
      <c r="EN257" s="49"/>
      <c r="EO257" s="49"/>
      <c r="EP257" s="49"/>
      <c r="EQ257" s="49"/>
      <c r="ER257" s="49"/>
      <c r="ES257" s="49"/>
      <c r="ET257" s="49"/>
      <c r="EU257" s="49"/>
      <c r="EV257" s="49"/>
      <c r="EW257" s="49"/>
      <c r="EX257" s="49"/>
      <c r="EY257" s="49"/>
      <c r="EZ257" s="49"/>
      <c r="FA257" s="49"/>
    </row>
    <row r="258" spans="1:157" s="210" customFormat="1" ht="51" x14ac:dyDescent="0.25">
      <c r="A258" s="113"/>
      <c r="B258" s="113"/>
      <c r="C258" s="113"/>
      <c r="D258" s="148"/>
      <c r="E258" s="115"/>
      <c r="F258" s="116"/>
      <c r="G258" s="149"/>
      <c r="H258" s="150" t="s">
        <v>7</v>
      </c>
      <c r="I258" s="151" t="str">
        <f t="shared" si="46"/>
        <v>Mercadorias</v>
      </c>
      <c r="J258" s="150" t="s">
        <v>15</v>
      </c>
      <c r="K258" s="152" t="s">
        <v>7</v>
      </c>
      <c r="L258" s="153" t="s">
        <v>21</v>
      </c>
      <c r="M258" s="154" t="s">
        <v>290</v>
      </c>
      <c r="N258" s="155" t="s">
        <v>370</v>
      </c>
      <c r="O258" s="155" t="s">
        <v>343</v>
      </c>
      <c r="P258" s="155"/>
      <c r="Q258" s="155"/>
      <c r="R258" s="155"/>
      <c r="S258" s="156"/>
      <c r="T258" s="156"/>
      <c r="U258" s="150"/>
      <c r="V258" s="150"/>
      <c r="W258" s="150"/>
      <c r="X258" s="157" t="s">
        <v>403</v>
      </c>
      <c r="Y258" s="150"/>
      <c r="Z258" s="150"/>
      <c r="AA258" s="158"/>
      <c r="AB258" s="155"/>
      <c r="AC258" s="150"/>
      <c r="AD258" s="155"/>
      <c r="AE258" s="155"/>
      <c r="AF258" s="150"/>
      <c r="AG258" s="159">
        <v>500</v>
      </c>
      <c r="AH258" s="159">
        <v>15.4194</v>
      </c>
      <c r="AI258" s="202">
        <v>0</v>
      </c>
      <c r="AJ258" s="161">
        <v>7.0000000000000007E-2</v>
      </c>
      <c r="AK258" s="162">
        <v>0.05</v>
      </c>
      <c r="AL258" s="163"/>
      <c r="AM258" s="164">
        <f>(((IF(L258=$L$101,1,IF(L258=$L$47,1,0))*(AH258*(1-AK258)))*AG258)*(1-AL258))</f>
        <v>0</v>
      </c>
      <c r="AN258" s="165">
        <f>IF(K258=$K$50,AM258,IF(K258=$K$53,AM258,IF(K258=$K$54,AM258,IF(K258=$K$55,AM258,IF(K258=$K$56,AM258,IF(K258=$K$57,AM258,IF(K258=$K$58,AM258,IF(K258=$K$65,AM258,IF(K258=$K$66,AM258,IF(K258=$K$67,AM258,IF(K258=$K$68,AM258,IF(K258=$K$69,AM258,IF(K258=$K$51,AM258,(AM258*(1+AI258)))))))))))))))</f>
        <v>0</v>
      </c>
      <c r="AO258" s="166">
        <v>1.4</v>
      </c>
      <c r="AP258" s="160">
        <f t="shared" si="47"/>
        <v>0</v>
      </c>
      <c r="AQ258" s="167">
        <f t="shared" si="45"/>
        <v>0</v>
      </c>
      <c r="AR258" s="160">
        <f t="shared" si="48"/>
        <v>0</v>
      </c>
      <c r="AS258" s="168">
        <f t="shared" si="49"/>
        <v>0</v>
      </c>
      <c r="AT258" s="169" t="str">
        <f>K258</f>
        <v>MI</v>
      </c>
      <c r="AU258" s="169" t="str">
        <f>I258</f>
        <v>Mercadorias</v>
      </c>
      <c r="AV258" s="170"/>
      <c r="AW258" s="171">
        <f>IF(K258=$K$50,0,IF(K258=$K$53,0,IF(K258=$K$54,0,IF(K258=$K$55,0,IF(K258=$K$56,0,IF(K258=$K$57,0,IF(K258=$K$58,0,IF(K258=$K$65,0,IF(K258=$K$66,0,IF(K258=$K$67,0,IF(K258=$K$68,0,IF(K258=$K$69,0,IF(K258=$K$51,0,1))))))))))))*AM258*AI258)</f>
        <v>0</v>
      </c>
      <c r="AX258" s="172">
        <f>IF(K258=$K$50,0,IF(K258=$K$53,0,IF(K258=$K$54,0,IF(K258=$K$55,0,IF(K258=$K$56,0,IF(K258=$K$57,0,IF(K258=$K$58,0,IF(K258=$K$65,0,IF(K258=$K$66,0,IF(K258=$K$67,0,IF(K258=$K$68,0,IF(K258=$K$69,0,IF(K258=$K$51,0,1))))))))))))*AM258*AJ258*$AX$94)</f>
        <v>0</v>
      </c>
      <c r="AY258" s="172">
        <f>IF(K258=$K$53,0,IF(K258=$K$54,0,IF(K258=$K$55,0,IF(K258=$K$56,0,IF(K258=$K$58,0,IF(K258=$K$50,0,IF(K258=$K$65,0,IF(K258=$K$57,0,IF(K258=$K$51,0,AM258*$AY$102)))))))))</f>
        <v>0</v>
      </c>
      <c r="AZ258" s="172">
        <f>IF(K258=$K$53,0,IF(K258=$K$54,0,IF(K258=$K$55,0,IF(K258=$K$56,0,IF(K258=$K$58,0,IF(K258=$K$50,0,IF(K258=$K$65,0,IF(K258=$K$57,0,IF(K258=$K$51,0,AM258*$AZ$102)))))))))</f>
        <v>0</v>
      </c>
      <c r="BA258" s="172">
        <f t="shared" si="50"/>
        <v>0</v>
      </c>
      <c r="BB258" s="173">
        <f>IF($BA$97=1,AQ258*$BB$102,IF(K258=$K$50,0,IF(K258=$K$53,0,IF(K258=$K$54,0,IF(K258=$K$55,0,IF(K258=$K$56,0,IF(K258=$K$57,0,IF(K258=$K$58,0,IF(K258=$K$65,0,IF(K258=$K$66,0,IF(K258=$K$67,0,IF(K258=$K$68,0,IF(K258=$K$69,0,IF(K258=$K$51,0,1)))))))))))*AQ258*$BB$102)))</f>
        <v>0</v>
      </c>
      <c r="BC258" s="172">
        <f t="shared" si="51"/>
        <v>0</v>
      </c>
      <c r="BD258" s="172">
        <f t="shared" si="52"/>
        <v>0</v>
      </c>
      <c r="BE258" s="172">
        <f>IF($BE$95=I258,$BE$97,IF(I258=$BE$96,$BE$97,1))*($BE$102*AQ258)*$AZ$97</f>
        <v>0</v>
      </c>
      <c r="BF258" s="172">
        <f>IF('[1]Cockpit Retorno'!$C$65=Sim,Mestre!BA258,SUM(BB258:BE258)+(IF(K258=$K$56,AQ258*MOE_IRRF_LR,0)))</f>
        <v>0</v>
      </c>
      <c r="BG258" s="174">
        <f>IF(AA258&gt;0,0,IF(Z258=$Z$82,AG258*1,(IF(Z258=$Z$81,AG258*1,0))))</f>
        <v>0</v>
      </c>
      <c r="BH258" s="174">
        <f>IF(AA258&gt;0,0,IF(Z258=$Z$83,AG258*1,IF(Z258=$Z$81,AG258*1,0)))</f>
        <v>0</v>
      </c>
      <c r="BI258" s="174">
        <f>IF(AA258&gt;0,0,IF(Z258=$Z$84,AG258*1,IF(Z258=$Z$93,AG258*2,IF(Z258=$Z$100,AG258,IF(Z258=$Z$81,AG258*2,IF(Z258=$Z$80,AG258*1,IF(Z258=$Z$79,AG258*3,IF(Z258=$Z$78,AG258*2,0))))))))</f>
        <v>0</v>
      </c>
      <c r="BJ258" s="174">
        <f>IF(AA258&gt;0,0,IF(Z258=$Z$85,AG258,IF(Z258=$Z$93,AG258,IF(Z258=$Z$100,AG258,IF(Z258=$Z$81,AG258*1,IF(Z258=$Z$80,AG258*2,IF(Z258=$Z$79,AG258*2,IF(Z258=$Z$78,AG258*2,0))))))))</f>
        <v>0</v>
      </c>
      <c r="BK258" s="174">
        <f>IF(AA258&gt;0,0,IF(Z258=$Z$92,AG258,0))</f>
        <v>0</v>
      </c>
      <c r="BL258" s="174">
        <f>IF(AA258&gt;0,0,IF(Z258=$Z$91,AG258,0))</f>
        <v>0</v>
      </c>
      <c r="BM258" s="174">
        <f>IF(AA258&gt;0,0,IF(Z258=$Z$86,AG258,0))</f>
        <v>0</v>
      </c>
      <c r="BN258" s="174">
        <f>IF(AA258&gt;0,0,IF(Z258=$Z$87,AG258,0))</f>
        <v>0</v>
      </c>
      <c r="BO258" s="174">
        <f>IF(AA258&gt;0,0,IF(Z258=$Z$88,AG258,0))</f>
        <v>0</v>
      </c>
      <c r="BP258" s="174">
        <f>IF(AA258&gt;0,0,IF(Z258=$Z$89,AG258,0))</f>
        <v>0</v>
      </c>
      <c r="BQ258" s="174">
        <f>IF(AA258&gt;0,0,IF(Z258=$Z$90,AG258,0))</f>
        <v>0</v>
      </c>
      <c r="BR258" s="174">
        <f>IF(Z258=$Z$82,AA258*AG258,0)</f>
        <v>0</v>
      </c>
      <c r="BS258" s="174">
        <f>IF(Z258=$Z$83,AA258*AG258,0)</f>
        <v>0</v>
      </c>
      <c r="BT258" s="174">
        <f>IF(AA258&lt;1,0,IF(Z258=$Z$84,AA258*AG258,IF(Z258=$Z$93,"ERRO",IF(Z258=$Z$100,"ERRO",0))))</f>
        <v>0</v>
      </c>
      <c r="BU258" s="174">
        <f>IF(AA258&lt;1,0,IF(Z258=$Z$85,AA258*AG258,IF(Z258=$Z$93,"ERRO",IF(Z258=$Z$100,"ERRO",0))))</f>
        <v>0</v>
      </c>
      <c r="BV258" s="174">
        <f>IF(Z258=$Z$92,AA258*AG258,0)</f>
        <v>0</v>
      </c>
      <c r="BW258" s="174">
        <f>IF(Z258=$Z$91,AA258*AG258,0)</f>
        <v>0</v>
      </c>
      <c r="BX258" s="174">
        <f>IF(Z258=$Z$86,AA258*AG258,0)</f>
        <v>0</v>
      </c>
      <c r="BY258" s="174">
        <f>IF(Z258=$Z$87,AA258*AG258,0)</f>
        <v>0</v>
      </c>
      <c r="BZ258" s="174">
        <f>IF(Z258=$Z$88,AA258*AG258,0)</f>
        <v>0</v>
      </c>
      <c r="CA258" s="174">
        <f>IF(Z258=$Z$89,AA258*AG258,0)</f>
        <v>0</v>
      </c>
      <c r="CB258" s="174">
        <f>IF(Z258=$Z$90,AA258*AG258,0)</f>
        <v>0</v>
      </c>
      <c r="CC258" s="175">
        <f>IFERROR(IF(L258=$L$49,AG258*AH258*(1+AI258)*(1-AK258)*(1-AL258),0),0)</f>
        <v>7324.2149999999992</v>
      </c>
      <c r="CD258" s="203"/>
      <c r="CE258" s="203"/>
      <c r="CF258" s="204"/>
      <c r="CG258" s="203"/>
      <c r="CH258" s="204"/>
      <c r="CI258" s="203"/>
      <c r="CJ258" s="205"/>
      <c r="CK258" s="205"/>
      <c r="CL258" s="205"/>
      <c r="CM258" s="205"/>
      <c r="CN258" s="206"/>
      <c r="CO258" s="204"/>
      <c r="CP258" s="207"/>
      <c r="CQ258" s="208"/>
      <c r="CR258" s="209"/>
      <c r="CS258" s="49"/>
      <c r="CT258" s="49"/>
      <c r="CU258" s="49"/>
      <c r="CV258" s="49"/>
      <c r="CW258" s="49"/>
      <c r="CX258" s="49"/>
      <c r="CY258" s="49"/>
      <c r="CZ258" s="49"/>
      <c r="DA258" s="49"/>
      <c r="DB258" s="49"/>
      <c r="DC258" s="49"/>
      <c r="DD258" s="49"/>
      <c r="DE258" s="49"/>
      <c r="DF258" s="49"/>
      <c r="DG258" s="49"/>
      <c r="DH258" s="49"/>
      <c r="DI258" s="49"/>
      <c r="DJ258" s="49"/>
      <c r="DK258" s="49"/>
      <c r="DL258" s="49"/>
      <c r="DM258" s="49"/>
      <c r="DN258" s="49"/>
      <c r="DO258" s="49"/>
      <c r="DP258" s="49"/>
      <c r="DQ258" s="49"/>
      <c r="DR258" s="49"/>
      <c r="DS258" s="49"/>
      <c r="DT258" s="49"/>
      <c r="DU258" s="49"/>
      <c r="DV258" s="49"/>
      <c r="DW258" s="49"/>
      <c r="DX258" s="49"/>
      <c r="DY258" s="49"/>
      <c r="DZ258" s="49"/>
      <c r="EA258" s="49"/>
      <c r="EB258" s="49"/>
      <c r="EC258" s="49"/>
      <c r="ED258" s="49"/>
      <c r="EE258" s="49"/>
      <c r="EF258" s="49"/>
      <c r="EG258" s="49"/>
      <c r="EH258" s="49"/>
      <c r="EI258" s="49"/>
      <c r="EJ258" s="49"/>
      <c r="EK258" s="49"/>
      <c r="EL258" s="49"/>
      <c r="EM258" s="49"/>
      <c r="EN258" s="49"/>
      <c r="EO258" s="49"/>
      <c r="EP258" s="49"/>
      <c r="EQ258" s="49"/>
      <c r="ER258" s="49"/>
      <c r="ES258" s="49"/>
      <c r="ET258" s="49"/>
      <c r="EU258" s="49"/>
      <c r="EV258" s="49"/>
      <c r="EW258" s="49"/>
      <c r="EX258" s="49"/>
      <c r="EY258" s="49"/>
      <c r="EZ258" s="49"/>
      <c r="FA258" s="49"/>
    </row>
    <row r="259" spans="1:157" s="210" customFormat="1" ht="25.5" x14ac:dyDescent="0.25">
      <c r="A259" s="113"/>
      <c r="B259" s="113"/>
      <c r="C259" s="113"/>
      <c r="D259" s="148"/>
      <c r="E259" s="115"/>
      <c r="F259" s="116"/>
      <c r="G259" s="149"/>
      <c r="H259" s="150" t="s">
        <v>7</v>
      </c>
      <c r="I259" s="151" t="str">
        <f t="shared" si="46"/>
        <v>Mercadorias</v>
      </c>
      <c r="J259" s="150" t="s">
        <v>15</v>
      </c>
      <c r="K259" s="152" t="s">
        <v>7</v>
      </c>
      <c r="L259" s="153" t="s">
        <v>21</v>
      </c>
      <c r="M259" s="154" t="s">
        <v>290</v>
      </c>
      <c r="N259" s="155" t="s">
        <v>370</v>
      </c>
      <c r="O259" s="155" t="s">
        <v>343</v>
      </c>
      <c r="P259" s="155"/>
      <c r="Q259" s="155"/>
      <c r="R259" s="155"/>
      <c r="S259" s="156"/>
      <c r="T259" s="156"/>
      <c r="U259" s="150"/>
      <c r="V259" s="150"/>
      <c r="W259" s="150"/>
      <c r="X259" s="157" t="s">
        <v>404</v>
      </c>
      <c r="Y259" s="150"/>
      <c r="Z259" s="150"/>
      <c r="AA259" s="158"/>
      <c r="AB259" s="155"/>
      <c r="AC259" s="150"/>
      <c r="AD259" s="155"/>
      <c r="AE259" s="155"/>
      <c r="AF259" s="150"/>
      <c r="AG259" s="159">
        <v>75</v>
      </c>
      <c r="AH259" s="159">
        <v>12.787500000000001</v>
      </c>
      <c r="AI259" s="202">
        <v>0</v>
      </c>
      <c r="AJ259" s="161">
        <v>7.0000000000000007E-2</v>
      </c>
      <c r="AK259" s="162">
        <v>0.05</v>
      </c>
      <c r="AL259" s="163"/>
      <c r="AM259" s="164">
        <f>(((IF(L259=$L$101,1,IF(L259=$L$47,1,0))*(AH259*(1-AK259)))*AG259)*(1-AL259))</f>
        <v>0</v>
      </c>
      <c r="AN259" s="165">
        <f>IF(K259=$K$50,AM259,IF(K259=$K$53,AM259,IF(K259=$K$54,AM259,IF(K259=$K$55,AM259,IF(K259=$K$56,AM259,IF(K259=$K$57,AM259,IF(K259=$K$58,AM259,IF(K259=$K$65,AM259,IF(K259=$K$66,AM259,IF(K259=$K$67,AM259,IF(K259=$K$68,AM259,IF(K259=$K$69,AM259,IF(K259=$K$51,AM259,(AM259*(1+AI259)))))))))))))))</f>
        <v>0</v>
      </c>
      <c r="AO259" s="166">
        <v>1.4</v>
      </c>
      <c r="AP259" s="160">
        <f t="shared" si="47"/>
        <v>0</v>
      </c>
      <c r="AQ259" s="167">
        <f t="shared" si="45"/>
        <v>0</v>
      </c>
      <c r="AR259" s="160">
        <f t="shared" si="48"/>
        <v>0</v>
      </c>
      <c r="AS259" s="168">
        <f t="shared" si="49"/>
        <v>0</v>
      </c>
      <c r="AT259" s="169" t="str">
        <f>K259</f>
        <v>MI</v>
      </c>
      <c r="AU259" s="169" t="str">
        <f>I259</f>
        <v>Mercadorias</v>
      </c>
      <c r="AV259" s="170"/>
      <c r="AW259" s="171">
        <f>IF(K259=$K$50,0,IF(K259=$K$53,0,IF(K259=$K$54,0,IF(K259=$K$55,0,IF(K259=$K$56,0,IF(K259=$K$57,0,IF(K259=$K$58,0,IF(K259=$K$65,0,IF(K259=$K$66,0,IF(K259=$K$67,0,IF(K259=$K$68,0,IF(K259=$K$69,0,IF(K259=$K$51,0,1))))))))))))*AM259*AI259)</f>
        <v>0</v>
      </c>
      <c r="AX259" s="172">
        <f>IF(K259=$K$50,0,IF(K259=$K$53,0,IF(K259=$K$54,0,IF(K259=$K$55,0,IF(K259=$K$56,0,IF(K259=$K$57,0,IF(K259=$K$58,0,IF(K259=$K$65,0,IF(K259=$K$66,0,IF(K259=$K$67,0,IF(K259=$K$68,0,IF(K259=$K$69,0,IF(K259=$K$51,0,1))))))))))))*AM259*AJ259*$AX$94)</f>
        <v>0</v>
      </c>
      <c r="AY259" s="172">
        <f>IF(K259=$K$53,0,IF(K259=$K$54,0,IF(K259=$K$55,0,IF(K259=$K$56,0,IF(K259=$K$58,0,IF(K259=$K$50,0,IF(K259=$K$65,0,IF(K259=$K$57,0,IF(K259=$K$51,0,AM259*$AY$102)))))))))</f>
        <v>0</v>
      </c>
      <c r="AZ259" s="172">
        <f>IF(K259=$K$53,0,IF(K259=$K$54,0,IF(K259=$K$55,0,IF(K259=$K$56,0,IF(K259=$K$58,0,IF(K259=$K$50,0,IF(K259=$K$65,0,IF(K259=$K$57,0,IF(K259=$K$51,0,AM259*$AZ$102)))))))))</f>
        <v>0</v>
      </c>
      <c r="BA259" s="172">
        <f t="shared" si="50"/>
        <v>0</v>
      </c>
      <c r="BB259" s="173">
        <f>IF($BA$97=1,AQ259*$BB$102,IF(K259=$K$50,0,IF(K259=$K$53,0,IF(K259=$K$54,0,IF(K259=$K$55,0,IF(K259=$K$56,0,IF(K259=$K$57,0,IF(K259=$K$58,0,IF(K259=$K$65,0,IF(K259=$K$66,0,IF(K259=$K$67,0,IF(K259=$K$68,0,IF(K259=$K$69,0,IF(K259=$K$51,0,1)))))))))))*AQ259*$BB$102)))</f>
        <v>0</v>
      </c>
      <c r="BC259" s="172">
        <f t="shared" si="51"/>
        <v>0</v>
      </c>
      <c r="BD259" s="172">
        <f t="shared" si="52"/>
        <v>0</v>
      </c>
      <c r="BE259" s="172">
        <f>IF($BE$95=I259,$BE$97,IF(I259=$BE$96,$BE$97,1))*($BE$102*AQ259)*$AZ$97</f>
        <v>0</v>
      </c>
      <c r="BF259" s="172">
        <f>IF('[1]Cockpit Retorno'!$C$65=Sim,Mestre!BA259,SUM(BB259:BE259)+(IF(K259=$K$56,AQ259*MOE_IRRF_LR,0)))</f>
        <v>0</v>
      </c>
      <c r="BG259" s="174">
        <f>IF(AA259&gt;0,0,IF(Z259=$Z$82,AG259*1,(IF(Z259=$Z$81,AG259*1,0))))</f>
        <v>0</v>
      </c>
      <c r="BH259" s="174">
        <f>IF(AA259&gt;0,0,IF(Z259=$Z$83,AG259*1,IF(Z259=$Z$81,AG259*1,0)))</f>
        <v>0</v>
      </c>
      <c r="BI259" s="174">
        <f>IF(AA259&gt;0,0,IF(Z259=$Z$84,AG259*1,IF(Z259=$Z$93,AG259*2,IF(Z259=$Z$100,AG259,IF(Z259=$Z$81,AG259*2,IF(Z259=$Z$80,AG259*1,IF(Z259=$Z$79,AG259*3,IF(Z259=$Z$78,AG259*2,0))))))))</f>
        <v>0</v>
      </c>
      <c r="BJ259" s="174">
        <f>IF(AA259&gt;0,0,IF(Z259=$Z$85,AG259,IF(Z259=$Z$93,AG259,IF(Z259=$Z$100,AG259,IF(Z259=$Z$81,AG259*1,IF(Z259=$Z$80,AG259*2,IF(Z259=$Z$79,AG259*2,IF(Z259=$Z$78,AG259*2,0))))))))</f>
        <v>0</v>
      </c>
      <c r="BK259" s="174">
        <f>IF(AA259&gt;0,0,IF(Z259=$Z$92,AG259,0))</f>
        <v>0</v>
      </c>
      <c r="BL259" s="174">
        <f>IF(AA259&gt;0,0,IF(Z259=$Z$91,AG259,0))</f>
        <v>0</v>
      </c>
      <c r="BM259" s="174">
        <f>IF(AA259&gt;0,0,IF(Z259=$Z$86,AG259,0))</f>
        <v>0</v>
      </c>
      <c r="BN259" s="174">
        <f>IF(AA259&gt;0,0,IF(Z259=$Z$87,AG259,0))</f>
        <v>0</v>
      </c>
      <c r="BO259" s="174">
        <f>IF(AA259&gt;0,0,IF(Z259=$Z$88,AG259,0))</f>
        <v>0</v>
      </c>
      <c r="BP259" s="174">
        <f>IF(AA259&gt;0,0,IF(Z259=$Z$89,AG259,0))</f>
        <v>0</v>
      </c>
      <c r="BQ259" s="174">
        <f>IF(AA259&gt;0,0,IF(Z259=$Z$90,AG259,0))</f>
        <v>0</v>
      </c>
      <c r="BR259" s="174">
        <f>IF(Z259=$Z$82,AA259*AG259,0)</f>
        <v>0</v>
      </c>
      <c r="BS259" s="174">
        <f>IF(Z259=$Z$83,AA259*AG259,0)</f>
        <v>0</v>
      </c>
      <c r="BT259" s="174">
        <f>IF(AA259&lt;1,0,IF(Z259=$Z$84,AA259*AG259,IF(Z259=$Z$93,"ERRO",IF(Z259=$Z$100,"ERRO",0))))</f>
        <v>0</v>
      </c>
      <c r="BU259" s="174">
        <f>IF(AA259&lt;1,0,IF(Z259=$Z$85,AA259*AG259,IF(Z259=$Z$93,"ERRO",IF(Z259=$Z$100,"ERRO",0))))</f>
        <v>0</v>
      </c>
      <c r="BV259" s="174">
        <f>IF(Z259=$Z$92,AA259*AG259,0)</f>
        <v>0</v>
      </c>
      <c r="BW259" s="174">
        <f>IF(Z259=$Z$91,AA259*AG259,0)</f>
        <v>0</v>
      </c>
      <c r="BX259" s="174">
        <f>IF(Z259=$Z$86,AA259*AG259,0)</f>
        <v>0</v>
      </c>
      <c r="BY259" s="174">
        <f>IF(Z259=$Z$87,AA259*AG259,0)</f>
        <v>0</v>
      </c>
      <c r="BZ259" s="174">
        <f>IF(Z259=$Z$88,AA259*AG259,0)</f>
        <v>0</v>
      </c>
      <c r="CA259" s="174">
        <f>IF(Z259=$Z$89,AA259*AG259,0)</f>
        <v>0</v>
      </c>
      <c r="CB259" s="174">
        <f>IF(Z259=$Z$90,AA259*AG259,0)</f>
        <v>0</v>
      </c>
      <c r="CC259" s="175">
        <f>IFERROR(IF(L259=$L$49,AG259*AH259*(1+AI259)*(1-AK259)*(1-AL259),0),0)</f>
        <v>911.10937500000011</v>
      </c>
      <c r="CD259" s="203"/>
      <c r="CE259" s="203"/>
      <c r="CF259" s="204"/>
      <c r="CG259" s="203"/>
      <c r="CH259" s="204"/>
      <c r="CI259" s="203"/>
      <c r="CJ259" s="205"/>
      <c r="CK259" s="205"/>
      <c r="CL259" s="205"/>
      <c r="CM259" s="205"/>
      <c r="CN259" s="206"/>
      <c r="CO259" s="204"/>
      <c r="CP259" s="207"/>
      <c r="CQ259" s="208"/>
      <c r="CR259" s="209"/>
      <c r="CS259" s="49"/>
      <c r="CT259" s="49"/>
      <c r="CU259" s="49"/>
      <c r="CV259" s="49"/>
      <c r="CW259" s="49"/>
      <c r="CX259" s="49"/>
      <c r="CY259" s="49"/>
      <c r="CZ259" s="49"/>
      <c r="DA259" s="49"/>
      <c r="DB259" s="49"/>
      <c r="DC259" s="49"/>
      <c r="DD259" s="49"/>
      <c r="DE259" s="49"/>
      <c r="DF259" s="49"/>
      <c r="DG259" s="49"/>
      <c r="DH259" s="49"/>
      <c r="DI259" s="49"/>
      <c r="DJ259" s="49"/>
      <c r="DK259" s="49"/>
      <c r="DL259" s="49"/>
      <c r="DM259" s="49"/>
      <c r="DN259" s="49"/>
      <c r="DO259" s="49"/>
      <c r="DP259" s="49"/>
      <c r="DQ259" s="49"/>
      <c r="DR259" s="49"/>
      <c r="DS259" s="49"/>
      <c r="DT259" s="49"/>
      <c r="DU259" s="49"/>
      <c r="DV259" s="49"/>
      <c r="DW259" s="49"/>
      <c r="DX259" s="49"/>
      <c r="DY259" s="49"/>
      <c r="DZ259" s="49"/>
      <c r="EA259" s="49"/>
      <c r="EB259" s="49"/>
      <c r="EC259" s="49"/>
      <c r="ED259" s="49"/>
      <c r="EE259" s="49"/>
      <c r="EF259" s="49"/>
      <c r="EG259" s="49"/>
      <c r="EH259" s="49"/>
      <c r="EI259" s="49"/>
      <c r="EJ259" s="49"/>
      <c r="EK259" s="49"/>
      <c r="EL259" s="49"/>
      <c r="EM259" s="49"/>
      <c r="EN259" s="49"/>
      <c r="EO259" s="49"/>
      <c r="EP259" s="49"/>
      <c r="EQ259" s="49"/>
      <c r="ER259" s="49"/>
      <c r="ES259" s="49"/>
      <c r="ET259" s="49"/>
      <c r="EU259" s="49"/>
      <c r="EV259" s="49"/>
      <c r="EW259" s="49"/>
      <c r="EX259" s="49"/>
      <c r="EY259" s="49"/>
      <c r="EZ259" s="49"/>
      <c r="FA259" s="49"/>
    </row>
    <row r="260" spans="1:157" s="210" customFormat="1" ht="25.5" x14ac:dyDescent="0.25">
      <c r="A260" s="113"/>
      <c r="B260" s="113"/>
      <c r="C260" s="113"/>
      <c r="D260" s="148"/>
      <c r="E260" s="115"/>
      <c r="F260" s="116"/>
      <c r="G260" s="149"/>
      <c r="H260" s="150" t="s">
        <v>7</v>
      </c>
      <c r="I260" s="151" t="str">
        <f t="shared" si="46"/>
        <v>Mercadorias</v>
      </c>
      <c r="J260" s="150" t="s">
        <v>15</v>
      </c>
      <c r="K260" s="152" t="s">
        <v>7</v>
      </c>
      <c r="L260" s="153" t="s">
        <v>21</v>
      </c>
      <c r="M260" s="154" t="s">
        <v>290</v>
      </c>
      <c r="N260" s="155" t="s">
        <v>370</v>
      </c>
      <c r="O260" s="155" t="s">
        <v>343</v>
      </c>
      <c r="P260" s="155"/>
      <c r="Q260" s="155"/>
      <c r="R260" s="155"/>
      <c r="S260" s="156"/>
      <c r="T260" s="156"/>
      <c r="U260" s="150"/>
      <c r="V260" s="150"/>
      <c r="W260" s="150"/>
      <c r="X260" s="157" t="s">
        <v>405</v>
      </c>
      <c r="Y260" s="150"/>
      <c r="Z260" s="150"/>
      <c r="AA260" s="158"/>
      <c r="AB260" s="155"/>
      <c r="AC260" s="150"/>
      <c r="AD260" s="155"/>
      <c r="AE260" s="155"/>
      <c r="AF260" s="150"/>
      <c r="AG260" s="159">
        <v>30</v>
      </c>
      <c r="AH260" s="159">
        <v>10.1556</v>
      </c>
      <c r="AI260" s="202">
        <v>0</v>
      </c>
      <c r="AJ260" s="161">
        <v>7.0000000000000007E-2</v>
      </c>
      <c r="AK260" s="162">
        <v>0.05</v>
      </c>
      <c r="AL260" s="163"/>
      <c r="AM260" s="164">
        <f>(((IF(L260=$L$101,1,IF(L260=$L$47,1,0))*(AH260*(1-AK260)))*AG260)*(1-AL260))</f>
        <v>0</v>
      </c>
      <c r="AN260" s="165">
        <f>IF(K260=$K$50,AM260,IF(K260=$K$53,AM260,IF(K260=$K$54,AM260,IF(K260=$K$55,AM260,IF(K260=$K$56,AM260,IF(K260=$K$57,AM260,IF(K260=$K$58,AM260,IF(K260=$K$65,AM260,IF(K260=$K$66,AM260,IF(K260=$K$67,AM260,IF(K260=$K$68,AM260,IF(K260=$K$69,AM260,IF(K260=$K$51,AM260,(AM260*(1+AI260)))))))))))))))</f>
        <v>0</v>
      </c>
      <c r="AO260" s="166">
        <v>1.4</v>
      </c>
      <c r="AP260" s="160">
        <f t="shared" si="47"/>
        <v>0</v>
      </c>
      <c r="AQ260" s="167">
        <f t="shared" si="45"/>
        <v>0</v>
      </c>
      <c r="AR260" s="160">
        <f t="shared" si="48"/>
        <v>0</v>
      </c>
      <c r="AS260" s="168">
        <f t="shared" si="49"/>
        <v>0</v>
      </c>
      <c r="AT260" s="169" t="str">
        <f>K260</f>
        <v>MI</v>
      </c>
      <c r="AU260" s="169" t="str">
        <f>I260</f>
        <v>Mercadorias</v>
      </c>
      <c r="AV260" s="170"/>
      <c r="AW260" s="171">
        <f>IF(K260=$K$50,0,IF(K260=$K$53,0,IF(K260=$K$54,0,IF(K260=$K$55,0,IF(K260=$K$56,0,IF(K260=$K$57,0,IF(K260=$K$58,0,IF(K260=$K$65,0,IF(K260=$K$66,0,IF(K260=$K$67,0,IF(K260=$K$68,0,IF(K260=$K$69,0,IF(K260=$K$51,0,1))))))))))))*AM260*AI260)</f>
        <v>0</v>
      </c>
      <c r="AX260" s="172">
        <f>IF(K260=$K$50,0,IF(K260=$K$53,0,IF(K260=$K$54,0,IF(K260=$K$55,0,IF(K260=$K$56,0,IF(K260=$K$57,0,IF(K260=$K$58,0,IF(K260=$K$65,0,IF(K260=$K$66,0,IF(K260=$K$67,0,IF(K260=$K$68,0,IF(K260=$K$69,0,IF(K260=$K$51,0,1))))))))))))*AM260*AJ260*$AX$94)</f>
        <v>0</v>
      </c>
      <c r="AY260" s="172">
        <f>IF(K260=$K$53,0,IF(K260=$K$54,0,IF(K260=$K$55,0,IF(K260=$K$56,0,IF(K260=$K$58,0,IF(K260=$K$50,0,IF(K260=$K$65,0,IF(K260=$K$57,0,IF(K260=$K$51,0,AM260*$AY$102)))))))))</f>
        <v>0</v>
      </c>
      <c r="AZ260" s="172">
        <f>IF(K260=$K$53,0,IF(K260=$K$54,0,IF(K260=$K$55,0,IF(K260=$K$56,0,IF(K260=$K$58,0,IF(K260=$K$50,0,IF(K260=$K$65,0,IF(K260=$K$57,0,IF(K260=$K$51,0,AM260*$AZ$102)))))))))</f>
        <v>0</v>
      </c>
      <c r="BA260" s="172">
        <f t="shared" si="50"/>
        <v>0</v>
      </c>
      <c r="BB260" s="173">
        <f>IF($BA$97=1,AQ260*$BB$102,IF(K260=$K$50,0,IF(K260=$K$53,0,IF(K260=$K$54,0,IF(K260=$K$55,0,IF(K260=$K$56,0,IF(K260=$K$57,0,IF(K260=$K$58,0,IF(K260=$K$65,0,IF(K260=$K$66,0,IF(K260=$K$67,0,IF(K260=$K$68,0,IF(K260=$K$69,0,IF(K260=$K$51,0,1)))))))))))*AQ260*$BB$102)))</f>
        <v>0</v>
      </c>
      <c r="BC260" s="172">
        <f t="shared" si="51"/>
        <v>0</v>
      </c>
      <c r="BD260" s="172">
        <f t="shared" si="52"/>
        <v>0</v>
      </c>
      <c r="BE260" s="172">
        <f>IF($BE$95=I260,$BE$97,IF(I260=$BE$96,$BE$97,1))*($BE$102*AQ260)*$AZ$97</f>
        <v>0</v>
      </c>
      <c r="BF260" s="172">
        <f>IF('[1]Cockpit Retorno'!$C$65=Sim,Mestre!BA260,SUM(BB260:BE260)+(IF(K260=$K$56,AQ260*MOE_IRRF_LR,0)))</f>
        <v>0</v>
      </c>
      <c r="BG260" s="174">
        <f>IF(AA260&gt;0,0,IF(Z260=$Z$82,AG260*1,(IF(Z260=$Z$81,AG260*1,0))))</f>
        <v>0</v>
      </c>
      <c r="BH260" s="174">
        <f>IF(AA260&gt;0,0,IF(Z260=$Z$83,AG260*1,IF(Z260=$Z$81,AG260*1,0)))</f>
        <v>0</v>
      </c>
      <c r="BI260" s="174">
        <f>IF(AA260&gt;0,0,IF(Z260=$Z$84,AG260*1,IF(Z260=$Z$93,AG260*2,IF(Z260=$Z$100,AG260,IF(Z260=$Z$81,AG260*2,IF(Z260=$Z$80,AG260*1,IF(Z260=$Z$79,AG260*3,IF(Z260=$Z$78,AG260*2,0))))))))</f>
        <v>0</v>
      </c>
      <c r="BJ260" s="174">
        <f>IF(AA260&gt;0,0,IF(Z260=$Z$85,AG260,IF(Z260=$Z$93,AG260,IF(Z260=$Z$100,AG260,IF(Z260=$Z$81,AG260*1,IF(Z260=$Z$80,AG260*2,IF(Z260=$Z$79,AG260*2,IF(Z260=$Z$78,AG260*2,0))))))))</f>
        <v>0</v>
      </c>
      <c r="BK260" s="174">
        <f>IF(AA260&gt;0,0,IF(Z260=$Z$92,AG260,0))</f>
        <v>0</v>
      </c>
      <c r="BL260" s="174">
        <f>IF(AA260&gt;0,0,IF(Z260=$Z$91,AG260,0))</f>
        <v>0</v>
      </c>
      <c r="BM260" s="174">
        <f>IF(AA260&gt;0,0,IF(Z260=$Z$86,AG260,0))</f>
        <v>0</v>
      </c>
      <c r="BN260" s="174">
        <f>IF(AA260&gt;0,0,IF(Z260=$Z$87,AG260,0))</f>
        <v>0</v>
      </c>
      <c r="BO260" s="174">
        <f>IF(AA260&gt;0,0,IF(Z260=$Z$88,AG260,0))</f>
        <v>0</v>
      </c>
      <c r="BP260" s="174">
        <f>IF(AA260&gt;0,0,IF(Z260=$Z$89,AG260,0))</f>
        <v>0</v>
      </c>
      <c r="BQ260" s="174">
        <f>IF(AA260&gt;0,0,IF(Z260=$Z$90,AG260,0))</f>
        <v>0</v>
      </c>
      <c r="BR260" s="174">
        <f>IF(Z260=$Z$82,AA260*AG260,0)</f>
        <v>0</v>
      </c>
      <c r="BS260" s="174">
        <f>IF(Z260=$Z$83,AA260*AG260,0)</f>
        <v>0</v>
      </c>
      <c r="BT260" s="174">
        <f>IF(AA260&lt;1,0,IF(Z260=$Z$84,AA260*AG260,IF(Z260=$Z$93,"ERRO",IF(Z260=$Z$100,"ERRO",0))))</f>
        <v>0</v>
      </c>
      <c r="BU260" s="174">
        <f>IF(AA260&lt;1,0,IF(Z260=$Z$85,AA260*AG260,IF(Z260=$Z$93,"ERRO",IF(Z260=$Z$100,"ERRO",0))))</f>
        <v>0</v>
      </c>
      <c r="BV260" s="174">
        <f>IF(Z260=$Z$92,AA260*AG260,0)</f>
        <v>0</v>
      </c>
      <c r="BW260" s="174">
        <f>IF(Z260=$Z$91,AA260*AG260,0)</f>
        <v>0</v>
      </c>
      <c r="BX260" s="174">
        <f>IF(Z260=$Z$86,AA260*AG260,0)</f>
        <v>0</v>
      </c>
      <c r="BY260" s="174">
        <f>IF(Z260=$Z$87,AA260*AG260,0)</f>
        <v>0</v>
      </c>
      <c r="BZ260" s="174">
        <f>IF(Z260=$Z$88,AA260*AG260,0)</f>
        <v>0</v>
      </c>
      <c r="CA260" s="174">
        <f>IF(Z260=$Z$89,AA260*AG260,0)</f>
        <v>0</v>
      </c>
      <c r="CB260" s="174">
        <f>IF(Z260=$Z$90,AA260*AG260,0)</f>
        <v>0</v>
      </c>
      <c r="CC260" s="175">
        <f>IFERROR(IF(L260=$L$49,AG260*AH260*(1+AI260)*(1-AK260)*(1-AL260),0),0)</f>
        <v>289.43459999999999</v>
      </c>
      <c r="CD260" s="203"/>
      <c r="CE260" s="203"/>
      <c r="CF260" s="204"/>
      <c r="CG260" s="203"/>
      <c r="CH260" s="204"/>
      <c r="CI260" s="203"/>
      <c r="CJ260" s="205"/>
      <c r="CK260" s="205"/>
      <c r="CL260" s="205"/>
      <c r="CM260" s="205"/>
      <c r="CN260" s="206"/>
      <c r="CO260" s="204"/>
      <c r="CP260" s="207"/>
      <c r="CQ260" s="208"/>
      <c r="CR260" s="209"/>
      <c r="CS260" s="49"/>
      <c r="CT260" s="49"/>
      <c r="CU260" s="49"/>
      <c r="CV260" s="49"/>
      <c r="CW260" s="49"/>
      <c r="CX260" s="49"/>
      <c r="CY260" s="49"/>
      <c r="CZ260" s="49"/>
      <c r="DA260" s="49"/>
      <c r="DB260" s="49"/>
      <c r="DC260" s="49"/>
      <c r="DD260" s="49"/>
      <c r="DE260" s="49"/>
      <c r="DF260" s="49"/>
      <c r="DG260" s="49"/>
      <c r="DH260" s="49"/>
      <c r="DI260" s="49"/>
      <c r="DJ260" s="49"/>
      <c r="DK260" s="49"/>
      <c r="DL260" s="49"/>
      <c r="DM260" s="49"/>
      <c r="DN260" s="49"/>
      <c r="DO260" s="49"/>
      <c r="DP260" s="49"/>
      <c r="DQ260" s="49"/>
      <c r="DR260" s="49"/>
      <c r="DS260" s="49"/>
      <c r="DT260" s="49"/>
      <c r="DU260" s="49"/>
      <c r="DV260" s="49"/>
      <c r="DW260" s="49"/>
      <c r="DX260" s="49"/>
      <c r="DY260" s="49"/>
      <c r="DZ260" s="49"/>
      <c r="EA260" s="49"/>
      <c r="EB260" s="49"/>
      <c r="EC260" s="49"/>
      <c r="ED260" s="49"/>
      <c r="EE260" s="49"/>
      <c r="EF260" s="49"/>
      <c r="EG260" s="49"/>
      <c r="EH260" s="49"/>
      <c r="EI260" s="49"/>
      <c r="EJ260" s="49"/>
      <c r="EK260" s="49"/>
      <c r="EL260" s="49"/>
      <c r="EM260" s="49"/>
      <c r="EN260" s="49"/>
      <c r="EO260" s="49"/>
      <c r="EP260" s="49"/>
      <c r="EQ260" s="49"/>
      <c r="ER260" s="49"/>
      <c r="ES260" s="49"/>
      <c r="ET260" s="49"/>
      <c r="EU260" s="49"/>
      <c r="EV260" s="49"/>
      <c r="EW260" s="49"/>
      <c r="EX260" s="49"/>
      <c r="EY260" s="49"/>
      <c r="EZ260" s="49"/>
      <c r="FA260" s="49"/>
    </row>
    <row r="261" spans="1:157" s="210" customFormat="1" x14ac:dyDescent="0.25">
      <c r="A261" s="113"/>
      <c r="B261" s="113"/>
      <c r="C261" s="113"/>
      <c r="D261" s="148"/>
      <c r="E261" s="115"/>
      <c r="F261" s="116"/>
      <c r="G261" s="149"/>
      <c r="H261" s="150" t="s">
        <v>7</v>
      </c>
      <c r="I261" s="151" t="str">
        <f t="shared" si="46"/>
        <v>Mercadorias</v>
      </c>
      <c r="J261" s="150" t="s">
        <v>15</v>
      </c>
      <c r="K261" s="152" t="s">
        <v>7</v>
      </c>
      <c r="L261" s="153" t="s">
        <v>21</v>
      </c>
      <c r="M261" s="154" t="s">
        <v>290</v>
      </c>
      <c r="N261" s="155" t="s">
        <v>370</v>
      </c>
      <c r="O261" s="155" t="s">
        <v>343</v>
      </c>
      <c r="P261" s="155"/>
      <c r="Q261" s="155"/>
      <c r="R261" s="155"/>
      <c r="S261" s="156"/>
      <c r="T261" s="156"/>
      <c r="U261" s="150"/>
      <c r="V261" s="150"/>
      <c r="W261" s="150"/>
      <c r="X261" s="157" t="s">
        <v>406</v>
      </c>
      <c r="Y261" s="150"/>
      <c r="Z261" s="150"/>
      <c r="AA261" s="158"/>
      <c r="AB261" s="155"/>
      <c r="AC261" s="150"/>
      <c r="AD261" s="155"/>
      <c r="AE261" s="155"/>
      <c r="AF261" s="150"/>
      <c r="AG261" s="159">
        <v>190</v>
      </c>
      <c r="AH261" s="159">
        <v>7.5330000000000004</v>
      </c>
      <c r="AI261" s="202">
        <v>0</v>
      </c>
      <c r="AJ261" s="161">
        <v>7.0000000000000007E-2</v>
      </c>
      <c r="AK261" s="162">
        <v>0.05</v>
      </c>
      <c r="AL261" s="163"/>
      <c r="AM261" s="164">
        <f>(((IF(L261=$L$101,1,IF(L261=$L$47,1,0))*(AH261*(1-AK261)))*AG261)*(1-AL261))</f>
        <v>0</v>
      </c>
      <c r="AN261" s="165">
        <f>IF(K261=$K$50,AM261,IF(K261=$K$53,AM261,IF(K261=$K$54,AM261,IF(K261=$K$55,AM261,IF(K261=$K$56,AM261,IF(K261=$K$57,AM261,IF(K261=$K$58,AM261,IF(K261=$K$65,AM261,IF(K261=$K$66,AM261,IF(K261=$K$67,AM261,IF(K261=$K$68,AM261,IF(K261=$K$69,AM261,IF(K261=$K$51,AM261,(AM261*(1+AI261)))))))))))))))</f>
        <v>0</v>
      </c>
      <c r="AO261" s="166">
        <v>1.4</v>
      </c>
      <c r="AP261" s="160">
        <f t="shared" si="47"/>
        <v>0</v>
      </c>
      <c r="AQ261" s="167">
        <f t="shared" si="45"/>
        <v>0</v>
      </c>
      <c r="AR261" s="160">
        <f t="shared" si="48"/>
        <v>0</v>
      </c>
      <c r="AS261" s="168">
        <f t="shared" si="49"/>
        <v>0</v>
      </c>
      <c r="AT261" s="169" t="str">
        <f>K261</f>
        <v>MI</v>
      </c>
      <c r="AU261" s="169" t="str">
        <f>I261</f>
        <v>Mercadorias</v>
      </c>
      <c r="AV261" s="170"/>
      <c r="AW261" s="171">
        <f>IF(K261=$K$50,0,IF(K261=$K$53,0,IF(K261=$K$54,0,IF(K261=$K$55,0,IF(K261=$K$56,0,IF(K261=$K$57,0,IF(K261=$K$58,0,IF(K261=$K$65,0,IF(K261=$K$66,0,IF(K261=$K$67,0,IF(K261=$K$68,0,IF(K261=$K$69,0,IF(K261=$K$51,0,1))))))))))))*AM261*AI261)</f>
        <v>0</v>
      </c>
      <c r="AX261" s="172">
        <f>IF(K261=$K$50,0,IF(K261=$K$53,0,IF(K261=$K$54,0,IF(K261=$K$55,0,IF(K261=$K$56,0,IF(K261=$K$57,0,IF(K261=$K$58,0,IF(K261=$K$65,0,IF(K261=$K$66,0,IF(K261=$K$67,0,IF(K261=$K$68,0,IF(K261=$K$69,0,IF(K261=$K$51,0,1))))))))))))*AM261*AJ261*$AX$94)</f>
        <v>0</v>
      </c>
      <c r="AY261" s="172">
        <f>IF(K261=$K$53,0,IF(K261=$K$54,0,IF(K261=$K$55,0,IF(K261=$K$56,0,IF(K261=$K$58,0,IF(K261=$K$50,0,IF(K261=$K$65,0,IF(K261=$K$57,0,IF(K261=$K$51,0,AM261*$AY$102)))))))))</f>
        <v>0</v>
      </c>
      <c r="AZ261" s="172">
        <f>IF(K261=$K$53,0,IF(K261=$K$54,0,IF(K261=$K$55,0,IF(K261=$K$56,0,IF(K261=$K$58,0,IF(K261=$K$50,0,IF(K261=$K$65,0,IF(K261=$K$57,0,IF(K261=$K$51,0,AM261*$AZ$102)))))))))</f>
        <v>0</v>
      </c>
      <c r="BA261" s="172">
        <f t="shared" si="50"/>
        <v>0</v>
      </c>
      <c r="BB261" s="173">
        <f>IF($BA$97=1,AQ261*$BB$102,IF(K261=$K$50,0,IF(K261=$K$53,0,IF(K261=$K$54,0,IF(K261=$K$55,0,IF(K261=$K$56,0,IF(K261=$K$57,0,IF(K261=$K$58,0,IF(K261=$K$65,0,IF(K261=$K$66,0,IF(K261=$K$67,0,IF(K261=$K$68,0,IF(K261=$K$69,0,IF(K261=$K$51,0,1)))))))))))*AQ261*$BB$102)))</f>
        <v>0</v>
      </c>
      <c r="BC261" s="172">
        <f t="shared" si="51"/>
        <v>0</v>
      </c>
      <c r="BD261" s="172">
        <f t="shared" si="52"/>
        <v>0</v>
      </c>
      <c r="BE261" s="172">
        <f>IF($BE$95=I261,$BE$97,IF(I261=$BE$96,$BE$97,1))*($BE$102*AQ261)*$AZ$97</f>
        <v>0</v>
      </c>
      <c r="BF261" s="172">
        <f>IF('[1]Cockpit Retorno'!$C$65=Sim,Mestre!BA261,SUM(BB261:BE261)+(IF(K261=$K$56,AQ261*MOE_IRRF_LR,0)))</f>
        <v>0</v>
      </c>
      <c r="BG261" s="174">
        <f>IF(AA261&gt;0,0,IF(Z261=$Z$82,AG261*1,(IF(Z261=$Z$81,AG261*1,0))))</f>
        <v>0</v>
      </c>
      <c r="BH261" s="174">
        <f>IF(AA261&gt;0,0,IF(Z261=$Z$83,AG261*1,IF(Z261=$Z$81,AG261*1,0)))</f>
        <v>0</v>
      </c>
      <c r="BI261" s="174">
        <f>IF(AA261&gt;0,0,IF(Z261=$Z$84,AG261*1,IF(Z261=$Z$93,AG261*2,IF(Z261=$Z$100,AG261,IF(Z261=$Z$81,AG261*2,IF(Z261=$Z$80,AG261*1,IF(Z261=$Z$79,AG261*3,IF(Z261=$Z$78,AG261*2,0))))))))</f>
        <v>0</v>
      </c>
      <c r="BJ261" s="174">
        <f>IF(AA261&gt;0,0,IF(Z261=$Z$85,AG261,IF(Z261=$Z$93,AG261,IF(Z261=$Z$100,AG261,IF(Z261=$Z$81,AG261*1,IF(Z261=$Z$80,AG261*2,IF(Z261=$Z$79,AG261*2,IF(Z261=$Z$78,AG261*2,0))))))))</f>
        <v>0</v>
      </c>
      <c r="BK261" s="174">
        <f>IF(AA261&gt;0,0,IF(Z261=$Z$92,AG261,0))</f>
        <v>0</v>
      </c>
      <c r="BL261" s="174">
        <f>IF(AA261&gt;0,0,IF(Z261=$Z$91,AG261,0))</f>
        <v>0</v>
      </c>
      <c r="BM261" s="174">
        <f>IF(AA261&gt;0,0,IF(Z261=$Z$86,AG261,0))</f>
        <v>0</v>
      </c>
      <c r="BN261" s="174">
        <f>IF(AA261&gt;0,0,IF(Z261=$Z$87,AG261,0))</f>
        <v>0</v>
      </c>
      <c r="BO261" s="174">
        <f>IF(AA261&gt;0,0,IF(Z261=$Z$88,AG261,0))</f>
        <v>0</v>
      </c>
      <c r="BP261" s="174">
        <f>IF(AA261&gt;0,0,IF(Z261=$Z$89,AG261,0))</f>
        <v>0</v>
      </c>
      <c r="BQ261" s="174">
        <f>IF(AA261&gt;0,0,IF(Z261=$Z$90,AG261,0))</f>
        <v>0</v>
      </c>
      <c r="BR261" s="174">
        <f>IF(Z261=$Z$82,AA261*AG261,0)</f>
        <v>0</v>
      </c>
      <c r="BS261" s="174">
        <f>IF(Z261=$Z$83,AA261*AG261,0)</f>
        <v>0</v>
      </c>
      <c r="BT261" s="174">
        <f>IF(AA261&lt;1,0,IF(Z261=$Z$84,AA261*AG261,IF(Z261=$Z$93,"ERRO",IF(Z261=$Z$100,"ERRO",0))))</f>
        <v>0</v>
      </c>
      <c r="BU261" s="174">
        <f>IF(AA261&lt;1,0,IF(Z261=$Z$85,AA261*AG261,IF(Z261=$Z$93,"ERRO",IF(Z261=$Z$100,"ERRO",0))))</f>
        <v>0</v>
      </c>
      <c r="BV261" s="174">
        <f>IF(Z261=$Z$92,AA261*AG261,0)</f>
        <v>0</v>
      </c>
      <c r="BW261" s="174">
        <f>IF(Z261=$Z$91,AA261*AG261,0)</f>
        <v>0</v>
      </c>
      <c r="BX261" s="174">
        <f>IF(Z261=$Z$86,AA261*AG261,0)</f>
        <v>0</v>
      </c>
      <c r="BY261" s="174">
        <f>IF(Z261=$Z$87,AA261*AG261,0)</f>
        <v>0</v>
      </c>
      <c r="BZ261" s="174">
        <f>IF(Z261=$Z$88,AA261*AG261,0)</f>
        <v>0</v>
      </c>
      <c r="CA261" s="174">
        <f>IF(Z261=$Z$89,AA261*AG261,0)</f>
        <v>0</v>
      </c>
      <c r="CB261" s="174">
        <f>IF(Z261=$Z$90,AA261*AG261,0)</f>
        <v>0</v>
      </c>
      <c r="CC261" s="175">
        <f>IFERROR(IF(L261=$L$49,AG261*AH261*(1+AI261)*(1-AK261)*(1-AL261),0),0)</f>
        <v>1359.7065</v>
      </c>
      <c r="CD261" s="203"/>
      <c r="CE261" s="203"/>
      <c r="CF261" s="204"/>
      <c r="CG261" s="203"/>
      <c r="CH261" s="204"/>
      <c r="CI261" s="203"/>
      <c r="CJ261" s="205"/>
      <c r="CK261" s="205"/>
      <c r="CL261" s="205"/>
      <c r="CM261" s="205"/>
      <c r="CN261" s="206"/>
      <c r="CO261" s="204"/>
      <c r="CP261" s="207"/>
      <c r="CQ261" s="208"/>
      <c r="CR261" s="209"/>
      <c r="CS261" s="49"/>
      <c r="CT261" s="49"/>
      <c r="CU261" s="49"/>
      <c r="CV261" s="49"/>
      <c r="CW261" s="49"/>
      <c r="CX261" s="49"/>
      <c r="CY261" s="49"/>
      <c r="CZ261" s="49"/>
      <c r="DA261" s="49"/>
      <c r="DB261" s="49"/>
      <c r="DC261" s="49"/>
      <c r="DD261" s="49"/>
      <c r="DE261" s="49"/>
      <c r="DF261" s="49"/>
      <c r="DG261" s="49"/>
      <c r="DH261" s="49"/>
      <c r="DI261" s="49"/>
      <c r="DJ261" s="49"/>
      <c r="DK261" s="49"/>
      <c r="DL261" s="49"/>
      <c r="DM261" s="49"/>
      <c r="DN261" s="49"/>
      <c r="DO261" s="49"/>
      <c r="DP261" s="49"/>
      <c r="DQ261" s="49"/>
      <c r="DR261" s="49"/>
      <c r="DS261" s="49"/>
      <c r="DT261" s="49"/>
      <c r="DU261" s="49"/>
      <c r="DV261" s="49"/>
      <c r="DW261" s="49"/>
      <c r="DX261" s="49"/>
      <c r="DY261" s="49"/>
      <c r="DZ261" s="49"/>
      <c r="EA261" s="49"/>
      <c r="EB261" s="49"/>
      <c r="EC261" s="49"/>
      <c r="ED261" s="49"/>
      <c r="EE261" s="49"/>
      <c r="EF261" s="49"/>
      <c r="EG261" s="49"/>
      <c r="EH261" s="49"/>
      <c r="EI261" s="49"/>
      <c r="EJ261" s="49"/>
      <c r="EK261" s="49"/>
      <c r="EL261" s="49"/>
      <c r="EM261" s="49"/>
      <c r="EN261" s="49"/>
      <c r="EO261" s="49"/>
      <c r="EP261" s="49"/>
      <c r="EQ261" s="49"/>
      <c r="ER261" s="49"/>
      <c r="ES261" s="49"/>
      <c r="ET261" s="49"/>
      <c r="EU261" s="49"/>
      <c r="EV261" s="49"/>
      <c r="EW261" s="49"/>
      <c r="EX261" s="49"/>
      <c r="EY261" s="49"/>
      <c r="EZ261" s="49"/>
      <c r="FA261" s="49"/>
    </row>
    <row r="262" spans="1:157" s="210" customFormat="1" ht="38.25" x14ac:dyDescent="0.25">
      <c r="A262" s="113"/>
      <c r="B262" s="113"/>
      <c r="C262" s="113"/>
      <c r="D262" s="148"/>
      <c r="E262" s="115"/>
      <c r="F262" s="116"/>
      <c r="G262" s="149">
        <v>18</v>
      </c>
      <c r="H262" s="150" t="s">
        <v>7</v>
      </c>
      <c r="I262" s="151" t="str">
        <f t="shared" si="46"/>
        <v>Mercadorias</v>
      </c>
      <c r="J262" s="150" t="s">
        <v>15</v>
      </c>
      <c r="K262" s="152" t="s">
        <v>7</v>
      </c>
      <c r="L262" s="153" t="s">
        <v>21</v>
      </c>
      <c r="M262" s="154" t="s">
        <v>290</v>
      </c>
      <c r="N262" s="155" t="s">
        <v>370</v>
      </c>
      <c r="O262" s="155" t="s">
        <v>343</v>
      </c>
      <c r="P262" s="155"/>
      <c r="Q262" s="155"/>
      <c r="R262" s="155"/>
      <c r="S262" s="156"/>
      <c r="T262" s="156"/>
      <c r="U262" s="150"/>
      <c r="V262" s="150"/>
      <c r="W262" s="150"/>
      <c r="X262" s="157" t="s">
        <v>407</v>
      </c>
      <c r="Y262" s="150"/>
      <c r="Z262" s="150"/>
      <c r="AA262" s="158"/>
      <c r="AB262" s="155"/>
      <c r="AC262" s="150"/>
      <c r="AD262" s="155"/>
      <c r="AE262" s="155"/>
      <c r="AF262" s="150"/>
      <c r="AG262" s="159">
        <v>130</v>
      </c>
      <c r="AH262" s="159">
        <v>18.3675</v>
      </c>
      <c r="AI262" s="202">
        <v>0</v>
      </c>
      <c r="AJ262" s="161">
        <v>7.0000000000000007E-2</v>
      </c>
      <c r="AK262" s="162">
        <v>0.05</v>
      </c>
      <c r="AL262" s="163"/>
      <c r="AM262" s="164">
        <f>(((IF(L262=$L$101,1,IF(L262=$L$47,1,0))*(AH262*(1-AK262)))*AG262)*(1-AL262))</f>
        <v>0</v>
      </c>
      <c r="AN262" s="165">
        <f>IF(K262=$K$50,AM262,IF(K262=$K$53,AM262,IF(K262=$K$54,AM262,IF(K262=$K$55,AM262,IF(K262=$K$56,AM262,IF(K262=$K$57,AM262,IF(K262=$K$58,AM262,IF(K262=$K$65,AM262,IF(K262=$K$66,AM262,IF(K262=$K$67,AM262,IF(K262=$K$68,AM262,IF(K262=$K$69,AM262,IF(K262=$K$51,AM262,(AM262*(1+AI262)))))))))))))))</f>
        <v>0</v>
      </c>
      <c r="AO262" s="166">
        <v>1.4</v>
      </c>
      <c r="AP262" s="160">
        <f t="shared" si="47"/>
        <v>0</v>
      </c>
      <c r="AQ262" s="167">
        <f t="shared" si="45"/>
        <v>0</v>
      </c>
      <c r="AR262" s="160">
        <f t="shared" si="48"/>
        <v>0</v>
      </c>
      <c r="AS262" s="168">
        <f t="shared" si="49"/>
        <v>0</v>
      </c>
      <c r="AT262" s="169" t="str">
        <f>K262</f>
        <v>MI</v>
      </c>
      <c r="AU262" s="169" t="str">
        <f>I262</f>
        <v>Mercadorias</v>
      </c>
      <c r="AV262" s="170"/>
      <c r="AW262" s="171">
        <f>IF(K262=$K$50,0,IF(K262=$K$53,0,IF(K262=$K$54,0,IF(K262=$K$55,0,IF(K262=$K$56,0,IF(K262=$K$57,0,IF(K262=$K$58,0,IF(K262=$K$65,0,IF(K262=$K$66,0,IF(K262=$K$67,0,IF(K262=$K$68,0,IF(K262=$K$69,0,IF(K262=$K$51,0,1))))))))))))*AM262*AI262)</f>
        <v>0</v>
      </c>
      <c r="AX262" s="172">
        <f>IF(K262=$K$50,0,IF(K262=$K$53,0,IF(K262=$K$54,0,IF(K262=$K$55,0,IF(K262=$K$56,0,IF(K262=$K$57,0,IF(K262=$K$58,0,IF(K262=$K$65,0,IF(K262=$K$66,0,IF(K262=$K$67,0,IF(K262=$K$68,0,IF(K262=$K$69,0,IF(K262=$K$51,0,1))))))))))))*AM262*AJ262*$AX$94)</f>
        <v>0</v>
      </c>
      <c r="AY262" s="172">
        <f>IF(K262=$K$53,0,IF(K262=$K$54,0,IF(K262=$K$55,0,IF(K262=$K$56,0,IF(K262=$K$58,0,IF(K262=$K$50,0,IF(K262=$K$65,0,IF(K262=$K$57,0,IF(K262=$K$51,0,AM262*$AY$102)))))))))</f>
        <v>0</v>
      </c>
      <c r="AZ262" s="172">
        <f>IF(K262=$K$53,0,IF(K262=$K$54,0,IF(K262=$K$55,0,IF(K262=$K$56,0,IF(K262=$K$58,0,IF(K262=$K$50,0,IF(K262=$K$65,0,IF(K262=$K$57,0,IF(K262=$K$51,0,AM262*$AZ$102)))))))))</f>
        <v>0</v>
      </c>
      <c r="BA262" s="172">
        <f t="shared" si="50"/>
        <v>0</v>
      </c>
      <c r="BB262" s="173">
        <f>IF($BA$97=1,AQ262*$BB$102,IF(K262=$K$50,0,IF(K262=$K$53,0,IF(K262=$K$54,0,IF(K262=$K$55,0,IF(K262=$K$56,0,IF(K262=$K$57,0,IF(K262=$K$58,0,IF(K262=$K$65,0,IF(K262=$K$66,0,IF(K262=$K$67,0,IF(K262=$K$68,0,IF(K262=$K$69,0,IF(K262=$K$51,0,1)))))))))))*AQ262*$BB$102)))</f>
        <v>0</v>
      </c>
      <c r="BC262" s="172">
        <f t="shared" si="51"/>
        <v>0</v>
      </c>
      <c r="BD262" s="172">
        <f t="shared" si="52"/>
        <v>0</v>
      </c>
      <c r="BE262" s="172">
        <f>IF($BE$95=I262,$BE$97,IF(I262=$BE$96,$BE$97,1))*($BE$102*AQ262)*$AZ$97</f>
        <v>0</v>
      </c>
      <c r="BF262" s="172">
        <f>IF('[1]Cockpit Retorno'!$C$65=Sim,Mestre!BA262,SUM(BB262:BE262)+(IF(K262=$K$56,AQ262*MOE_IRRF_LR,0)))</f>
        <v>0</v>
      </c>
      <c r="BG262" s="174">
        <f>IF(AA262&gt;0,0,IF(Z262=$Z$82,AG262*1,(IF(Z262=$Z$81,AG262*1,0))))</f>
        <v>0</v>
      </c>
      <c r="BH262" s="174">
        <f>IF(AA262&gt;0,0,IF(Z262=$Z$83,AG262*1,IF(Z262=$Z$81,AG262*1,0)))</f>
        <v>0</v>
      </c>
      <c r="BI262" s="174">
        <f>IF(AA262&gt;0,0,IF(Z262=$Z$84,AG262*1,IF(Z262=$Z$93,AG262*2,IF(Z262=$Z$100,AG262,IF(Z262=$Z$81,AG262*2,IF(Z262=$Z$80,AG262*1,IF(Z262=$Z$79,AG262*3,IF(Z262=$Z$78,AG262*2,0))))))))</f>
        <v>0</v>
      </c>
      <c r="BJ262" s="174">
        <f>IF(AA262&gt;0,0,IF(Z262=$Z$85,AG262,IF(Z262=$Z$93,AG262,IF(Z262=$Z$100,AG262,IF(Z262=$Z$81,AG262*1,IF(Z262=$Z$80,AG262*2,IF(Z262=$Z$79,AG262*2,IF(Z262=$Z$78,AG262*2,0))))))))</f>
        <v>0</v>
      </c>
      <c r="BK262" s="174">
        <f>IF(AA262&gt;0,0,IF(Z262=$Z$92,AG262,0))</f>
        <v>0</v>
      </c>
      <c r="BL262" s="174">
        <f>IF(AA262&gt;0,0,IF(Z262=$Z$91,AG262,0))</f>
        <v>0</v>
      </c>
      <c r="BM262" s="174">
        <f>IF(AA262&gt;0,0,IF(Z262=$Z$86,AG262,0))</f>
        <v>0</v>
      </c>
      <c r="BN262" s="174">
        <f>IF(AA262&gt;0,0,IF(Z262=$Z$87,AG262,0))</f>
        <v>0</v>
      </c>
      <c r="BO262" s="174">
        <f>IF(AA262&gt;0,0,IF(Z262=$Z$88,AG262,0))</f>
        <v>0</v>
      </c>
      <c r="BP262" s="174">
        <f>IF(AA262&gt;0,0,IF(Z262=$Z$89,AG262,0))</f>
        <v>0</v>
      </c>
      <c r="BQ262" s="174">
        <f>IF(AA262&gt;0,0,IF(Z262=$Z$90,AG262,0))</f>
        <v>0</v>
      </c>
      <c r="BR262" s="174">
        <f>IF(Z262=$Z$82,AA262*AG262,0)</f>
        <v>0</v>
      </c>
      <c r="BS262" s="174">
        <f>IF(Z262=$Z$83,AA262*AG262,0)</f>
        <v>0</v>
      </c>
      <c r="BT262" s="174">
        <f>IF(AA262&lt;1,0,IF(Z262=$Z$84,AA262*AG262,IF(Z262=$Z$93,"ERRO",IF(Z262=$Z$100,"ERRO",0))))</f>
        <v>0</v>
      </c>
      <c r="BU262" s="174">
        <f>IF(AA262&lt;1,0,IF(Z262=$Z$85,AA262*AG262,IF(Z262=$Z$93,"ERRO",IF(Z262=$Z$100,"ERRO",0))))</f>
        <v>0</v>
      </c>
      <c r="BV262" s="174">
        <f>IF(Z262=$Z$92,AA262*AG262,0)</f>
        <v>0</v>
      </c>
      <c r="BW262" s="174">
        <f>IF(Z262=$Z$91,AA262*AG262,0)</f>
        <v>0</v>
      </c>
      <c r="BX262" s="174">
        <f>IF(Z262=$Z$86,AA262*AG262,0)</f>
        <v>0</v>
      </c>
      <c r="BY262" s="174">
        <f>IF(Z262=$Z$87,AA262*AG262,0)</f>
        <v>0</v>
      </c>
      <c r="BZ262" s="174">
        <f>IF(Z262=$Z$88,AA262*AG262,0)</f>
        <v>0</v>
      </c>
      <c r="CA262" s="174">
        <f>IF(Z262=$Z$89,AA262*AG262,0)</f>
        <v>0</v>
      </c>
      <c r="CB262" s="174">
        <f>IF(Z262=$Z$90,AA262*AG262,0)</f>
        <v>0</v>
      </c>
      <c r="CC262" s="175">
        <f>IFERROR(IF(L262=$L$49,AG262*AH262*(1+AI262)*(1-AK262)*(1-AL262),0),0)</f>
        <v>2268.38625</v>
      </c>
      <c r="CD262" s="203"/>
      <c r="CE262" s="203"/>
      <c r="CF262" s="204"/>
      <c r="CG262" s="203"/>
      <c r="CH262" s="204"/>
      <c r="CI262" s="203"/>
      <c r="CJ262" s="205"/>
      <c r="CK262" s="205"/>
      <c r="CL262" s="205"/>
      <c r="CM262" s="205"/>
      <c r="CN262" s="206"/>
      <c r="CO262" s="204"/>
      <c r="CP262" s="207"/>
      <c r="CQ262" s="208"/>
      <c r="CR262" s="209"/>
      <c r="CS262" s="49"/>
      <c r="CT262" s="49"/>
      <c r="CU262" s="49"/>
      <c r="CV262" s="49"/>
      <c r="CW262" s="49"/>
      <c r="CX262" s="49"/>
      <c r="CY262" s="49"/>
      <c r="CZ262" s="49"/>
      <c r="DA262" s="49"/>
      <c r="DB262" s="49"/>
      <c r="DC262" s="49"/>
      <c r="DD262" s="49"/>
      <c r="DE262" s="49"/>
      <c r="DF262" s="49"/>
      <c r="DG262" s="49"/>
      <c r="DH262" s="49"/>
      <c r="DI262" s="49"/>
      <c r="DJ262" s="49"/>
      <c r="DK262" s="49"/>
      <c r="DL262" s="49"/>
      <c r="DM262" s="49"/>
      <c r="DN262" s="49"/>
      <c r="DO262" s="49"/>
      <c r="DP262" s="49"/>
      <c r="DQ262" s="49"/>
      <c r="DR262" s="49"/>
      <c r="DS262" s="49"/>
      <c r="DT262" s="49"/>
      <c r="DU262" s="49"/>
      <c r="DV262" s="49"/>
      <c r="DW262" s="49"/>
      <c r="DX262" s="49"/>
      <c r="DY262" s="49"/>
      <c r="DZ262" s="49"/>
      <c r="EA262" s="49"/>
      <c r="EB262" s="49"/>
      <c r="EC262" s="49"/>
      <c r="ED262" s="49"/>
      <c r="EE262" s="49"/>
      <c r="EF262" s="49"/>
      <c r="EG262" s="49"/>
      <c r="EH262" s="49"/>
      <c r="EI262" s="49"/>
      <c r="EJ262" s="49"/>
      <c r="EK262" s="49"/>
      <c r="EL262" s="49"/>
      <c r="EM262" s="49"/>
      <c r="EN262" s="49"/>
      <c r="EO262" s="49"/>
      <c r="EP262" s="49"/>
      <c r="EQ262" s="49"/>
      <c r="ER262" s="49"/>
      <c r="ES262" s="49"/>
      <c r="ET262" s="49"/>
      <c r="EU262" s="49"/>
      <c r="EV262" s="49"/>
      <c r="EW262" s="49"/>
      <c r="EX262" s="49"/>
      <c r="EY262" s="49"/>
      <c r="EZ262" s="49"/>
      <c r="FA262" s="49"/>
    </row>
    <row r="263" spans="1:157" s="210" customFormat="1" ht="38.25" x14ac:dyDescent="0.25">
      <c r="A263" s="113"/>
      <c r="B263" s="113"/>
      <c r="C263" s="113"/>
      <c r="D263" s="148"/>
      <c r="E263" s="115"/>
      <c r="F263" s="116"/>
      <c r="G263" s="149">
        <v>18</v>
      </c>
      <c r="H263" s="150" t="s">
        <v>7</v>
      </c>
      <c r="I263" s="151" t="str">
        <f t="shared" si="46"/>
        <v>Mercadorias</v>
      </c>
      <c r="J263" s="150" t="s">
        <v>15</v>
      </c>
      <c r="K263" s="152" t="s">
        <v>7</v>
      </c>
      <c r="L263" s="153" t="s">
        <v>21</v>
      </c>
      <c r="M263" s="154" t="s">
        <v>290</v>
      </c>
      <c r="N263" s="155" t="s">
        <v>370</v>
      </c>
      <c r="O263" s="155" t="s">
        <v>343</v>
      </c>
      <c r="P263" s="155"/>
      <c r="Q263" s="155"/>
      <c r="R263" s="155"/>
      <c r="S263" s="156"/>
      <c r="T263" s="156"/>
      <c r="U263" s="150"/>
      <c r="V263" s="150"/>
      <c r="W263" s="150"/>
      <c r="X263" s="157" t="s">
        <v>408</v>
      </c>
      <c r="Y263" s="150"/>
      <c r="Z263" s="150"/>
      <c r="AA263" s="158"/>
      <c r="AB263" s="155"/>
      <c r="AC263" s="150"/>
      <c r="AD263" s="155"/>
      <c r="AE263" s="155"/>
      <c r="AF263" s="150"/>
      <c r="AG263" s="159">
        <v>25</v>
      </c>
      <c r="AH263" s="159">
        <v>31.499099999999999</v>
      </c>
      <c r="AI263" s="202">
        <v>0</v>
      </c>
      <c r="AJ263" s="161">
        <v>7.0000000000000007E-2</v>
      </c>
      <c r="AK263" s="162">
        <v>0.05</v>
      </c>
      <c r="AL263" s="163"/>
      <c r="AM263" s="164">
        <f>(((IF(L263=$L$101,1,IF(L263=$L$47,1,0))*(AH263*(1-AK263)))*AG263)*(1-AL263))</f>
        <v>0</v>
      </c>
      <c r="AN263" s="165">
        <f>IF(K263=$K$50,AM263,IF(K263=$K$53,AM263,IF(K263=$K$54,AM263,IF(K263=$K$55,AM263,IF(K263=$K$56,AM263,IF(K263=$K$57,AM263,IF(K263=$K$58,AM263,IF(K263=$K$65,AM263,IF(K263=$K$66,AM263,IF(K263=$K$67,AM263,IF(K263=$K$68,AM263,IF(K263=$K$69,AM263,IF(K263=$K$51,AM263,(AM263*(1+AI263)))))))))))))))</f>
        <v>0</v>
      </c>
      <c r="AO263" s="166">
        <v>1.4</v>
      </c>
      <c r="AP263" s="160">
        <f t="shared" si="47"/>
        <v>0</v>
      </c>
      <c r="AQ263" s="167">
        <f t="shared" si="45"/>
        <v>0</v>
      </c>
      <c r="AR263" s="160">
        <f t="shared" si="48"/>
        <v>0</v>
      </c>
      <c r="AS263" s="168">
        <f t="shared" si="49"/>
        <v>0</v>
      </c>
      <c r="AT263" s="169" t="str">
        <f>K263</f>
        <v>MI</v>
      </c>
      <c r="AU263" s="169" t="str">
        <f>I263</f>
        <v>Mercadorias</v>
      </c>
      <c r="AV263" s="170"/>
      <c r="AW263" s="171">
        <f>IF(K263=$K$50,0,IF(K263=$K$53,0,IF(K263=$K$54,0,IF(K263=$K$55,0,IF(K263=$K$56,0,IF(K263=$K$57,0,IF(K263=$K$58,0,IF(K263=$K$65,0,IF(K263=$K$66,0,IF(K263=$K$67,0,IF(K263=$K$68,0,IF(K263=$K$69,0,IF(K263=$K$51,0,1))))))))))))*AM263*AI263)</f>
        <v>0</v>
      </c>
      <c r="AX263" s="172">
        <f>IF(K263=$K$50,0,IF(K263=$K$53,0,IF(K263=$K$54,0,IF(K263=$K$55,0,IF(K263=$K$56,0,IF(K263=$K$57,0,IF(K263=$K$58,0,IF(K263=$K$65,0,IF(K263=$K$66,0,IF(K263=$K$67,0,IF(K263=$K$68,0,IF(K263=$K$69,0,IF(K263=$K$51,0,1))))))))))))*AM263*AJ263*$AX$94)</f>
        <v>0</v>
      </c>
      <c r="AY263" s="172">
        <f>IF(K263=$K$53,0,IF(K263=$K$54,0,IF(K263=$K$55,0,IF(K263=$K$56,0,IF(K263=$K$58,0,IF(K263=$K$50,0,IF(K263=$K$65,0,IF(K263=$K$57,0,IF(K263=$K$51,0,AM263*$AY$102)))))))))</f>
        <v>0</v>
      </c>
      <c r="AZ263" s="172">
        <f>IF(K263=$K$53,0,IF(K263=$K$54,0,IF(K263=$K$55,0,IF(K263=$K$56,0,IF(K263=$K$58,0,IF(K263=$K$50,0,IF(K263=$K$65,0,IF(K263=$K$57,0,IF(K263=$K$51,0,AM263*$AZ$102)))))))))</f>
        <v>0</v>
      </c>
      <c r="BA263" s="172">
        <f t="shared" si="50"/>
        <v>0</v>
      </c>
      <c r="BB263" s="173">
        <f>IF($BA$97=1,AQ263*$BB$102,IF(K263=$K$50,0,IF(K263=$K$53,0,IF(K263=$K$54,0,IF(K263=$K$55,0,IF(K263=$K$56,0,IF(K263=$K$57,0,IF(K263=$K$58,0,IF(K263=$K$65,0,IF(K263=$K$66,0,IF(K263=$K$67,0,IF(K263=$K$68,0,IF(K263=$K$69,0,IF(K263=$K$51,0,1)))))))))))*AQ263*$BB$102)))</f>
        <v>0</v>
      </c>
      <c r="BC263" s="172">
        <f t="shared" si="51"/>
        <v>0</v>
      </c>
      <c r="BD263" s="172">
        <f t="shared" si="52"/>
        <v>0</v>
      </c>
      <c r="BE263" s="172">
        <f>IF($BE$95=I263,$BE$97,IF(I263=$BE$96,$BE$97,1))*($BE$102*AQ263)*$AZ$97</f>
        <v>0</v>
      </c>
      <c r="BF263" s="172">
        <f>IF('[1]Cockpit Retorno'!$C$65=Sim,Mestre!BA263,SUM(BB263:BE263)+(IF(K263=$K$56,AQ263*MOE_IRRF_LR,0)))</f>
        <v>0</v>
      </c>
      <c r="BG263" s="174">
        <f>IF(AA263&gt;0,0,IF(Z263=$Z$82,AG263*1,(IF(Z263=$Z$81,AG263*1,0))))</f>
        <v>0</v>
      </c>
      <c r="BH263" s="174">
        <f>IF(AA263&gt;0,0,IF(Z263=$Z$83,AG263*1,IF(Z263=$Z$81,AG263*1,0)))</f>
        <v>0</v>
      </c>
      <c r="BI263" s="174">
        <f>IF(AA263&gt;0,0,IF(Z263=$Z$84,AG263*1,IF(Z263=$Z$93,AG263*2,IF(Z263=$Z$100,AG263,IF(Z263=$Z$81,AG263*2,IF(Z263=$Z$80,AG263*1,IF(Z263=$Z$79,AG263*3,IF(Z263=$Z$78,AG263*2,0))))))))</f>
        <v>0</v>
      </c>
      <c r="BJ263" s="174">
        <f>IF(AA263&gt;0,0,IF(Z263=$Z$85,AG263,IF(Z263=$Z$93,AG263,IF(Z263=$Z$100,AG263,IF(Z263=$Z$81,AG263*1,IF(Z263=$Z$80,AG263*2,IF(Z263=$Z$79,AG263*2,IF(Z263=$Z$78,AG263*2,0))))))))</f>
        <v>0</v>
      </c>
      <c r="BK263" s="174">
        <f>IF(AA263&gt;0,0,IF(Z263=$Z$92,AG263,0))</f>
        <v>0</v>
      </c>
      <c r="BL263" s="174">
        <f>IF(AA263&gt;0,0,IF(Z263=$Z$91,AG263,0))</f>
        <v>0</v>
      </c>
      <c r="BM263" s="174">
        <f>IF(AA263&gt;0,0,IF(Z263=$Z$86,AG263,0))</f>
        <v>0</v>
      </c>
      <c r="BN263" s="174">
        <f>IF(AA263&gt;0,0,IF(Z263=$Z$87,AG263,0))</f>
        <v>0</v>
      </c>
      <c r="BO263" s="174">
        <f>IF(AA263&gt;0,0,IF(Z263=$Z$88,AG263,0))</f>
        <v>0</v>
      </c>
      <c r="BP263" s="174">
        <f>IF(AA263&gt;0,0,IF(Z263=$Z$89,AG263,0))</f>
        <v>0</v>
      </c>
      <c r="BQ263" s="174">
        <f>IF(AA263&gt;0,0,IF(Z263=$Z$90,AG263,0))</f>
        <v>0</v>
      </c>
      <c r="BR263" s="174">
        <f>IF(Z263=$Z$82,AA263*AG263,0)</f>
        <v>0</v>
      </c>
      <c r="BS263" s="174">
        <f>IF(Z263=$Z$83,AA263*AG263,0)</f>
        <v>0</v>
      </c>
      <c r="BT263" s="174">
        <f>IF(AA263&lt;1,0,IF(Z263=$Z$84,AA263*AG263,IF(Z263=$Z$93,"ERRO",IF(Z263=$Z$100,"ERRO",0))))</f>
        <v>0</v>
      </c>
      <c r="BU263" s="174">
        <f>IF(AA263&lt;1,0,IF(Z263=$Z$85,AA263*AG263,IF(Z263=$Z$93,"ERRO",IF(Z263=$Z$100,"ERRO",0))))</f>
        <v>0</v>
      </c>
      <c r="BV263" s="174">
        <f>IF(Z263=$Z$92,AA263*AG263,0)</f>
        <v>0</v>
      </c>
      <c r="BW263" s="174">
        <f>IF(Z263=$Z$91,AA263*AG263,0)</f>
        <v>0</v>
      </c>
      <c r="BX263" s="174">
        <f>IF(Z263=$Z$86,AA263*AG263,0)</f>
        <v>0</v>
      </c>
      <c r="BY263" s="174">
        <f>IF(Z263=$Z$87,AA263*AG263,0)</f>
        <v>0</v>
      </c>
      <c r="BZ263" s="174">
        <f>IF(Z263=$Z$88,AA263*AG263,0)</f>
        <v>0</v>
      </c>
      <c r="CA263" s="174">
        <f>IF(Z263=$Z$89,AA263*AG263,0)</f>
        <v>0</v>
      </c>
      <c r="CB263" s="174">
        <f>IF(Z263=$Z$90,AA263*AG263,0)</f>
        <v>0</v>
      </c>
      <c r="CC263" s="175">
        <f>IFERROR(IF(L263=$L$49,AG263*AH263*(1+AI263)*(1-AK263)*(1-AL263),0),0)</f>
        <v>748.10362499999997</v>
      </c>
      <c r="CD263" s="203"/>
      <c r="CE263" s="203"/>
      <c r="CF263" s="204"/>
      <c r="CG263" s="203"/>
      <c r="CH263" s="204"/>
      <c r="CI263" s="203"/>
      <c r="CJ263" s="205"/>
      <c r="CK263" s="205"/>
      <c r="CL263" s="205"/>
      <c r="CM263" s="205"/>
      <c r="CN263" s="206"/>
      <c r="CO263" s="204"/>
      <c r="CP263" s="207"/>
      <c r="CQ263" s="208"/>
      <c r="CR263" s="209"/>
      <c r="CS263" s="49"/>
      <c r="CT263" s="49"/>
      <c r="CU263" s="49"/>
      <c r="CV263" s="49"/>
      <c r="CW263" s="49"/>
      <c r="CX263" s="49"/>
      <c r="CY263" s="49"/>
      <c r="CZ263" s="49"/>
      <c r="DA263" s="49"/>
      <c r="DB263" s="49"/>
      <c r="DC263" s="49"/>
      <c r="DD263" s="49"/>
      <c r="DE263" s="49"/>
      <c r="DF263" s="49"/>
      <c r="DG263" s="49"/>
      <c r="DH263" s="49"/>
      <c r="DI263" s="49"/>
      <c r="DJ263" s="49"/>
      <c r="DK263" s="49"/>
      <c r="DL263" s="49"/>
      <c r="DM263" s="49"/>
      <c r="DN263" s="49"/>
      <c r="DO263" s="49"/>
      <c r="DP263" s="49"/>
      <c r="DQ263" s="49"/>
      <c r="DR263" s="49"/>
      <c r="DS263" s="49"/>
      <c r="DT263" s="49"/>
      <c r="DU263" s="49"/>
      <c r="DV263" s="49"/>
      <c r="DW263" s="49"/>
      <c r="DX263" s="49"/>
      <c r="DY263" s="49"/>
      <c r="DZ263" s="49"/>
      <c r="EA263" s="49"/>
      <c r="EB263" s="49"/>
      <c r="EC263" s="49"/>
      <c r="ED263" s="49"/>
      <c r="EE263" s="49"/>
      <c r="EF263" s="49"/>
      <c r="EG263" s="49"/>
      <c r="EH263" s="49"/>
      <c r="EI263" s="49"/>
      <c r="EJ263" s="49"/>
      <c r="EK263" s="49"/>
      <c r="EL263" s="49"/>
      <c r="EM263" s="49"/>
      <c r="EN263" s="49"/>
      <c r="EO263" s="49"/>
      <c r="EP263" s="49"/>
      <c r="EQ263" s="49"/>
      <c r="ER263" s="49"/>
      <c r="ES263" s="49"/>
      <c r="ET263" s="49"/>
      <c r="EU263" s="49"/>
      <c r="EV263" s="49"/>
      <c r="EW263" s="49"/>
      <c r="EX263" s="49"/>
      <c r="EY263" s="49"/>
      <c r="EZ263" s="49"/>
      <c r="FA263" s="49"/>
    </row>
    <row r="264" spans="1:157" s="210" customFormat="1" ht="38.25" x14ac:dyDescent="0.25">
      <c r="A264" s="113"/>
      <c r="B264" s="113"/>
      <c r="C264" s="113"/>
      <c r="D264" s="148"/>
      <c r="E264" s="115"/>
      <c r="F264" s="116"/>
      <c r="G264" s="149">
        <v>18</v>
      </c>
      <c r="H264" s="150" t="s">
        <v>7</v>
      </c>
      <c r="I264" s="151" t="str">
        <f t="shared" si="46"/>
        <v>Mercadorias</v>
      </c>
      <c r="J264" s="150" t="s">
        <v>15</v>
      </c>
      <c r="K264" s="152" t="s">
        <v>7</v>
      </c>
      <c r="L264" s="153" t="s">
        <v>21</v>
      </c>
      <c r="M264" s="154" t="s">
        <v>290</v>
      </c>
      <c r="N264" s="155" t="s">
        <v>370</v>
      </c>
      <c r="O264" s="155" t="s">
        <v>343</v>
      </c>
      <c r="P264" s="155"/>
      <c r="Q264" s="155"/>
      <c r="R264" s="155"/>
      <c r="S264" s="156"/>
      <c r="T264" s="156"/>
      <c r="U264" s="150"/>
      <c r="V264" s="150"/>
      <c r="W264" s="150"/>
      <c r="X264" s="157" t="s">
        <v>409</v>
      </c>
      <c r="Y264" s="150"/>
      <c r="Z264" s="150"/>
      <c r="AA264" s="158"/>
      <c r="AB264" s="155"/>
      <c r="AC264" s="150"/>
      <c r="AD264" s="155"/>
      <c r="AE264" s="155"/>
      <c r="AF264" s="150"/>
      <c r="AG264" s="159">
        <v>75</v>
      </c>
      <c r="AH264" s="159">
        <v>67.211100000000002</v>
      </c>
      <c r="AI264" s="202">
        <v>0</v>
      </c>
      <c r="AJ264" s="161">
        <v>7.0000000000000007E-2</v>
      </c>
      <c r="AK264" s="162">
        <v>0.05</v>
      </c>
      <c r="AL264" s="163"/>
      <c r="AM264" s="164">
        <f>(((IF(L264=$L$101,1,IF(L264=$L$47,1,0))*(AH264*(1-AK264)))*AG264)*(1-AL264))</f>
        <v>0</v>
      </c>
      <c r="AN264" s="165">
        <f>IF(K264=$K$50,AM264,IF(K264=$K$53,AM264,IF(K264=$K$54,AM264,IF(K264=$K$55,AM264,IF(K264=$K$56,AM264,IF(K264=$K$57,AM264,IF(K264=$K$58,AM264,IF(K264=$K$65,AM264,IF(K264=$K$66,AM264,IF(K264=$K$67,AM264,IF(K264=$K$68,AM264,IF(K264=$K$69,AM264,IF(K264=$K$51,AM264,(AM264*(1+AI264)))))))))))))))</f>
        <v>0</v>
      </c>
      <c r="AO264" s="166">
        <v>1.4</v>
      </c>
      <c r="AP264" s="160">
        <f t="shared" si="47"/>
        <v>0</v>
      </c>
      <c r="AQ264" s="167">
        <f t="shared" si="45"/>
        <v>0</v>
      </c>
      <c r="AR264" s="160">
        <f t="shared" si="48"/>
        <v>0</v>
      </c>
      <c r="AS264" s="168">
        <f t="shared" si="49"/>
        <v>0</v>
      </c>
      <c r="AT264" s="169" t="str">
        <f>K264</f>
        <v>MI</v>
      </c>
      <c r="AU264" s="169" t="str">
        <f>I264</f>
        <v>Mercadorias</v>
      </c>
      <c r="AV264" s="170"/>
      <c r="AW264" s="171">
        <f>IF(K264=$K$50,0,IF(K264=$K$53,0,IF(K264=$K$54,0,IF(K264=$K$55,0,IF(K264=$K$56,0,IF(K264=$K$57,0,IF(K264=$K$58,0,IF(K264=$K$65,0,IF(K264=$K$66,0,IF(K264=$K$67,0,IF(K264=$K$68,0,IF(K264=$K$69,0,IF(K264=$K$51,0,1))))))))))))*AM264*AI264)</f>
        <v>0</v>
      </c>
      <c r="AX264" s="172">
        <f>IF(K264=$K$50,0,IF(K264=$K$53,0,IF(K264=$K$54,0,IF(K264=$K$55,0,IF(K264=$K$56,0,IF(K264=$K$57,0,IF(K264=$K$58,0,IF(K264=$K$65,0,IF(K264=$K$66,0,IF(K264=$K$67,0,IF(K264=$K$68,0,IF(K264=$K$69,0,IF(K264=$K$51,0,1))))))))))))*AM264*AJ264*$AX$94)</f>
        <v>0</v>
      </c>
      <c r="AY264" s="172">
        <f>IF(K264=$K$53,0,IF(K264=$K$54,0,IF(K264=$K$55,0,IF(K264=$K$56,0,IF(K264=$K$58,0,IF(K264=$K$50,0,IF(K264=$K$65,0,IF(K264=$K$57,0,IF(K264=$K$51,0,AM264*$AY$102)))))))))</f>
        <v>0</v>
      </c>
      <c r="AZ264" s="172">
        <f>IF(K264=$K$53,0,IF(K264=$K$54,0,IF(K264=$K$55,0,IF(K264=$K$56,0,IF(K264=$K$58,0,IF(K264=$K$50,0,IF(K264=$K$65,0,IF(K264=$K$57,0,IF(K264=$K$51,0,AM264*$AZ$102)))))))))</f>
        <v>0</v>
      </c>
      <c r="BA264" s="172">
        <f t="shared" si="50"/>
        <v>0</v>
      </c>
      <c r="BB264" s="173">
        <f>IF($BA$97=1,AQ264*$BB$102,IF(K264=$K$50,0,IF(K264=$K$53,0,IF(K264=$K$54,0,IF(K264=$K$55,0,IF(K264=$K$56,0,IF(K264=$K$57,0,IF(K264=$K$58,0,IF(K264=$K$65,0,IF(K264=$K$66,0,IF(K264=$K$67,0,IF(K264=$K$68,0,IF(K264=$K$69,0,IF(K264=$K$51,0,1)))))))))))*AQ264*$BB$102)))</f>
        <v>0</v>
      </c>
      <c r="BC264" s="172">
        <f t="shared" si="51"/>
        <v>0</v>
      </c>
      <c r="BD264" s="172">
        <f t="shared" si="52"/>
        <v>0</v>
      </c>
      <c r="BE264" s="172">
        <f>IF($BE$95=I264,$BE$97,IF(I264=$BE$96,$BE$97,1))*($BE$102*AQ264)*$AZ$97</f>
        <v>0</v>
      </c>
      <c r="BF264" s="172">
        <f>IF('[1]Cockpit Retorno'!$C$65=Sim,Mestre!BA264,SUM(BB264:BE264)+(IF(K264=$K$56,AQ264*MOE_IRRF_LR,0)))</f>
        <v>0</v>
      </c>
      <c r="BG264" s="174">
        <f>IF(AA264&gt;0,0,IF(Z264=$Z$82,AG264*1,(IF(Z264=$Z$81,AG264*1,0))))</f>
        <v>0</v>
      </c>
      <c r="BH264" s="174">
        <f>IF(AA264&gt;0,0,IF(Z264=$Z$83,AG264*1,IF(Z264=$Z$81,AG264*1,0)))</f>
        <v>0</v>
      </c>
      <c r="BI264" s="174">
        <f>IF(AA264&gt;0,0,IF(Z264=$Z$84,AG264*1,IF(Z264=$Z$93,AG264*2,IF(Z264=$Z$100,AG264,IF(Z264=$Z$81,AG264*2,IF(Z264=$Z$80,AG264*1,IF(Z264=$Z$79,AG264*3,IF(Z264=$Z$78,AG264*2,0))))))))</f>
        <v>0</v>
      </c>
      <c r="BJ264" s="174">
        <f>IF(AA264&gt;0,0,IF(Z264=$Z$85,AG264,IF(Z264=$Z$93,AG264,IF(Z264=$Z$100,AG264,IF(Z264=$Z$81,AG264*1,IF(Z264=$Z$80,AG264*2,IF(Z264=$Z$79,AG264*2,IF(Z264=$Z$78,AG264*2,0))))))))</f>
        <v>0</v>
      </c>
      <c r="BK264" s="174">
        <f>IF(AA264&gt;0,0,IF(Z264=$Z$92,AG264,0))</f>
        <v>0</v>
      </c>
      <c r="BL264" s="174">
        <f>IF(AA264&gt;0,0,IF(Z264=$Z$91,AG264,0))</f>
        <v>0</v>
      </c>
      <c r="BM264" s="174">
        <f>IF(AA264&gt;0,0,IF(Z264=$Z$86,AG264,0))</f>
        <v>0</v>
      </c>
      <c r="BN264" s="174">
        <f>IF(AA264&gt;0,0,IF(Z264=$Z$87,AG264,0))</f>
        <v>0</v>
      </c>
      <c r="BO264" s="174">
        <f>IF(AA264&gt;0,0,IF(Z264=$Z$88,AG264,0))</f>
        <v>0</v>
      </c>
      <c r="BP264" s="174">
        <f>IF(AA264&gt;0,0,IF(Z264=$Z$89,AG264,0))</f>
        <v>0</v>
      </c>
      <c r="BQ264" s="174">
        <f>IF(AA264&gt;0,0,IF(Z264=$Z$90,AG264,0))</f>
        <v>0</v>
      </c>
      <c r="BR264" s="174">
        <f>IF(Z264=$Z$82,AA264*AG264,0)</f>
        <v>0</v>
      </c>
      <c r="BS264" s="174">
        <f>IF(Z264=$Z$83,AA264*AG264,0)</f>
        <v>0</v>
      </c>
      <c r="BT264" s="174">
        <f>IF(AA264&lt;1,0,IF(Z264=$Z$84,AA264*AG264,IF(Z264=$Z$93,"ERRO",IF(Z264=$Z$100,"ERRO",0))))</f>
        <v>0</v>
      </c>
      <c r="BU264" s="174">
        <f>IF(AA264&lt;1,0,IF(Z264=$Z$85,AA264*AG264,IF(Z264=$Z$93,"ERRO",IF(Z264=$Z$100,"ERRO",0))))</f>
        <v>0</v>
      </c>
      <c r="BV264" s="174">
        <f>IF(Z264=$Z$92,AA264*AG264,0)</f>
        <v>0</v>
      </c>
      <c r="BW264" s="174">
        <f>IF(Z264=$Z$91,AA264*AG264,0)</f>
        <v>0</v>
      </c>
      <c r="BX264" s="174">
        <f>IF(Z264=$Z$86,AA264*AG264,0)</f>
        <v>0</v>
      </c>
      <c r="BY264" s="174">
        <f>IF(Z264=$Z$87,AA264*AG264,0)</f>
        <v>0</v>
      </c>
      <c r="BZ264" s="174">
        <f>IF(Z264=$Z$88,AA264*AG264,0)</f>
        <v>0</v>
      </c>
      <c r="CA264" s="174">
        <f>IF(Z264=$Z$89,AA264*AG264,0)</f>
        <v>0</v>
      </c>
      <c r="CB264" s="174">
        <f>IF(Z264=$Z$90,AA264*AG264,0)</f>
        <v>0</v>
      </c>
      <c r="CC264" s="175">
        <f>IFERROR(IF(L264=$L$49,AG264*AH264*(1+AI264)*(1-AK264)*(1-AL264),0),0)</f>
        <v>4788.7908750000006</v>
      </c>
      <c r="CD264" s="203"/>
      <c r="CE264" s="203"/>
      <c r="CF264" s="204"/>
      <c r="CG264" s="203"/>
      <c r="CH264" s="204"/>
      <c r="CI264" s="203"/>
      <c r="CJ264" s="205"/>
      <c r="CK264" s="205"/>
      <c r="CL264" s="205"/>
      <c r="CM264" s="205"/>
      <c r="CN264" s="206"/>
      <c r="CO264" s="204"/>
      <c r="CP264" s="207"/>
      <c r="CQ264" s="208"/>
      <c r="CR264" s="209"/>
      <c r="CS264" s="49"/>
      <c r="CT264" s="49"/>
      <c r="CU264" s="49"/>
      <c r="CV264" s="49"/>
      <c r="CW264" s="49"/>
      <c r="CX264" s="49"/>
      <c r="CY264" s="49"/>
      <c r="CZ264" s="49"/>
      <c r="DA264" s="49"/>
      <c r="DB264" s="49"/>
      <c r="DC264" s="49"/>
      <c r="DD264" s="49"/>
      <c r="DE264" s="49"/>
      <c r="DF264" s="49"/>
      <c r="DG264" s="49"/>
      <c r="DH264" s="49"/>
      <c r="DI264" s="49"/>
      <c r="DJ264" s="49"/>
      <c r="DK264" s="49"/>
      <c r="DL264" s="49"/>
      <c r="DM264" s="49"/>
      <c r="DN264" s="49"/>
      <c r="DO264" s="49"/>
      <c r="DP264" s="49"/>
      <c r="DQ264" s="49"/>
      <c r="DR264" s="49"/>
      <c r="DS264" s="49"/>
      <c r="DT264" s="49"/>
      <c r="DU264" s="49"/>
      <c r="DV264" s="49"/>
      <c r="DW264" s="49"/>
      <c r="DX264" s="49"/>
      <c r="DY264" s="49"/>
      <c r="DZ264" s="49"/>
      <c r="EA264" s="49"/>
      <c r="EB264" s="49"/>
      <c r="EC264" s="49"/>
      <c r="ED264" s="49"/>
      <c r="EE264" s="49"/>
      <c r="EF264" s="49"/>
      <c r="EG264" s="49"/>
      <c r="EH264" s="49"/>
      <c r="EI264" s="49"/>
      <c r="EJ264" s="49"/>
      <c r="EK264" s="49"/>
      <c r="EL264" s="49"/>
      <c r="EM264" s="49"/>
      <c r="EN264" s="49"/>
      <c r="EO264" s="49"/>
      <c r="EP264" s="49"/>
      <c r="EQ264" s="49"/>
      <c r="ER264" s="49"/>
      <c r="ES264" s="49"/>
      <c r="ET264" s="49"/>
      <c r="EU264" s="49"/>
      <c r="EV264" s="49"/>
      <c r="EW264" s="49"/>
      <c r="EX264" s="49"/>
      <c r="EY264" s="49"/>
      <c r="EZ264" s="49"/>
      <c r="FA264" s="49"/>
    </row>
    <row r="265" spans="1:157" s="210" customFormat="1" ht="38.25" x14ac:dyDescent="0.25">
      <c r="A265" s="113"/>
      <c r="B265" s="113"/>
      <c r="C265" s="113"/>
      <c r="D265" s="148"/>
      <c r="E265" s="115"/>
      <c r="F265" s="116"/>
      <c r="G265" s="149">
        <v>18</v>
      </c>
      <c r="H265" s="150" t="s">
        <v>7</v>
      </c>
      <c r="I265" s="151" t="str">
        <f t="shared" si="46"/>
        <v>Mercadorias</v>
      </c>
      <c r="J265" s="150" t="s">
        <v>15</v>
      </c>
      <c r="K265" s="152" t="s">
        <v>7</v>
      </c>
      <c r="L265" s="153" t="s">
        <v>21</v>
      </c>
      <c r="M265" s="154" t="s">
        <v>290</v>
      </c>
      <c r="N265" s="155" t="s">
        <v>370</v>
      </c>
      <c r="O265" s="155" t="s">
        <v>343</v>
      </c>
      <c r="P265" s="155"/>
      <c r="Q265" s="155"/>
      <c r="R265" s="155"/>
      <c r="S265" s="156"/>
      <c r="T265" s="156"/>
      <c r="U265" s="150"/>
      <c r="V265" s="150"/>
      <c r="W265" s="150"/>
      <c r="X265" s="157" t="s">
        <v>410</v>
      </c>
      <c r="Y265" s="150"/>
      <c r="Z265" s="150"/>
      <c r="AA265" s="158"/>
      <c r="AB265" s="155"/>
      <c r="AC265" s="150"/>
      <c r="AD265" s="155"/>
      <c r="AE265" s="155"/>
      <c r="AF265" s="150"/>
      <c r="AG265" s="159">
        <v>490</v>
      </c>
      <c r="AH265" s="159">
        <v>86.982900000000001</v>
      </c>
      <c r="AI265" s="202">
        <v>0</v>
      </c>
      <c r="AJ265" s="161">
        <v>7.0000000000000007E-2</v>
      </c>
      <c r="AK265" s="162">
        <v>0.05</v>
      </c>
      <c r="AL265" s="163"/>
      <c r="AM265" s="164">
        <f>(((IF(L265=$L$101,1,IF(L265=$L$47,1,0))*(AH265*(1-AK265)))*AG265)*(1-AL265))</f>
        <v>0</v>
      </c>
      <c r="AN265" s="165">
        <f>IF(K265=$K$50,AM265,IF(K265=$K$53,AM265,IF(K265=$K$54,AM265,IF(K265=$K$55,AM265,IF(K265=$K$56,AM265,IF(K265=$K$57,AM265,IF(K265=$K$58,AM265,IF(K265=$K$65,AM265,IF(K265=$K$66,AM265,IF(K265=$K$67,AM265,IF(K265=$K$68,AM265,IF(K265=$K$69,AM265,IF(K265=$K$51,AM265,(AM265*(1+AI265)))))))))))))))</f>
        <v>0</v>
      </c>
      <c r="AO265" s="166">
        <v>1.4</v>
      </c>
      <c r="AP265" s="160">
        <f t="shared" si="47"/>
        <v>0</v>
      </c>
      <c r="AQ265" s="167">
        <f t="shared" si="45"/>
        <v>0</v>
      </c>
      <c r="AR265" s="160">
        <f t="shared" si="48"/>
        <v>0</v>
      </c>
      <c r="AS265" s="168">
        <f t="shared" si="49"/>
        <v>0</v>
      </c>
      <c r="AT265" s="169" t="str">
        <f>K265</f>
        <v>MI</v>
      </c>
      <c r="AU265" s="169" t="str">
        <f>I265</f>
        <v>Mercadorias</v>
      </c>
      <c r="AV265" s="170"/>
      <c r="AW265" s="171">
        <f>IF(K265=$K$50,0,IF(K265=$K$53,0,IF(K265=$K$54,0,IF(K265=$K$55,0,IF(K265=$K$56,0,IF(K265=$K$57,0,IF(K265=$K$58,0,IF(K265=$K$65,0,IF(K265=$K$66,0,IF(K265=$K$67,0,IF(K265=$K$68,0,IF(K265=$K$69,0,IF(K265=$K$51,0,1))))))))))))*AM265*AI265)</f>
        <v>0</v>
      </c>
      <c r="AX265" s="172">
        <f>IF(K265=$K$50,0,IF(K265=$K$53,0,IF(K265=$K$54,0,IF(K265=$K$55,0,IF(K265=$K$56,0,IF(K265=$K$57,0,IF(K265=$K$58,0,IF(K265=$K$65,0,IF(K265=$K$66,0,IF(K265=$K$67,0,IF(K265=$K$68,0,IF(K265=$K$69,0,IF(K265=$K$51,0,1))))))))))))*AM265*AJ265*$AX$94)</f>
        <v>0</v>
      </c>
      <c r="AY265" s="172">
        <f>IF(K265=$K$53,0,IF(K265=$K$54,0,IF(K265=$K$55,0,IF(K265=$K$56,0,IF(K265=$K$58,0,IF(K265=$K$50,0,IF(K265=$K$65,0,IF(K265=$K$57,0,IF(K265=$K$51,0,AM265*$AY$102)))))))))</f>
        <v>0</v>
      </c>
      <c r="AZ265" s="172">
        <f>IF(K265=$K$53,0,IF(K265=$K$54,0,IF(K265=$K$55,0,IF(K265=$K$56,0,IF(K265=$K$58,0,IF(K265=$K$50,0,IF(K265=$K$65,0,IF(K265=$K$57,0,IF(K265=$K$51,0,AM265*$AZ$102)))))))))</f>
        <v>0</v>
      </c>
      <c r="BA265" s="172">
        <f t="shared" si="50"/>
        <v>0</v>
      </c>
      <c r="BB265" s="173">
        <f>IF($BA$97=1,AQ265*$BB$102,IF(K265=$K$50,0,IF(K265=$K$53,0,IF(K265=$K$54,0,IF(K265=$K$55,0,IF(K265=$K$56,0,IF(K265=$K$57,0,IF(K265=$K$58,0,IF(K265=$K$65,0,IF(K265=$K$66,0,IF(K265=$K$67,0,IF(K265=$K$68,0,IF(K265=$K$69,0,IF(K265=$K$51,0,1)))))))))))*AQ265*$BB$102)))</f>
        <v>0</v>
      </c>
      <c r="BC265" s="172">
        <f t="shared" si="51"/>
        <v>0</v>
      </c>
      <c r="BD265" s="172">
        <f t="shared" si="52"/>
        <v>0</v>
      </c>
      <c r="BE265" s="172">
        <f>IF($BE$95=I265,$BE$97,IF(I265=$BE$96,$BE$97,1))*($BE$102*AQ265)*$AZ$97</f>
        <v>0</v>
      </c>
      <c r="BF265" s="172">
        <f>IF('[1]Cockpit Retorno'!$C$65=Sim,Mestre!BA265,SUM(BB265:BE265)+(IF(K265=$K$56,AQ265*MOE_IRRF_LR,0)))</f>
        <v>0</v>
      </c>
      <c r="BG265" s="174">
        <f>IF(AA265&gt;0,0,IF(Z265=$Z$82,AG265*1,(IF(Z265=$Z$81,AG265*1,0))))</f>
        <v>0</v>
      </c>
      <c r="BH265" s="174">
        <f>IF(AA265&gt;0,0,IF(Z265=$Z$83,AG265*1,IF(Z265=$Z$81,AG265*1,0)))</f>
        <v>0</v>
      </c>
      <c r="BI265" s="174">
        <f>IF(AA265&gt;0,0,IF(Z265=$Z$84,AG265*1,IF(Z265=$Z$93,AG265*2,IF(Z265=$Z$100,AG265,IF(Z265=$Z$81,AG265*2,IF(Z265=$Z$80,AG265*1,IF(Z265=$Z$79,AG265*3,IF(Z265=$Z$78,AG265*2,0))))))))</f>
        <v>0</v>
      </c>
      <c r="BJ265" s="174">
        <f>IF(AA265&gt;0,0,IF(Z265=$Z$85,AG265,IF(Z265=$Z$93,AG265,IF(Z265=$Z$100,AG265,IF(Z265=$Z$81,AG265*1,IF(Z265=$Z$80,AG265*2,IF(Z265=$Z$79,AG265*2,IF(Z265=$Z$78,AG265*2,0))))))))</f>
        <v>0</v>
      </c>
      <c r="BK265" s="174">
        <f>IF(AA265&gt;0,0,IF(Z265=$Z$92,AG265,0))</f>
        <v>0</v>
      </c>
      <c r="BL265" s="174">
        <f>IF(AA265&gt;0,0,IF(Z265=$Z$91,AG265,0))</f>
        <v>0</v>
      </c>
      <c r="BM265" s="174">
        <f>IF(AA265&gt;0,0,IF(Z265=$Z$86,AG265,0))</f>
        <v>0</v>
      </c>
      <c r="BN265" s="174">
        <f>IF(AA265&gt;0,0,IF(Z265=$Z$87,AG265,0))</f>
        <v>0</v>
      </c>
      <c r="BO265" s="174">
        <f>IF(AA265&gt;0,0,IF(Z265=$Z$88,AG265,0))</f>
        <v>0</v>
      </c>
      <c r="BP265" s="174">
        <f>IF(AA265&gt;0,0,IF(Z265=$Z$89,AG265,0))</f>
        <v>0</v>
      </c>
      <c r="BQ265" s="174">
        <f>IF(AA265&gt;0,0,IF(Z265=$Z$90,AG265,0))</f>
        <v>0</v>
      </c>
      <c r="BR265" s="174">
        <f>IF(Z265=$Z$82,AA265*AG265,0)</f>
        <v>0</v>
      </c>
      <c r="BS265" s="174">
        <f>IF(Z265=$Z$83,AA265*AG265,0)</f>
        <v>0</v>
      </c>
      <c r="BT265" s="174">
        <f>IF(AA265&lt;1,0,IF(Z265=$Z$84,AA265*AG265,IF(Z265=$Z$93,"ERRO",IF(Z265=$Z$100,"ERRO",0))))</f>
        <v>0</v>
      </c>
      <c r="BU265" s="174">
        <f>IF(AA265&lt;1,0,IF(Z265=$Z$85,AA265*AG265,IF(Z265=$Z$93,"ERRO",IF(Z265=$Z$100,"ERRO",0))))</f>
        <v>0</v>
      </c>
      <c r="BV265" s="174">
        <f>IF(Z265=$Z$92,AA265*AG265,0)</f>
        <v>0</v>
      </c>
      <c r="BW265" s="174">
        <f>IF(Z265=$Z$91,AA265*AG265,0)</f>
        <v>0</v>
      </c>
      <c r="BX265" s="174">
        <f>IF(Z265=$Z$86,AA265*AG265,0)</f>
        <v>0</v>
      </c>
      <c r="BY265" s="174">
        <f>IF(Z265=$Z$87,AA265*AG265,0)</f>
        <v>0</v>
      </c>
      <c r="BZ265" s="174">
        <f>IF(Z265=$Z$88,AA265*AG265,0)</f>
        <v>0</v>
      </c>
      <c r="CA265" s="174">
        <f>IF(Z265=$Z$89,AA265*AG265,0)</f>
        <v>0</v>
      </c>
      <c r="CB265" s="174">
        <f>IF(Z265=$Z$90,AA265*AG265,0)</f>
        <v>0</v>
      </c>
      <c r="CC265" s="175">
        <f>IFERROR(IF(L265=$L$49,AG265*AH265*(1+AI265)*(1-AK265)*(1-AL265),0),0)</f>
        <v>40490.539949999998</v>
      </c>
      <c r="CD265" s="203"/>
      <c r="CE265" s="203"/>
      <c r="CF265" s="204"/>
      <c r="CG265" s="203"/>
      <c r="CH265" s="204"/>
      <c r="CI265" s="203"/>
      <c r="CJ265" s="205"/>
      <c r="CK265" s="205"/>
      <c r="CL265" s="205"/>
      <c r="CM265" s="205"/>
      <c r="CN265" s="206"/>
      <c r="CO265" s="204"/>
      <c r="CP265" s="207"/>
      <c r="CQ265" s="208"/>
      <c r="CR265" s="209"/>
      <c r="CS265" s="49"/>
      <c r="CT265" s="49"/>
      <c r="CU265" s="49"/>
      <c r="CV265" s="49"/>
      <c r="CW265" s="49"/>
      <c r="CX265" s="49"/>
      <c r="CY265" s="49"/>
      <c r="CZ265" s="49"/>
      <c r="DA265" s="49"/>
      <c r="DB265" s="49"/>
      <c r="DC265" s="49"/>
      <c r="DD265" s="49"/>
      <c r="DE265" s="49"/>
      <c r="DF265" s="49"/>
      <c r="DG265" s="49"/>
      <c r="DH265" s="49"/>
      <c r="DI265" s="49"/>
      <c r="DJ265" s="49"/>
      <c r="DK265" s="49"/>
      <c r="DL265" s="49"/>
      <c r="DM265" s="49"/>
      <c r="DN265" s="49"/>
      <c r="DO265" s="49"/>
      <c r="DP265" s="49"/>
      <c r="DQ265" s="49"/>
      <c r="DR265" s="49"/>
      <c r="DS265" s="49"/>
      <c r="DT265" s="49"/>
      <c r="DU265" s="49"/>
      <c r="DV265" s="49"/>
      <c r="DW265" s="49"/>
      <c r="DX265" s="49"/>
      <c r="DY265" s="49"/>
      <c r="DZ265" s="49"/>
      <c r="EA265" s="49"/>
      <c r="EB265" s="49"/>
      <c r="EC265" s="49"/>
      <c r="ED265" s="49"/>
      <c r="EE265" s="49"/>
      <c r="EF265" s="49"/>
      <c r="EG265" s="49"/>
      <c r="EH265" s="49"/>
      <c r="EI265" s="49"/>
      <c r="EJ265" s="49"/>
      <c r="EK265" s="49"/>
      <c r="EL265" s="49"/>
      <c r="EM265" s="49"/>
      <c r="EN265" s="49"/>
      <c r="EO265" s="49"/>
      <c r="EP265" s="49"/>
      <c r="EQ265" s="49"/>
      <c r="ER265" s="49"/>
      <c r="ES265" s="49"/>
      <c r="ET265" s="49"/>
      <c r="EU265" s="49"/>
      <c r="EV265" s="49"/>
      <c r="EW265" s="49"/>
      <c r="EX265" s="49"/>
      <c r="EY265" s="49"/>
      <c r="EZ265" s="49"/>
      <c r="FA265" s="49"/>
    </row>
    <row r="266" spans="1:157" s="210" customFormat="1" x14ac:dyDescent="0.25">
      <c r="A266" s="113"/>
      <c r="B266" s="113"/>
      <c r="C266" s="113"/>
      <c r="D266" s="148"/>
      <c r="E266" s="115"/>
      <c r="F266" s="116"/>
      <c r="G266" s="149"/>
      <c r="H266" s="150" t="s">
        <v>7</v>
      </c>
      <c r="I266" s="151" t="str">
        <f t="shared" si="46"/>
        <v>Mercadorias</v>
      </c>
      <c r="J266" s="150" t="s">
        <v>15</v>
      </c>
      <c r="K266" s="152" t="s">
        <v>7</v>
      </c>
      <c r="L266" s="153" t="s">
        <v>21</v>
      </c>
      <c r="M266" s="154" t="s">
        <v>290</v>
      </c>
      <c r="N266" s="155" t="s">
        <v>370</v>
      </c>
      <c r="O266" s="155" t="s">
        <v>343</v>
      </c>
      <c r="P266" s="155"/>
      <c r="Q266" s="155"/>
      <c r="R266" s="155"/>
      <c r="S266" s="156"/>
      <c r="T266" s="156"/>
      <c r="U266" s="150"/>
      <c r="V266" s="150"/>
      <c r="W266" s="150"/>
      <c r="X266" s="157" t="s">
        <v>358</v>
      </c>
      <c r="Y266" s="150"/>
      <c r="Z266" s="150"/>
      <c r="AA266" s="158"/>
      <c r="AB266" s="155"/>
      <c r="AC266" s="150"/>
      <c r="AD266" s="155"/>
      <c r="AE266" s="155"/>
      <c r="AF266" s="150"/>
      <c r="AG266" s="159">
        <v>30000</v>
      </c>
      <c r="AH266" s="159">
        <v>0.22320000000000001</v>
      </c>
      <c r="AI266" s="202">
        <v>0</v>
      </c>
      <c r="AJ266" s="161">
        <v>7.0000000000000007E-2</v>
      </c>
      <c r="AK266" s="162">
        <v>0.05</v>
      </c>
      <c r="AL266" s="163"/>
      <c r="AM266" s="164">
        <f>(((IF(L266=$L$101,1,IF(L266=$L$47,1,0))*(AH266*(1-AK266)))*AG266)*(1-AL266))</f>
        <v>0</v>
      </c>
      <c r="AN266" s="165">
        <f>IF(K266=$K$50,AM266,IF(K266=$K$53,AM266,IF(K266=$K$54,AM266,IF(K266=$K$55,AM266,IF(K266=$K$56,AM266,IF(K266=$K$57,AM266,IF(K266=$K$58,AM266,IF(K266=$K$65,AM266,IF(K266=$K$66,AM266,IF(K266=$K$67,AM266,IF(K266=$K$68,AM266,IF(K266=$K$69,AM266,IF(K266=$K$51,AM266,(AM266*(1+AI266)))))))))))))))</f>
        <v>0</v>
      </c>
      <c r="AO266" s="166">
        <v>1.4</v>
      </c>
      <c r="AP266" s="160">
        <f t="shared" si="47"/>
        <v>0</v>
      </c>
      <c r="AQ266" s="167">
        <f t="shared" si="45"/>
        <v>0</v>
      </c>
      <c r="AR266" s="160">
        <f t="shared" si="48"/>
        <v>0</v>
      </c>
      <c r="AS266" s="168">
        <f t="shared" si="49"/>
        <v>0</v>
      </c>
      <c r="AT266" s="169" t="str">
        <f>K266</f>
        <v>MI</v>
      </c>
      <c r="AU266" s="169" t="str">
        <f>I266</f>
        <v>Mercadorias</v>
      </c>
      <c r="AV266" s="170"/>
      <c r="AW266" s="171">
        <f>IF(K266=$K$50,0,IF(K266=$K$53,0,IF(K266=$K$54,0,IF(K266=$K$55,0,IF(K266=$K$56,0,IF(K266=$K$57,0,IF(K266=$K$58,0,IF(K266=$K$65,0,IF(K266=$K$66,0,IF(K266=$K$67,0,IF(K266=$K$68,0,IF(K266=$K$69,0,IF(K266=$K$51,0,1))))))))))))*AM266*AI266)</f>
        <v>0</v>
      </c>
      <c r="AX266" s="172">
        <f>IF(K266=$K$50,0,IF(K266=$K$53,0,IF(K266=$K$54,0,IF(K266=$K$55,0,IF(K266=$K$56,0,IF(K266=$K$57,0,IF(K266=$K$58,0,IF(K266=$K$65,0,IF(K266=$K$66,0,IF(K266=$K$67,0,IF(K266=$K$68,0,IF(K266=$K$69,0,IF(K266=$K$51,0,1))))))))))))*AM266*AJ266*$AX$94)</f>
        <v>0</v>
      </c>
      <c r="AY266" s="172">
        <f>IF(K266=$K$53,0,IF(K266=$K$54,0,IF(K266=$K$55,0,IF(K266=$K$56,0,IF(K266=$K$58,0,IF(K266=$K$50,0,IF(K266=$K$65,0,IF(K266=$K$57,0,IF(K266=$K$51,0,AM266*$AY$102)))))))))</f>
        <v>0</v>
      </c>
      <c r="AZ266" s="172">
        <f>IF(K266=$K$53,0,IF(K266=$K$54,0,IF(K266=$K$55,0,IF(K266=$K$56,0,IF(K266=$K$58,0,IF(K266=$K$50,0,IF(K266=$K$65,0,IF(K266=$K$57,0,IF(K266=$K$51,0,AM266*$AZ$102)))))))))</f>
        <v>0</v>
      </c>
      <c r="BA266" s="172">
        <f t="shared" si="50"/>
        <v>0</v>
      </c>
      <c r="BB266" s="173">
        <f>IF($BA$97=1,AQ266*$BB$102,IF(K266=$K$50,0,IF(K266=$K$53,0,IF(K266=$K$54,0,IF(K266=$K$55,0,IF(K266=$K$56,0,IF(K266=$K$57,0,IF(K266=$K$58,0,IF(K266=$K$65,0,IF(K266=$K$66,0,IF(K266=$K$67,0,IF(K266=$K$68,0,IF(K266=$K$69,0,IF(K266=$K$51,0,1)))))))))))*AQ266*$BB$102)))</f>
        <v>0</v>
      </c>
      <c r="BC266" s="172">
        <f t="shared" si="51"/>
        <v>0</v>
      </c>
      <c r="BD266" s="172">
        <f t="shared" si="52"/>
        <v>0</v>
      </c>
      <c r="BE266" s="172">
        <f>IF($BE$95=I266,$BE$97,IF(I266=$BE$96,$BE$97,1))*($BE$102*AQ266)*$AZ$97</f>
        <v>0</v>
      </c>
      <c r="BF266" s="172">
        <f>IF('[1]Cockpit Retorno'!$C$65=Sim,Mestre!BA266,SUM(BB266:BE266)+(IF(K266=$K$56,AQ266*MOE_IRRF_LR,0)))</f>
        <v>0</v>
      </c>
      <c r="BG266" s="174">
        <f>IF(AA266&gt;0,0,IF(Z266=$Z$82,AG266*1,(IF(Z266=$Z$81,AG266*1,0))))</f>
        <v>0</v>
      </c>
      <c r="BH266" s="174">
        <f>IF(AA266&gt;0,0,IF(Z266=$Z$83,AG266*1,IF(Z266=$Z$81,AG266*1,0)))</f>
        <v>0</v>
      </c>
      <c r="BI266" s="174">
        <f>IF(AA266&gt;0,0,IF(Z266=$Z$84,AG266*1,IF(Z266=$Z$93,AG266*2,IF(Z266=$Z$100,AG266,IF(Z266=$Z$81,AG266*2,IF(Z266=$Z$80,AG266*1,IF(Z266=$Z$79,AG266*3,IF(Z266=$Z$78,AG266*2,0))))))))</f>
        <v>0</v>
      </c>
      <c r="BJ266" s="174">
        <f>IF(AA266&gt;0,0,IF(Z266=$Z$85,AG266,IF(Z266=$Z$93,AG266,IF(Z266=$Z$100,AG266,IF(Z266=$Z$81,AG266*1,IF(Z266=$Z$80,AG266*2,IF(Z266=$Z$79,AG266*2,IF(Z266=$Z$78,AG266*2,0))))))))</f>
        <v>0</v>
      </c>
      <c r="BK266" s="174">
        <f>IF(AA266&gt;0,0,IF(Z266=$Z$92,AG266,0))</f>
        <v>0</v>
      </c>
      <c r="BL266" s="174">
        <f>IF(AA266&gt;0,0,IF(Z266=$Z$91,AG266,0))</f>
        <v>0</v>
      </c>
      <c r="BM266" s="174">
        <f>IF(AA266&gt;0,0,IF(Z266=$Z$86,AG266,0))</f>
        <v>0</v>
      </c>
      <c r="BN266" s="174">
        <f>IF(AA266&gt;0,0,IF(Z266=$Z$87,AG266,0))</f>
        <v>0</v>
      </c>
      <c r="BO266" s="174">
        <f>IF(AA266&gt;0,0,IF(Z266=$Z$88,AG266,0))</f>
        <v>0</v>
      </c>
      <c r="BP266" s="174">
        <f>IF(AA266&gt;0,0,IF(Z266=$Z$89,AG266,0))</f>
        <v>0</v>
      </c>
      <c r="BQ266" s="174">
        <f>IF(AA266&gt;0,0,IF(Z266=$Z$90,AG266,0))</f>
        <v>0</v>
      </c>
      <c r="BR266" s="174">
        <f>IF(Z266=$Z$82,AA266*AG266,0)</f>
        <v>0</v>
      </c>
      <c r="BS266" s="174">
        <f>IF(Z266=$Z$83,AA266*AG266,0)</f>
        <v>0</v>
      </c>
      <c r="BT266" s="174">
        <f>IF(AA266&lt;1,0,IF(Z266=$Z$84,AA266*AG266,IF(Z266=$Z$93,"ERRO",IF(Z266=$Z$100,"ERRO",0))))</f>
        <v>0</v>
      </c>
      <c r="BU266" s="174">
        <f>IF(AA266&lt;1,0,IF(Z266=$Z$85,AA266*AG266,IF(Z266=$Z$93,"ERRO",IF(Z266=$Z$100,"ERRO",0))))</f>
        <v>0</v>
      </c>
      <c r="BV266" s="174">
        <f>IF(Z266=$Z$92,AA266*AG266,0)</f>
        <v>0</v>
      </c>
      <c r="BW266" s="174">
        <f>IF(Z266=$Z$91,AA266*AG266,0)</f>
        <v>0</v>
      </c>
      <c r="BX266" s="174">
        <f>IF(Z266=$Z$86,AA266*AG266,0)</f>
        <v>0</v>
      </c>
      <c r="BY266" s="174">
        <f>IF(Z266=$Z$87,AA266*AG266,0)</f>
        <v>0</v>
      </c>
      <c r="BZ266" s="174">
        <f>IF(Z266=$Z$88,AA266*AG266,0)</f>
        <v>0</v>
      </c>
      <c r="CA266" s="174">
        <f>IF(Z266=$Z$89,AA266*AG266,0)</f>
        <v>0</v>
      </c>
      <c r="CB266" s="174">
        <f>IF(Z266=$Z$90,AA266*AG266,0)</f>
        <v>0</v>
      </c>
      <c r="CC266" s="175">
        <f>IFERROR(IF(L266=$L$49,AG266*AH266*(1+AI266)*(1-AK266)*(1-AL266),0),0)</f>
        <v>6361.2</v>
      </c>
      <c r="CD266" s="203"/>
      <c r="CE266" s="203"/>
      <c r="CF266" s="204"/>
      <c r="CG266" s="203"/>
      <c r="CH266" s="204"/>
      <c r="CI266" s="203"/>
      <c r="CJ266" s="205"/>
      <c r="CK266" s="205"/>
      <c r="CL266" s="205"/>
      <c r="CM266" s="205"/>
      <c r="CN266" s="206"/>
      <c r="CO266" s="204"/>
      <c r="CP266" s="207"/>
      <c r="CQ266" s="208"/>
      <c r="CR266" s="209"/>
      <c r="CS266" s="49"/>
      <c r="CT266" s="49"/>
      <c r="CU266" s="49"/>
      <c r="CV266" s="49"/>
      <c r="CW266" s="49"/>
      <c r="CX266" s="49"/>
      <c r="CY266" s="49"/>
      <c r="CZ266" s="49"/>
      <c r="DA266" s="49"/>
      <c r="DB266" s="49"/>
      <c r="DC266" s="49"/>
      <c r="DD266" s="49"/>
      <c r="DE266" s="49"/>
      <c r="DF266" s="49"/>
      <c r="DG266" s="49"/>
      <c r="DH266" s="49"/>
      <c r="DI266" s="49"/>
      <c r="DJ266" s="49"/>
      <c r="DK266" s="49"/>
      <c r="DL266" s="49"/>
      <c r="DM266" s="49"/>
      <c r="DN266" s="49"/>
      <c r="DO266" s="49"/>
      <c r="DP266" s="49"/>
      <c r="DQ266" s="49"/>
      <c r="DR266" s="49"/>
      <c r="DS266" s="49"/>
      <c r="DT266" s="49"/>
      <c r="DU266" s="49"/>
      <c r="DV266" s="49"/>
      <c r="DW266" s="49"/>
      <c r="DX266" s="49"/>
      <c r="DY266" s="49"/>
      <c r="DZ266" s="49"/>
      <c r="EA266" s="49"/>
      <c r="EB266" s="49"/>
      <c r="EC266" s="49"/>
      <c r="ED266" s="49"/>
      <c r="EE266" s="49"/>
      <c r="EF266" s="49"/>
      <c r="EG266" s="49"/>
      <c r="EH266" s="49"/>
      <c r="EI266" s="49"/>
      <c r="EJ266" s="49"/>
      <c r="EK266" s="49"/>
      <c r="EL266" s="49"/>
      <c r="EM266" s="49"/>
      <c r="EN266" s="49"/>
      <c r="EO266" s="49"/>
      <c r="EP266" s="49"/>
      <c r="EQ266" s="49"/>
      <c r="ER266" s="49"/>
      <c r="ES266" s="49"/>
      <c r="ET266" s="49"/>
      <c r="EU266" s="49"/>
      <c r="EV266" s="49"/>
      <c r="EW266" s="49"/>
      <c r="EX266" s="49"/>
      <c r="EY266" s="49"/>
      <c r="EZ266" s="49"/>
      <c r="FA266" s="49"/>
    </row>
    <row r="267" spans="1:157" s="210" customFormat="1" x14ac:dyDescent="0.25">
      <c r="A267" s="113"/>
      <c r="B267" s="113"/>
      <c r="C267" s="113"/>
      <c r="D267" s="148"/>
      <c r="E267" s="115"/>
      <c r="F267" s="116"/>
      <c r="G267" s="149"/>
      <c r="H267" s="150" t="s">
        <v>7</v>
      </c>
      <c r="I267" s="151" t="str">
        <f t="shared" si="46"/>
        <v>Mercadorias</v>
      </c>
      <c r="J267" s="150" t="s">
        <v>15</v>
      </c>
      <c r="K267" s="152" t="s">
        <v>7</v>
      </c>
      <c r="L267" s="153" t="s">
        <v>21</v>
      </c>
      <c r="M267" s="154" t="s">
        <v>290</v>
      </c>
      <c r="N267" s="155" t="s">
        <v>370</v>
      </c>
      <c r="O267" s="155" t="s">
        <v>343</v>
      </c>
      <c r="P267" s="155"/>
      <c r="Q267" s="155"/>
      <c r="R267" s="155"/>
      <c r="S267" s="156"/>
      <c r="T267" s="156"/>
      <c r="U267" s="150"/>
      <c r="V267" s="150"/>
      <c r="W267" s="150"/>
      <c r="X267" s="157" t="s">
        <v>359</v>
      </c>
      <c r="Y267" s="150"/>
      <c r="Z267" s="150"/>
      <c r="AA267" s="158"/>
      <c r="AB267" s="155"/>
      <c r="AC267" s="150"/>
      <c r="AD267" s="155"/>
      <c r="AE267" s="155"/>
      <c r="AF267" s="150"/>
      <c r="AG267" s="159">
        <v>30000</v>
      </c>
      <c r="AH267" s="159">
        <v>6.5100000000000005E-2</v>
      </c>
      <c r="AI267" s="202">
        <v>0</v>
      </c>
      <c r="AJ267" s="161">
        <v>7.0000000000000007E-2</v>
      </c>
      <c r="AK267" s="162">
        <v>0.05</v>
      </c>
      <c r="AL267" s="163"/>
      <c r="AM267" s="164">
        <f>(((IF(L267=$L$101,1,IF(L267=$L$47,1,0))*(AH267*(1-AK267)))*AG267)*(1-AL267))</f>
        <v>0</v>
      </c>
      <c r="AN267" s="165">
        <f>IF(K267=$K$50,AM267,IF(K267=$K$53,AM267,IF(K267=$K$54,AM267,IF(K267=$K$55,AM267,IF(K267=$K$56,AM267,IF(K267=$K$57,AM267,IF(K267=$K$58,AM267,IF(K267=$K$65,AM267,IF(K267=$K$66,AM267,IF(K267=$K$67,AM267,IF(K267=$K$68,AM267,IF(K267=$K$69,AM267,IF(K267=$K$51,AM267,(AM267*(1+AI267)))))))))))))))</f>
        <v>0</v>
      </c>
      <c r="AO267" s="166">
        <v>1.4</v>
      </c>
      <c r="AP267" s="160">
        <f t="shared" si="47"/>
        <v>0</v>
      </c>
      <c r="AQ267" s="167">
        <f t="shared" si="45"/>
        <v>0</v>
      </c>
      <c r="AR267" s="160">
        <f t="shared" si="48"/>
        <v>0</v>
      </c>
      <c r="AS267" s="168">
        <f t="shared" si="49"/>
        <v>0</v>
      </c>
      <c r="AT267" s="169" t="str">
        <f>K267</f>
        <v>MI</v>
      </c>
      <c r="AU267" s="169" t="str">
        <f>I267</f>
        <v>Mercadorias</v>
      </c>
      <c r="AV267" s="170"/>
      <c r="AW267" s="171">
        <f>IF(K267=$K$50,0,IF(K267=$K$53,0,IF(K267=$K$54,0,IF(K267=$K$55,0,IF(K267=$K$56,0,IF(K267=$K$57,0,IF(K267=$K$58,0,IF(K267=$K$65,0,IF(K267=$K$66,0,IF(K267=$K$67,0,IF(K267=$K$68,0,IF(K267=$K$69,0,IF(K267=$K$51,0,1))))))))))))*AM267*AI267)</f>
        <v>0</v>
      </c>
      <c r="AX267" s="172">
        <f>IF(K267=$K$50,0,IF(K267=$K$53,0,IF(K267=$K$54,0,IF(K267=$K$55,0,IF(K267=$K$56,0,IF(K267=$K$57,0,IF(K267=$K$58,0,IF(K267=$K$65,0,IF(K267=$K$66,0,IF(K267=$K$67,0,IF(K267=$K$68,0,IF(K267=$K$69,0,IF(K267=$K$51,0,1))))))))))))*AM267*AJ267*$AX$94)</f>
        <v>0</v>
      </c>
      <c r="AY267" s="172">
        <f>IF(K267=$K$53,0,IF(K267=$K$54,0,IF(K267=$K$55,0,IF(K267=$K$56,0,IF(K267=$K$58,0,IF(K267=$K$50,0,IF(K267=$K$65,0,IF(K267=$K$57,0,IF(K267=$K$51,0,AM267*$AY$102)))))))))</f>
        <v>0</v>
      </c>
      <c r="AZ267" s="172">
        <f>IF(K267=$K$53,0,IF(K267=$K$54,0,IF(K267=$K$55,0,IF(K267=$K$56,0,IF(K267=$K$58,0,IF(K267=$K$50,0,IF(K267=$K$65,0,IF(K267=$K$57,0,IF(K267=$K$51,0,AM267*$AZ$102)))))))))</f>
        <v>0</v>
      </c>
      <c r="BA267" s="172">
        <f t="shared" si="50"/>
        <v>0</v>
      </c>
      <c r="BB267" s="173">
        <f>IF($BA$97=1,AQ267*$BB$102,IF(K267=$K$50,0,IF(K267=$K$53,0,IF(K267=$K$54,0,IF(K267=$K$55,0,IF(K267=$K$56,0,IF(K267=$K$57,0,IF(K267=$K$58,0,IF(K267=$K$65,0,IF(K267=$K$66,0,IF(K267=$K$67,0,IF(K267=$K$68,0,IF(K267=$K$69,0,IF(K267=$K$51,0,1)))))))))))*AQ267*$BB$102)))</f>
        <v>0</v>
      </c>
      <c r="BC267" s="172">
        <f t="shared" si="51"/>
        <v>0</v>
      </c>
      <c r="BD267" s="172">
        <f t="shared" si="52"/>
        <v>0</v>
      </c>
      <c r="BE267" s="172">
        <f>IF($BE$95=I267,$BE$97,IF(I267=$BE$96,$BE$97,1))*($BE$102*AQ267)*$AZ$97</f>
        <v>0</v>
      </c>
      <c r="BF267" s="172">
        <f>IF('[1]Cockpit Retorno'!$C$65=Sim,Mestre!BA267,SUM(BB267:BE267)+(IF(K267=$K$56,AQ267*MOE_IRRF_LR,0)))</f>
        <v>0</v>
      </c>
      <c r="BG267" s="174">
        <f>IF(AA267&gt;0,0,IF(Z267=$Z$82,AG267*1,(IF(Z267=$Z$81,AG267*1,0))))</f>
        <v>0</v>
      </c>
      <c r="BH267" s="174">
        <f>IF(AA267&gt;0,0,IF(Z267=$Z$83,AG267*1,IF(Z267=$Z$81,AG267*1,0)))</f>
        <v>0</v>
      </c>
      <c r="BI267" s="174">
        <f>IF(AA267&gt;0,0,IF(Z267=$Z$84,AG267*1,IF(Z267=$Z$93,AG267*2,IF(Z267=$Z$100,AG267,IF(Z267=$Z$81,AG267*2,IF(Z267=$Z$80,AG267*1,IF(Z267=$Z$79,AG267*3,IF(Z267=$Z$78,AG267*2,0))))))))</f>
        <v>0</v>
      </c>
      <c r="BJ267" s="174">
        <f>IF(AA267&gt;0,0,IF(Z267=$Z$85,AG267,IF(Z267=$Z$93,AG267,IF(Z267=$Z$100,AG267,IF(Z267=$Z$81,AG267*1,IF(Z267=$Z$80,AG267*2,IF(Z267=$Z$79,AG267*2,IF(Z267=$Z$78,AG267*2,0))))))))</f>
        <v>0</v>
      </c>
      <c r="BK267" s="174">
        <f>IF(AA267&gt;0,0,IF(Z267=$Z$92,AG267,0))</f>
        <v>0</v>
      </c>
      <c r="BL267" s="174">
        <f>IF(AA267&gt;0,0,IF(Z267=$Z$91,AG267,0))</f>
        <v>0</v>
      </c>
      <c r="BM267" s="174">
        <f>IF(AA267&gt;0,0,IF(Z267=$Z$86,AG267,0))</f>
        <v>0</v>
      </c>
      <c r="BN267" s="174">
        <f>IF(AA267&gt;0,0,IF(Z267=$Z$87,AG267,0))</f>
        <v>0</v>
      </c>
      <c r="BO267" s="174">
        <f>IF(AA267&gt;0,0,IF(Z267=$Z$88,AG267,0))</f>
        <v>0</v>
      </c>
      <c r="BP267" s="174">
        <f>IF(AA267&gt;0,0,IF(Z267=$Z$89,AG267,0))</f>
        <v>0</v>
      </c>
      <c r="BQ267" s="174">
        <f>IF(AA267&gt;0,0,IF(Z267=$Z$90,AG267,0))</f>
        <v>0</v>
      </c>
      <c r="BR267" s="174">
        <f>IF(Z267=$Z$82,AA267*AG267,0)</f>
        <v>0</v>
      </c>
      <c r="BS267" s="174">
        <f>IF(Z267=$Z$83,AA267*AG267,0)</f>
        <v>0</v>
      </c>
      <c r="BT267" s="174">
        <f>IF(AA267&lt;1,0,IF(Z267=$Z$84,AA267*AG267,IF(Z267=$Z$93,"ERRO",IF(Z267=$Z$100,"ERRO",0))))</f>
        <v>0</v>
      </c>
      <c r="BU267" s="174">
        <f>IF(AA267&lt;1,0,IF(Z267=$Z$85,AA267*AG267,IF(Z267=$Z$93,"ERRO",IF(Z267=$Z$100,"ERRO",0))))</f>
        <v>0</v>
      </c>
      <c r="BV267" s="174">
        <f>IF(Z267=$Z$92,AA267*AG267,0)</f>
        <v>0</v>
      </c>
      <c r="BW267" s="174">
        <f>IF(Z267=$Z$91,AA267*AG267,0)</f>
        <v>0</v>
      </c>
      <c r="BX267" s="174">
        <f>IF(Z267=$Z$86,AA267*AG267,0)</f>
        <v>0</v>
      </c>
      <c r="BY267" s="174">
        <f>IF(Z267=$Z$87,AA267*AG267,0)</f>
        <v>0</v>
      </c>
      <c r="BZ267" s="174">
        <f>IF(Z267=$Z$88,AA267*AG267,0)</f>
        <v>0</v>
      </c>
      <c r="CA267" s="174">
        <f>IF(Z267=$Z$89,AA267*AG267,0)</f>
        <v>0</v>
      </c>
      <c r="CB267" s="174">
        <f>IF(Z267=$Z$90,AA267*AG267,0)</f>
        <v>0</v>
      </c>
      <c r="CC267" s="175">
        <f>IFERROR(IF(L267=$L$49,AG267*AH267*(1+AI267)*(1-AK267)*(1-AL267),0),0)</f>
        <v>1855.3500000000001</v>
      </c>
      <c r="CD267" s="203"/>
      <c r="CE267" s="203"/>
      <c r="CF267" s="204"/>
      <c r="CG267" s="203"/>
      <c r="CH267" s="204"/>
      <c r="CI267" s="203"/>
      <c r="CJ267" s="205"/>
      <c r="CK267" s="205"/>
      <c r="CL267" s="205"/>
      <c r="CM267" s="205"/>
      <c r="CN267" s="206"/>
      <c r="CO267" s="204"/>
      <c r="CP267" s="207"/>
      <c r="CQ267" s="208"/>
      <c r="CR267" s="209"/>
      <c r="CS267" s="49"/>
      <c r="CT267" s="49"/>
      <c r="CU267" s="49"/>
      <c r="CV267" s="49"/>
      <c r="CW267" s="49"/>
      <c r="CX267" s="49"/>
      <c r="CY267" s="49"/>
      <c r="CZ267" s="49"/>
      <c r="DA267" s="49"/>
      <c r="DB267" s="49"/>
      <c r="DC267" s="49"/>
      <c r="DD267" s="49"/>
      <c r="DE267" s="49"/>
      <c r="DF267" s="49"/>
      <c r="DG267" s="49"/>
      <c r="DH267" s="49"/>
      <c r="DI267" s="49"/>
      <c r="DJ267" s="49"/>
      <c r="DK267" s="49"/>
      <c r="DL267" s="49"/>
      <c r="DM267" s="49"/>
      <c r="DN267" s="49"/>
      <c r="DO267" s="49"/>
      <c r="DP267" s="49"/>
      <c r="DQ267" s="49"/>
      <c r="DR267" s="49"/>
      <c r="DS267" s="49"/>
      <c r="DT267" s="49"/>
      <c r="DU267" s="49"/>
      <c r="DV267" s="49"/>
      <c r="DW267" s="49"/>
      <c r="DX267" s="49"/>
      <c r="DY267" s="49"/>
      <c r="DZ267" s="49"/>
      <c r="EA267" s="49"/>
      <c r="EB267" s="49"/>
      <c r="EC267" s="49"/>
      <c r="ED267" s="49"/>
      <c r="EE267" s="49"/>
      <c r="EF267" s="49"/>
      <c r="EG267" s="49"/>
      <c r="EH267" s="49"/>
      <c r="EI267" s="49"/>
      <c r="EJ267" s="49"/>
      <c r="EK267" s="49"/>
      <c r="EL267" s="49"/>
      <c r="EM267" s="49"/>
      <c r="EN267" s="49"/>
      <c r="EO267" s="49"/>
      <c r="EP267" s="49"/>
      <c r="EQ267" s="49"/>
      <c r="ER267" s="49"/>
      <c r="ES267" s="49"/>
      <c r="ET267" s="49"/>
      <c r="EU267" s="49"/>
      <c r="EV267" s="49"/>
      <c r="EW267" s="49"/>
      <c r="EX267" s="49"/>
      <c r="EY267" s="49"/>
      <c r="EZ267" s="49"/>
      <c r="FA267" s="49"/>
    </row>
    <row r="268" spans="1:157" s="210" customFormat="1" x14ac:dyDescent="0.25">
      <c r="A268" s="113"/>
      <c r="B268" s="113"/>
      <c r="C268" s="113"/>
      <c r="D268" s="148"/>
      <c r="E268" s="115"/>
      <c r="F268" s="116"/>
      <c r="G268" s="149"/>
      <c r="H268" s="150" t="s">
        <v>7</v>
      </c>
      <c r="I268" s="151" t="str">
        <f t="shared" si="46"/>
        <v>Mercadorias</v>
      </c>
      <c r="J268" s="150" t="s">
        <v>15</v>
      </c>
      <c r="K268" s="152" t="s">
        <v>7</v>
      </c>
      <c r="L268" s="153" t="s">
        <v>21</v>
      </c>
      <c r="M268" s="154" t="s">
        <v>290</v>
      </c>
      <c r="N268" s="155" t="s">
        <v>370</v>
      </c>
      <c r="O268" s="155" t="s">
        <v>343</v>
      </c>
      <c r="P268" s="155"/>
      <c r="Q268" s="155"/>
      <c r="R268" s="155"/>
      <c r="S268" s="156"/>
      <c r="T268" s="156"/>
      <c r="U268" s="150"/>
      <c r="V268" s="150"/>
      <c r="W268" s="150"/>
      <c r="X268" s="157" t="s">
        <v>360</v>
      </c>
      <c r="Y268" s="150"/>
      <c r="Z268" s="150"/>
      <c r="AA268" s="158"/>
      <c r="AB268" s="155"/>
      <c r="AC268" s="150"/>
      <c r="AD268" s="155"/>
      <c r="AE268" s="155"/>
      <c r="AF268" s="150"/>
      <c r="AG268" s="159">
        <v>30000</v>
      </c>
      <c r="AH268" s="159">
        <v>6.5100000000000005E-2</v>
      </c>
      <c r="AI268" s="202">
        <v>0</v>
      </c>
      <c r="AJ268" s="161">
        <v>7.0000000000000007E-2</v>
      </c>
      <c r="AK268" s="162">
        <v>0.05</v>
      </c>
      <c r="AL268" s="163"/>
      <c r="AM268" s="164">
        <f>(((IF(L268=$L$101,1,IF(L268=$L$47,1,0))*(AH268*(1-AK268)))*AG268)*(1-AL268))</f>
        <v>0</v>
      </c>
      <c r="AN268" s="165">
        <f>IF(K268=$K$50,AM268,IF(K268=$K$53,AM268,IF(K268=$K$54,AM268,IF(K268=$K$55,AM268,IF(K268=$K$56,AM268,IF(K268=$K$57,AM268,IF(K268=$K$58,AM268,IF(K268=$K$65,AM268,IF(K268=$K$66,AM268,IF(K268=$K$67,AM268,IF(K268=$K$68,AM268,IF(K268=$K$69,AM268,IF(K268=$K$51,AM268,(AM268*(1+AI268)))))))))))))))</f>
        <v>0</v>
      </c>
      <c r="AO268" s="166">
        <v>1.4</v>
      </c>
      <c r="AP268" s="160">
        <f t="shared" si="47"/>
        <v>0</v>
      </c>
      <c r="AQ268" s="167">
        <f t="shared" si="45"/>
        <v>0</v>
      </c>
      <c r="AR268" s="160">
        <f t="shared" si="48"/>
        <v>0</v>
      </c>
      <c r="AS268" s="168">
        <f t="shared" si="49"/>
        <v>0</v>
      </c>
      <c r="AT268" s="169" t="str">
        <f>K268</f>
        <v>MI</v>
      </c>
      <c r="AU268" s="169" t="str">
        <f>I268</f>
        <v>Mercadorias</v>
      </c>
      <c r="AV268" s="170"/>
      <c r="AW268" s="171">
        <f>IF(K268=$K$50,0,IF(K268=$K$53,0,IF(K268=$K$54,0,IF(K268=$K$55,0,IF(K268=$K$56,0,IF(K268=$K$57,0,IF(K268=$K$58,0,IF(K268=$K$65,0,IF(K268=$K$66,0,IF(K268=$K$67,0,IF(K268=$K$68,0,IF(K268=$K$69,0,IF(K268=$K$51,0,1))))))))))))*AM268*AI268)</f>
        <v>0</v>
      </c>
      <c r="AX268" s="172">
        <f>IF(K268=$K$50,0,IF(K268=$K$53,0,IF(K268=$K$54,0,IF(K268=$K$55,0,IF(K268=$K$56,0,IF(K268=$K$57,0,IF(K268=$K$58,0,IF(K268=$K$65,0,IF(K268=$K$66,0,IF(K268=$K$67,0,IF(K268=$K$68,0,IF(K268=$K$69,0,IF(K268=$K$51,0,1))))))))))))*AM268*AJ268*$AX$94)</f>
        <v>0</v>
      </c>
      <c r="AY268" s="172">
        <f>IF(K268=$K$53,0,IF(K268=$K$54,0,IF(K268=$K$55,0,IF(K268=$K$56,0,IF(K268=$K$58,0,IF(K268=$K$50,0,IF(K268=$K$65,0,IF(K268=$K$57,0,IF(K268=$K$51,0,AM268*$AY$102)))))))))</f>
        <v>0</v>
      </c>
      <c r="AZ268" s="172">
        <f>IF(K268=$K$53,0,IF(K268=$K$54,0,IF(K268=$K$55,0,IF(K268=$K$56,0,IF(K268=$K$58,0,IF(K268=$K$50,0,IF(K268=$K$65,0,IF(K268=$K$57,0,IF(K268=$K$51,0,AM268*$AZ$102)))))))))</f>
        <v>0</v>
      </c>
      <c r="BA268" s="172">
        <f t="shared" si="50"/>
        <v>0</v>
      </c>
      <c r="BB268" s="173">
        <f>IF($BA$97=1,AQ268*$BB$102,IF(K268=$K$50,0,IF(K268=$K$53,0,IF(K268=$K$54,0,IF(K268=$K$55,0,IF(K268=$K$56,0,IF(K268=$K$57,0,IF(K268=$K$58,0,IF(K268=$K$65,0,IF(K268=$K$66,0,IF(K268=$K$67,0,IF(K268=$K$68,0,IF(K268=$K$69,0,IF(K268=$K$51,0,1)))))))))))*AQ268*$BB$102)))</f>
        <v>0</v>
      </c>
      <c r="BC268" s="172">
        <f t="shared" si="51"/>
        <v>0</v>
      </c>
      <c r="BD268" s="172">
        <f t="shared" si="52"/>
        <v>0</v>
      </c>
      <c r="BE268" s="172">
        <f>IF($BE$95=I268,$BE$97,IF(I268=$BE$96,$BE$97,1))*($BE$102*AQ268)*$AZ$97</f>
        <v>0</v>
      </c>
      <c r="BF268" s="172">
        <f>IF('[1]Cockpit Retorno'!$C$65=Sim,Mestre!BA268,SUM(BB268:BE268)+(IF(K268=$K$56,AQ268*MOE_IRRF_LR,0)))</f>
        <v>0</v>
      </c>
      <c r="BG268" s="174">
        <f>IF(AA268&gt;0,0,IF(Z268=$Z$82,AG268*1,(IF(Z268=$Z$81,AG268*1,0))))</f>
        <v>0</v>
      </c>
      <c r="BH268" s="174">
        <f>IF(AA268&gt;0,0,IF(Z268=$Z$83,AG268*1,IF(Z268=$Z$81,AG268*1,0)))</f>
        <v>0</v>
      </c>
      <c r="BI268" s="174">
        <f>IF(AA268&gt;0,0,IF(Z268=$Z$84,AG268*1,IF(Z268=$Z$93,AG268*2,IF(Z268=$Z$100,AG268,IF(Z268=$Z$81,AG268*2,IF(Z268=$Z$80,AG268*1,IF(Z268=$Z$79,AG268*3,IF(Z268=$Z$78,AG268*2,0))))))))</f>
        <v>0</v>
      </c>
      <c r="BJ268" s="174">
        <f>IF(AA268&gt;0,0,IF(Z268=$Z$85,AG268,IF(Z268=$Z$93,AG268,IF(Z268=$Z$100,AG268,IF(Z268=$Z$81,AG268*1,IF(Z268=$Z$80,AG268*2,IF(Z268=$Z$79,AG268*2,IF(Z268=$Z$78,AG268*2,0))))))))</f>
        <v>0</v>
      </c>
      <c r="BK268" s="174">
        <f>IF(AA268&gt;0,0,IF(Z268=$Z$92,AG268,0))</f>
        <v>0</v>
      </c>
      <c r="BL268" s="174">
        <f>IF(AA268&gt;0,0,IF(Z268=$Z$91,AG268,0))</f>
        <v>0</v>
      </c>
      <c r="BM268" s="174">
        <f>IF(AA268&gt;0,0,IF(Z268=$Z$86,AG268,0))</f>
        <v>0</v>
      </c>
      <c r="BN268" s="174">
        <f>IF(AA268&gt;0,0,IF(Z268=$Z$87,AG268,0))</f>
        <v>0</v>
      </c>
      <c r="BO268" s="174">
        <f>IF(AA268&gt;0,0,IF(Z268=$Z$88,AG268,0))</f>
        <v>0</v>
      </c>
      <c r="BP268" s="174">
        <f>IF(AA268&gt;0,0,IF(Z268=$Z$89,AG268,0))</f>
        <v>0</v>
      </c>
      <c r="BQ268" s="174">
        <f>IF(AA268&gt;0,0,IF(Z268=$Z$90,AG268,0))</f>
        <v>0</v>
      </c>
      <c r="BR268" s="174">
        <f>IF(Z268=$Z$82,AA268*AG268,0)</f>
        <v>0</v>
      </c>
      <c r="BS268" s="174">
        <f>IF(Z268=$Z$83,AA268*AG268,0)</f>
        <v>0</v>
      </c>
      <c r="BT268" s="174">
        <f>IF(AA268&lt;1,0,IF(Z268=$Z$84,AA268*AG268,IF(Z268=$Z$93,"ERRO",IF(Z268=$Z$100,"ERRO",0))))</f>
        <v>0</v>
      </c>
      <c r="BU268" s="174">
        <f>IF(AA268&lt;1,0,IF(Z268=$Z$85,AA268*AG268,IF(Z268=$Z$93,"ERRO",IF(Z268=$Z$100,"ERRO",0))))</f>
        <v>0</v>
      </c>
      <c r="BV268" s="174">
        <f>IF(Z268=$Z$92,AA268*AG268,0)</f>
        <v>0</v>
      </c>
      <c r="BW268" s="174">
        <f>IF(Z268=$Z$91,AA268*AG268,0)</f>
        <v>0</v>
      </c>
      <c r="BX268" s="174">
        <f>IF(Z268=$Z$86,AA268*AG268,0)</f>
        <v>0</v>
      </c>
      <c r="BY268" s="174">
        <f>IF(Z268=$Z$87,AA268*AG268,0)</f>
        <v>0</v>
      </c>
      <c r="BZ268" s="174">
        <f>IF(Z268=$Z$88,AA268*AG268,0)</f>
        <v>0</v>
      </c>
      <c r="CA268" s="174">
        <f>IF(Z268=$Z$89,AA268*AG268,0)</f>
        <v>0</v>
      </c>
      <c r="CB268" s="174">
        <f>IF(Z268=$Z$90,AA268*AG268,0)</f>
        <v>0</v>
      </c>
      <c r="CC268" s="175">
        <f>IFERROR(IF(L268=$L$49,AG268*AH268*(1+AI268)*(1-AK268)*(1-AL268),0),0)</f>
        <v>1855.3500000000001</v>
      </c>
      <c r="CD268" s="203"/>
      <c r="CE268" s="203"/>
      <c r="CF268" s="204"/>
      <c r="CG268" s="203"/>
      <c r="CH268" s="204"/>
      <c r="CI268" s="203"/>
      <c r="CJ268" s="205"/>
      <c r="CK268" s="205"/>
      <c r="CL268" s="205"/>
      <c r="CM268" s="205"/>
      <c r="CN268" s="206"/>
      <c r="CO268" s="204"/>
      <c r="CP268" s="207"/>
      <c r="CQ268" s="208"/>
      <c r="CR268" s="209"/>
      <c r="CS268" s="49"/>
      <c r="CT268" s="49"/>
      <c r="CU268" s="49"/>
      <c r="CV268" s="49"/>
      <c r="CW268" s="49"/>
      <c r="CX268" s="49"/>
      <c r="CY268" s="49"/>
      <c r="CZ268" s="49"/>
      <c r="DA268" s="49"/>
      <c r="DB268" s="49"/>
      <c r="DC268" s="49"/>
      <c r="DD268" s="49"/>
      <c r="DE268" s="49"/>
      <c r="DF268" s="49"/>
      <c r="DG268" s="49"/>
      <c r="DH268" s="49"/>
      <c r="DI268" s="49"/>
      <c r="DJ268" s="49"/>
      <c r="DK268" s="49"/>
      <c r="DL268" s="49"/>
      <c r="DM268" s="49"/>
      <c r="DN268" s="49"/>
      <c r="DO268" s="49"/>
      <c r="DP268" s="49"/>
      <c r="DQ268" s="49"/>
      <c r="DR268" s="49"/>
      <c r="DS268" s="49"/>
      <c r="DT268" s="49"/>
      <c r="DU268" s="49"/>
      <c r="DV268" s="49"/>
      <c r="DW268" s="49"/>
      <c r="DX268" s="49"/>
      <c r="DY268" s="49"/>
      <c r="DZ268" s="49"/>
      <c r="EA268" s="49"/>
      <c r="EB268" s="49"/>
      <c r="EC268" s="49"/>
      <c r="ED268" s="49"/>
      <c r="EE268" s="49"/>
      <c r="EF268" s="49"/>
      <c r="EG268" s="49"/>
      <c r="EH268" s="49"/>
      <c r="EI268" s="49"/>
      <c r="EJ268" s="49"/>
      <c r="EK268" s="49"/>
      <c r="EL268" s="49"/>
      <c r="EM268" s="49"/>
      <c r="EN268" s="49"/>
      <c r="EO268" s="49"/>
      <c r="EP268" s="49"/>
      <c r="EQ268" s="49"/>
      <c r="ER268" s="49"/>
      <c r="ES268" s="49"/>
      <c r="ET268" s="49"/>
      <c r="EU268" s="49"/>
      <c r="EV268" s="49"/>
      <c r="EW268" s="49"/>
      <c r="EX268" s="49"/>
      <c r="EY268" s="49"/>
      <c r="EZ268" s="49"/>
      <c r="FA268" s="49"/>
    </row>
    <row r="269" spans="1:157" s="210" customFormat="1" ht="51" x14ac:dyDescent="0.25">
      <c r="A269" s="113"/>
      <c r="B269" s="113"/>
      <c r="C269" s="113"/>
      <c r="D269" s="148"/>
      <c r="E269" s="115"/>
      <c r="F269" s="116"/>
      <c r="G269" s="149">
        <v>11</v>
      </c>
      <c r="H269" s="150" t="s">
        <v>7</v>
      </c>
      <c r="I269" s="151" t="str">
        <f t="shared" si="46"/>
        <v>Mercadorias</v>
      </c>
      <c r="J269" s="150" t="s">
        <v>15</v>
      </c>
      <c r="K269" s="152" t="s">
        <v>7</v>
      </c>
      <c r="L269" s="153" t="s">
        <v>21</v>
      </c>
      <c r="M269" s="154" t="s">
        <v>411</v>
      </c>
      <c r="N269" s="155" t="s">
        <v>370</v>
      </c>
      <c r="O269" s="155" t="s">
        <v>412</v>
      </c>
      <c r="P269" s="155"/>
      <c r="Q269" s="155"/>
      <c r="R269" s="155"/>
      <c r="S269" s="156"/>
      <c r="T269" s="156"/>
      <c r="U269" s="150"/>
      <c r="V269" s="150"/>
      <c r="W269" s="150"/>
      <c r="X269" s="157" t="s">
        <v>413</v>
      </c>
      <c r="Y269" s="150"/>
      <c r="Z269" s="150"/>
      <c r="AA269" s="158"/>
      <c r="AB269" s="155"/>
      <c r="AC269" s="150"/>
      <c r="AD269" s="155"/>
      <c r="AE269" s="155"/>
      <c r="AF269" s="150"/>
      <c r="AG269" s="159">
        <v>300</v>
      </c>
      <c r="AH269" s="211">
        <v>38.966999999999999</v>
      </c>
      <c r="AI269" s="202">
        <v>0</v>
      </c>
      <c r="AJ269" s="161">
        <v>7.0000000000000007E-2</v>
      </c>
      <c r="AK269" s="162"/>
      <c r="AL269" s="163"/>
      <c r="AM269" s="164">
        <f>(((IF(L269=$L$101,1,IF(L269=$L$47,1,0))*(AH269*(1-AK269)))*AG269)*(1-AL269))</f>
        <v>0</v>
      </c>
      <c r="AN269" s="165">
        <f>IF(K269=$K$50,AM269,IF(K269=$K$53,AM269,IF(K269=$K$54,AM269,IF(K269=$K$55,AM269,IF(K269=$K$56,AM269,IF(K269=$K$57,AM269,IF(K269=$K$58,AM269,IF(K269=$K$65,AM269,IF(K269=$K$66,AM269,IF(K269=$K$67,AM269,IF(K269=$K$68,AM269,IF(K269=$K$69,AM269,IF(K269=$K$51,AM269,(AM269*(1+AI269)))))))))))))))</f>
        <v>0</v>
      </c>
      <c r="AO269" s="166">
        <v>1.4</v>
      </c>
      <c r="AP269" s="160">
        <f t="shared" si="47"/>
        <v>0</v>
      </c>
      <c r="AQ269" s="167">
        <f t="shared" si="45"/>
        <v>0</v>
      </c>
      <c r="AR269" s="160">
        <f t="shared" si="48"/>
        <v>0</v>
      </c>
      <c r="AS269" s="168">
        <f t="shared" si="49"/>
        <v>0</v>
      </c>
      <c r="AT269" s="169" t="str">
        <f>K269</f>
        <v>MI</v>
      </c>
      <c r="AU269" s="169" t="str">
        <f>I269</f>
        <v>Mercadorias</v>
      </c>
      <c r="AV269" s="170"/>
      <c r="AW269" s="171">
        <f>IF(K269=$K$50,0,IF(K269=$K$53,0,IF(K269=$K$54,0,IF(K269=$K$55,0,IF(K269=$K$56,0,IF(K269=$K$57,0,IF(K269=$K$58,0,IF(K269=$K$65,0,IF(K269=$K$66,0,IF(K269=$K$67,0,IF(K269=$K$68,0,IF(K269=$K$69,0,IF(K269=$K$51,0,1))))))))))))*AM269*AI269)</f>
        <v>0</v>
      </c>
      <c r="AX269" s="172">
        <f>IF(K269=$K$50,0,IF(K269=$K$53,0,IF(K269=$K$54,0,IF(K269=$K$55,0,IF(K269=$K$56,0,IF(K269=$K$57,0,IF(K269=$K$58,0,IF(K269=$K$65,0,IF(K269=$K$66,0,IF(K269=$K$67,0,IF(K269=$K$68,0,IF(K269=$K$69,0,IF(K269=$K$51,0,1))))))))))))*AM269*AJ269*$AX$94)</f>
        <v>0</v>
      </c>
      <c r="AY269" s="172">
        <f>IF(K269=$K$53,0,IF(K269=$K$54,0,IF(K269=$K$55,0,IF(K269=$K$56,0,IF(K269=$K$58,0,IF(K269=$K$50,0,IF(K269=$K$65,0,IF(K269=$K$57,0,IF(K269=$K$51,0,AM269*$AY$102)))))))))</f>
        <v>0</v>
      </c>
      <c r="AZ269" s="172">
        <f>IF(K269=$K$53,0,IF(K269=$K$54,0,IF(K269=$K$55,0,IF(K269=$K$56,0,IF(K269=$K$58,0,IF(K269=$K$50,0,IF(K269=$K$65,0,IF(K269=$K$57,0,IF(K269=$K$51,0,AM269*$AZ$102)))))))))</f>
        <v>0</v>
      </c>
      <c r="BA269" s="172">
        <f t="shared" si="50"/>
        <v>0</v>
      </c>
      <c r="BB269" s="173">
        <f>IF($BA$97=1,AQ269*$BB$102,IF(K269=$K$50,0,IF(K269=$K$53,0,IF(K269=$K$54,0,IF(K269=$K$55,0,IF(K269=$K$56,0,IF(K269=$K$57,0,IF(K269=$K$58,0,IF(K269=$K$65,0,IF(K269=$K$66,0,IF(K269=$K$67,0,IF(K269=$K$68,0,IF(K269=$K$69,0,IF(K269=$K$51,0,1)))))))))))*AQ269*$BB$102)))</f>
        <v>0</v>
      </c>
      <c r="BC269" s="172">
        <f t="shared" si="51"/>
        <v>0</v>
      </c>
      <c r="BD269" s="172">
        <f t="shared" si="52"/>
        <v>0</v>
      </c>
      <c r="BE269" s="172">
        <f>IF($BE$95=I269,$BE$97,IF(I269=$BE$96,$BE$97,1))*($BE$102*AQ269)*$AZ$97</f>
        <v>0</v>
      </c>
      <c r="BF269" s="172">
        <f>IF('[1]Cockpit Retorno'!$C$65=Sim,Mestre!BA269,SUM(BB269:BE269)+(IF(K269=$K$56,AQ269*MOE_IRRF_LR,0)))</f>
        <v>0</v>
      </c>
      <c r="BG269" s="174">
        <f>IF(AA269&gt;0,0,IF(Z269=$Z$82,AG269*1,(IF(Z269=$Z$81,AG269*1,0))))</f>
        <v>0</v>
      </c>
      <c r="BH269" s="174">
        <f>IF(AA269&gt;0,0,IF(Z269=$Z$83,AG269*1,IF(Z269=$Z$81,AG269*1,0)))</f>
        <v>0</v>
      </c>
      <c r="BI269" s="174">
        <f>IF(AA269&gt;0,0,IF(Z269=$Z$84,AG269*1,IF(Z269=$Z$93,AG269*2,IF(Z269=$Z$100,AG269,IF(Z269=$Z$81,AG269*2,IF(Z269=$Z$80,AG269*1,IF(Z269=$Z$79,AG269*3,IF(Z269=$Z$78,AG269*2,0))))))))</f>
        <v>0</v>
      </c>
      <c r="BJ269" s="174">
        <f>IF(AA269&gt;0,0,IF(Z269=$Z$85,AG269,IF(Z269=$Z$93,AG269,IF(Z269=$Z$100,AG269,IF(Z269=$Z$81,AG269*1,IF(Z269=$Z$80,AG269*2,IF(Z269=$Z$79,AG269*2,IF(Z269=$Z$78,AG269*2,0))))))))</f>
        <v>0</v>
      </c>
      <c r="BK269" s="174">
        <f>IF(AA269&gt;0,0,IF(Z269=$Z$92,AG269,0))</f>
        <v>0</v>
      </c>
      <c r="BL269" s="174">
        <f>IF(AA269&gt;0,0,IF(Z269=$Z$91,AG269,0))</f>
        <v>0</v>
      </c>
      <c r="BM269" s="174">
        <f>IF(AA269&gt;0,0,IF(Z269=$Z$86,AG269,0))</f>
        <v>0</v>
      </c>
      <c r="BN269" s="174">
        <f>IF(AA269&gt;0,0,IF(Z269=$Z$87,AG269,0))</f>
        <v>0</v>
      </c>
      <c r="BO269" s="174">
        <f>IF(AA269&gt;0,0,IF(Z269=$Z$88,AG269,0))</f>
        <v>0</v>
      </c>
      <c r="BP269" s="174">
        <f>IF(AA269&gt;0,0,IF(Z269=$Z$89,AG269,0))</f>
        <v>0</v>
      </c>
      <c r="BQ269" s="174">
        <f>IF(AA269&gt;0,0,IF(Z269=$Z$90,AG269,0))</f>
        <v>0</v>
      </c>
      <c r="BR269" s="174">
        <f>IF(Z269=$Z$82,AA269*AG269,0)</f>
        <v>0</v>
      </c>
      <c r="BS269" s="174">
        <f>IF(Z269=$Z$83,AA269*AG269,0)</f>
        <v>0</v>
      </c>
      <c r="BT269" s="174">
        <f>IF(AA269&lt;1,0,IF(Z269=$Z$84,AA269*AG269,IF(Z269=$Z$93,"ERRO",IF(Z269=$Z$100,"ERRO",0))))</f>
        <v>0</v>
      </c>
      <c r="BU269" s="174">
        <f>IF(AA269&lt;1,0,IF(Z269=$Z$85,AA269*AG269,IF(Z269=$Z$93,"ERRO",IF(Z269=$Z$100,"ERRO",0))))</f>
        <v>0</v>
      </c>
      <c r="BV269" s="174">
        <f>IF(Z269=$Z$92,AA269*AG269,0)</f>
        <v>0</v>
      </c>
      <c r="BW269" s="174">
        <f>IF(Z269=$Z$91,AA269*AG269,0)</f>
        <v>0</v>
      </c>
      <c r="BX269" s="174">
        <f>IF(Z269=$Z$86,AA269*AG269,0)</f>
        <v>0</v>
      </c>
      <c r="BY269" s="174">
        <f>IF(Z269=$Z$87,AA269*AG269,0)</f>
        <v>0</v>
      </c>
      <c r="BZ269" s="174">
        <f>IF(Z269=$Z$88,AA269*AG269,0)</f>
        <v>0</v>
      </c>
      <c r="CA269" s="174">
        <f>IF(Z269=$Z$89,AA269*AG269,0)</f>
        <v>0</v>
      </c>
      <c r="CB269" s="174">
        <f>IF(Z269=$Z$90,AA269*AG269,0)</f>
        <v>0</v>
      </c>
      <c r="CC269" s="175">
        <f>IFERROR(IF(L269=$L$49,AG269*AH269*(1+AI269)*(1-AK269)*(1-AL269),0),0)</f>
        <v>11690.1</v>
      </c>
      <c r="CD269" s="203"/>
      <c r="CE269" s="203"/>
      <c r="CF269" s="204"/>
      <c r="CG269" s="203"/>
      <c r="CH269" s="204"/>
      <c r="CI269" s="203"/>
      <c r="CJ269" s="205"/>
      <c r="CK269" s="205"/>
      <c r="CL269" s="205"/>
      <c r="CM269" s="205"/>
      <c r="CN269" s="206"/>
      <c r="CO269" s="204"/>
      <c r="CP269" s="207"/>
      <c r="CQ269" s="208"/>
      <c r="CR269" s="209"/>
      <c r="CS269" s="49"/>
      <c r="CT269" s="49"/>
      <c r="CU269" s="49"/>
      <c r="CV269" s="49"/>
      <c r="CW269" s="49"/>
      <c r="CX269" s="49"/>
      <c r="CY269" s="49"/>
      <c r="CZ269" s="49"/>
      <c r="DA269" s="49"/>
      <c r="DB269" s="49"/>
      <c r="DC269" s="49"/>
      <c r="DD269" s="49"/>
      <c r="DE269" s="49"/>
      <c r="DF269" s="49"/>
      <c r="DG269" s="49"/>
      <c r="DH269" s="49"/>
      <c r="DI269" s="49"/>
      <c r="DJ269" s="49"/>
      <c r="DK269" s="49"/>
      <c r="DL269" s="49"/>
      <c r="DM269" s="49"/>
      <c r="DN269" s="49"/>
      <c r="DO269" s="49"/>
      <c r="DP269" s="49"/>
      <c r="DQ269" s="49"/>
      <c r="DR269" s="49"/>
      <c r="DS269" s="49"/>
      <c r="DT269" s="49"/>
      <c r="DU269" s="49"/>
      <c r="DV269" s="49"/>
      <c r="DW269" s="49"/>
      <c r="DX269" s="49"/>
      <c r="DY269" s="49"/>
      <c r="DZ269" s="49"/>
      <c r="EA269" s="49"/>
      <c r="EB269" s="49"/>
      <c r="EC269" s="49"/>
      <c r="ED269" s="49"/>
      <c r="EE269" s="49"/>
      <c r="EF269" s="49"/>
      <c r="EG269" s="49"/>
      <c r="EH269" s="49"/>
      <c r="EI269" s="49"/>
      <c r="EJ269" s="49"/>
      <c r="EK269" s="49"/>
      <c r="EL269" s="49"/>
      <c r="EM269" s="49"/>
      <c r="EN269" s="49"/>
      <c r="EO269" s="49"/>
      <c r="EP269" s="49"/>
      <c r="EQ269" s="49"/>
      <c r="ER269" s="49"/>
      <c r="ES269" s="49"/>
      <c r="ET269" s="49"/>
      <c r="EU269" s="49"/>
      <c r="EV269" s="49"/>
      <c r="EW269" s="49"/>
      <c r="EX269" s="49"/>
      <c r="EY269" s="49"/>
      <c r="EZ269" s="49"/>
      <c r="FA269" s="49"/>
    </row>
    <row r="270" spans="1:157" s="210" customFormat="1" ht="25.5" x14ac:dyDescent="0.25">
      <c r="A270" s="113"/>
      <c r="B270" s="113"/>
      <c r="C270" s="113"/>
      <c r="D270" s="148"/>
      <c r="E270" s="115"/>
      <c r="F270" s="116"/>
      <c r="G270" s="149"/>
      <c r="H270" s="150" t="s">
        <v>7</v>
      </c>
      <c r="I270" s="151" t="str">
        <f t="shared" si="46"/>
        <v>Mercadorias</v>
      </c>
      <c r="J270" s="150" t="s">
        <v>15</v>
      </c>
      <c r="K270" s="152" t="s">
        <v>7</v>
      </c>
      <c r="L270" s="153" t="s">
        <v>21</v>
      </c>
      <c r="M270" s="154" t="s">
        <v>414</v>
      </c>
      <c r="N270" s="155" t="s">
        <v>370</v>
      </c>
      <c r="O270" s="155" t="s">
        <v>412</v>
      </c>
      <c r="P270" s="155"/>
      <c r="Q270" s="155"/>
      <c r="R270" s="155"/>
      <c r="S270" s="156"/>
      <c r="T270" s="156"/>
      <c r="U270" s="150"/>
      <c r="V270" s="150"/>
      <c r="W270" s="150"/>
      <c r="X270" s="157" t="s">
        <v>415</v>
      </c>
      <c r="Y270" s="150"/>
      <c r="Z270" s="150"/>
      <c r="AA270" s="158"/>
      <c r="AB270" s="155"/>
      <c r="AC270" s="150"/>
      <c r="AD270" s="155"/>
      <c r="AE270" s="155"/>
      <c r="AF270" s="150"/>
      <c r="AG270" s="159">
        <v>100</v>
      </c>
      <c r="AH270" s="211">
        <v>5.1429000000000009</v>
      </c>
      <c r="AI270" s="202">
        <v>0</v>
      </c>
      <c r="AJ270" s="161">
        <v>7.0000000000000007E-2</v>
      </c>
      <c r="AK270" s="162"/>
      <c r="AL270" s="163"/>
      <c r="AM270" s="164">
        <f>(((IF(L270=$L$101,1,IF(L270=$L$47,1,0))*(AH270*(1-AK270)))*AG270)*(1-AL270))</f>
        <v>0</v>
      </c>
      <c r="AN270" s="165">
        <f>IF(K270=$K$50,AM270,IF(K270=$K$53,AM270,IF(K270=$K$54,AM270,IF(K270=$K$55,AM270,IF(K270=$K$56,AM270,IF(K270=$K$57,AM270,IF(K270=$K$58,AM270,IF(K270=$K$65,AM270,IF(K270=$K$66,AM270,IF(K270=$K$67,AM270,IF(K270=$K$68,AM270,IF(K270=$K$69,AM270,IF(K270=$K$51,AM270,(AM270*(1+AI270)))))))))))))))</f>
        <v>0</v>
      </c>
      <c r="AO270" s="166">
        <v>1.4</v>
      </c>
      <c r="AP270" s="160">
        <f t="shared" si="47"/>
        <v>0</v>
      </c>
      <c r="AQ270" s="167">
        <f t="shared" si="45"/>
        <v>0</v>
      </c>
      <c r="AR270" s="160">
        <f t="shared" si="48"/>
        <v>0</v>
      </c>
      <c r="AS270" s="168">
        <f t="shared" si="49"/>
        <v>0</v>
      </c>
      <c r="AT270" s="169" t="str">
        <f>K270</f>
        <v>MI</v>
      </c>
      <c r="AU270" s="169" t="str">
        <f>I270</f>
        <v>Mercadorias</v>
      </c>
      <c r="AV270" s="170"/>
      <c r="AW270" s="171">
        <f>IF(K270=$K$50,0,IF(K270=$K$53,0,IF(K270=$K$54,0,IF(K270=$K$55,0,IF(K270=$K$56,0,IF(K270=$K$57,0,IF(K270=$K$58,0,IF(K270=$K$65,0,IF(K270=$K$66,0,IF(K270=$K$67,0,IF(K270=$K$68,0,IF(K270=$K$69,0,IF(K270=$K$51,0,1))))))))))))*AM270*AI270)</f>
        <v>0</v>
      </c>
      <c r="AX270" s="172">
        <f>IF(K270=$K$50,0,IF(K270=$K$53,0,IF(K270=$K$54,0,IF(K270=$K$55,0,IF(K270=$K$56,0,IF(K270=$K$57,0,IF(K270=$K$58,0,IF(K270=$K$65,0,IF(K270=$K$66,0,IF(K270=$K$67,0,IF(K270=$K$68,0,IF(K270=$K$69,0,IF(K270=$K$51,0,1))))))))))))*AM270*AJ270*$AX$94)</f>
        <v>0</v>
      </c>
      <c r="AY270" s="172">
        <f>IF(K270=$K$53,0,IF(K270=$K$54,0,IF(K270=$K$55,0,IF(K270=$K$56,0,IF(K270=$K$58,0,IF(K270=$K$50,0,IF(K270=$K$65,0,IF(K270=$K$57,0,IF(K270=$K$51,0,AM270*$AY$102)))))))))</f>
        <v>0</v>
      </c>
      <c r="AZ270" s="172">
        <f>IF(K270=$K$53,0,IF(K270=$K$54,0,IF(K270=$K$55,0,IF(K270=$K$56,0,IF(K270=$K$58,0,IF(K270=$K$50,0,IF(K270=$K$65,0,IF(K270=$K$57,0,IF(K270=$K$51,0,AM270*$AZ$102)))))))))</f>
        <v>0</v>
      </c>
      <c r="BA270" s="172">
        <f t="shared" si="50"/>
        <v>0</v>
      </c>
      <c r="BB270" s="173">
        <f>IF($BA$97=1,AQ270*$BB$102,IF(K270=$K$50,0,IF(K270=$K$53,0,IF(K270=$K$54,0,IF(K270=$K$55,0,IF(K270=$K$56,0,IF(K270=$K$57,0,IF(K270=$K$58,0,IF(K270=$K$65,0,IF(K270=$K$66,0,IF(K270=$K$67,0,IF(K270=$K$68,0,IF(K270=$K$69,0,IF(K270=$K$51,0,1)))))))))))*AQ270*$BB$102)))</f>
        <v>0</v>
      </c>
      <c r="BC270" s="172">
        <f t="shared" si="51"/>
        <v>0</v>
      </c>
      <c r="BD270" s="172">
        <f t="shared" si="52"/>
        <v>0</v>
      </c>
      <c r="BE270" s="172">
        <f>IF($BE$95=I270,$BE$97,IF(I270=$BE$96,$BE$97,1))*($BE$102*AQ270)*$AZ$97</f>
        <v>0</v>
      </c>
      <c r="BF270" s="172">
        <f>IF('[1]Cockpit Retorno'!$C$65=Sim,Mestre!BA270,SUM(BB270:BE270)+(IF(K270=$K$56,AQ270*MOE_IRRF_LR,0)))</f>
        <v>0</v>
      </c>
      <c r="BG270" s="174">
        <f>IF(AA270&gt;0,0,IF(Z270=$Z$82,AG270*1,(IF(Z270=$Z$81,AG270*1,0))))</f>
        <v>0</v>
      </c>
      <c r="BH270" s="174">
        <f>IF(AA270&gt;0,0,IF(Z270=$Z$83,AG270*1,IF(Z270=$Z$81,AG270*1,0)))</f>
        <v>0</v>
      </c>
      <c r="BI270" s="174">
        <f>IF(AA270&gt;0,0,IF(Z270=$Z$84,AG270*1,IF(Z270=$Z$93,AG270*2,IF(Z270=$Z$100,AG270,IF(Z270=$Z$81,AG270*2,IF(Z270=$Z$80,AG270*1,IF(Z270=$Z$79,AG270*3,IF(Z270=$Z$78,AG270*2,0))))))))</f>
        <v>0</v>
      </c>
      <c r="BJ270" s="174">
        <f>IF(AA270&gt;0,0,IF(Z270=$Z$85,AG270,IF(Z270=$Z$93,AG270,IF(Z270=$Z$100,AG270,IF(Z270=$Z$81,AG270*1,IF(Z270=$Z$80,AG270*2,IF(Z270=$Z$79,AG270*2,IF(Z270=$Z$78,AG270*2,0))))))))</f>
        <v>0</v>
      </c>
      <c r="BK270" s="174">
        <f>IF(AA270&gt;0,0,IF(Z270=$Z$92,AG270,0))</f>
        <v>0</v>
      </c>
      <c r="BL270" s="174">
        <f>IF(AA270&gt;0,0,IF(Z270=$Z$91,AG270,0))</f>
        <v>0</v>
      </c>
      <c r="BM270" s="174">
        <f>IF(AA270&gt;0,0,IF(Z270=$Z$86,AG270,0))</f>
        <v>0</v>
      </c>
      <c r="BN270" s="174">
        <f>IF(AA270&gt;0,0,IF(Z270=$Z$87,AG270,0))</f>
        <v>0</v>
      </c>
      <c r="BO270" s="174">
        <f>IF(AA270&gt;0,0,IF(Z270=$Z$88,AG270,0))</f>
        <v>0</v>
      </c>
      <c r="BP270" s="174">
        <f>IF(AA270&gt;0,0,IF(Z270=$Z$89,AG270,0))</f>
        <v>0</v>
      </c>
      <c r="BQ270" s="174">
        <f>IF(AA270&gt;0,0,IF(Z270=$Z$90,AG270,0))</f>
        <v>0</v>
      </c>
      <c r="BR270" s="174">
        <f>IF(Z270=$Z$82,AA270*AG270,0)</f>
        <v>0</v>
      </c>
      <c r="BS270" s="174">
        <f>IF(Z270=$Z$83,AA270*AG270,0)</f>
        <v>0</v>
      </c>
      <c r="BT270" s="174">
        <f>IF(AA270&lt;1,0,IF(Z270=$Z$84,AA270*AG270,IF(Z270=$Z$93,"ERRO",IF(Z270=$Z$100,"ERRO",0))))</f>
        <v>0</v>
      </c>
      <c r="BU270" s="174">
        <f>IF(AA270&lt;1,0,IF(Z270=$Z$85,AA270*AG270,IF(Z270=$Z$93,"ERRO",IF(Z270=$Z$100,"ERRO",0))))</f>
        <v>0</v>
      </c>
      <c r="BV270" s="174">
        <f>IF(Z270=$Z$92,AA270*AG270,0)</f>
        <v>0</v>
      </c>
      <c r="BW270" s="174">
        <f>IF(Z270=$Z$91,AA270*AG270,0)</f>
        <v>0</v>
      </c>
      <c r="BX270" s="174">
        <f>IF(Z270=$Z$86,AA270*AG270,0)</f>
        <v>0</v>
      </c>
      <c r="BY270" s="174">
        <f>IF(Z270=$Z$87,AA270*AG270,0)</f>
        <v>0</v>
      </c>
      <c r="BZ270" s="174">
        <f>IF(Z270=$Z$88,AA270*AG270,0)</f>
        <v>0</v>
      </c>
      <c r="CA270" s="174">
        <f>IF(Z270=$Z$89,AA270*AG270,0)</f>
        <v>0</v>
      </c>
      <c r="CB270" s="174">
        <f>IF(Z270=$Z$90,AA270*AG270,0)</f>
        <v>0</v>
      </c>
      <c r="CC270" s="175">
        <f>IFERROR(IF(L270=$L$49,AG270*AH270*(1+AI270)*(1-AK270)*(1-AL270),0),0)</f>
        <v>514.29000000000008</v>
      </c>
      <c r="CD270" s="203"/>
      <c r="CE270" s="203"/>
      <c r="CF270" s="204"/>
      <c r="CG270" s="203"/>
      <c r="CH270" s="204"/>
      <c r="CI270" s="203"/>
      <c r="CJ270" s="205"/>
      <c r="CK270" s="205"/>
      <c r="CL270" s="205"/>
      <c r="CM270" s="205"/>
      <c r="CN270" s="206"/>
      <c r="CO270" s="204"/>
      <c r="CP270" s="207"/>
      <c r="CQ270" s="208"/>
      <c r="CR270" s="209"/>
      <c r="CS270" s="49"/>
      <c r="CT270" s="49"/>
      <c r="CU270" s="49"/>
      <c r="CV270" s="49"/>
      <c r="CW270" s="49"/>
      <c r="CX270" s="49"/>
      <c r="CY270" s="49"/>
      <c r="CZ270" s="49"/>
      <c r="DA270" s="49"/>
      <c r="DB270" s="49"/>
      <c r="DC270" s="49"/>
      <c r="DD270" s="49"/>
      <c r="DE270" s="49"/>
      <c r="DF270" s="49"/>
      <c r="DG270" s="49"/>
      <c r="DH270" s="49"/>
      <c r="DI270" s="49"/>
      <c r="DJ270" s="49"/>
      <c r="DK270" s="49"/>
      <c r="DL270" s="49"/>
      <c r="DM270" s="49"/>
      <c r="DN270" s="49"/>
      <c r="DO270" s="49"/>
      <c r="DP270" s="49"/>
      <c r="DQ270" s="49"/>
      <c r="DR270" s="49"/>
      <c r="DS270" s="49"/>
      <c r="DT270" s="49"/>
      <c r="DU270" s="49"/>
      <c r="DV270" s="49"/>
      <c r="DW270" s="49"/>
      <c r="DX270" s="49"/>
      <c r="DY270" s="49"/>
      <c r="DZ270" s="49"/>
      <c r="EA270" s="49"/>
      <c r="EB270" s="49"/>
      <c r="EC270" s="49"/>
      <c r="ED270" s="49"/>
      <c r="EE270" s="49"/>
      <c r="EF270" s="49"/>
      <c r="EG270" s="49"/>
      <c r="EH270" s="49"/>
      <c r="EI270" s="49"/>
      <c r="EJ270" s="49"/>
      <c r="EK270" s="49"/>
      <c r="EL270" s="49"/>
      <c r="EM270" s="49"/>
      <c r="EN270" s="49"/>
      <c r="EO270" s="49"/>
      <c r="EP270" s="49"/>
      <c r="EQ270" s="49"/>
      <c r="ER270" s="49"/>
      <c r="ES270" s="49"/>
      <c r="ET270" s="49"/>
      <c r="EU270" s="49"/>
      <c r="EV270" s="49"/>
      <c r="EW270" s="49"/>
      <c r="EX270" s="49"/>
      <c r="EY270" s="49"/>
      <c r="EZ270" s="49"/>
      <c r="FA270" s="49"/>
    </row>
    <row r="271" spans="1:157" s="210" customFormat="1" ht="25.5" x14ac:dyDescent="0.25">
      <c r="A271" s="113"/>
      <c r="B271" s="113"/>
      <c r="C271" s="113"/>
      <c r="D271" s="148"/>
      <c r="E271" s="115"/>
      <c r="F271" s="116"/>
      <c r="G271" s="149"/>
      <c r="H271" s="150" t="s">
        <v>7</v>
      </c>
      <c r="I271" s="151" t="str">
        <f t="shared" si="46"/>
        <v>Mercadorias</v>
      </c>
      <c r="J271" s="150" t="s">
        <v>15</v>
      </c>
      <c r="K271" s="152" t="s">
        <v>7</v>
      </c>
      <c r="L271" s="153" t="s">
        <v>21</v>
      </c>
      <c r="M271" s="154" t="s">
        <v>414</v>
      </c>
      <c r="N271" s="155" t="s">
        <v>370</v>
      </c>
      <c r="O271" s="155" t="s">
        <v>412</v>
      </c>
      <c r="P271" s="155"/>
      <c r="Q271" s="155"/>
      <c r="R271" s="155"/>
      <c r="S271" s="156"/>
      <c r="T271" s="156"/>
      <c r="U271" s="150"/>
      <c r="V271" s="150"/>
      <c r="W271" s="150"/>
      <c r="X271" s="157" t="s">
        <v>416</v>
      </c>
      <c r="Y271" s="150"/>
      <c r="Z271" s="150"/>
      <c r="AA271" s="158"/>
      <c r="AB271" s="155"/>
      <c r="AC271" s="150"/>
      <c r="AD271" s="155"/>
      <c r="AE271" s="155"/>
      <c r="AF271" s="150"/>
      <c r="AG271" s="159">
        <v>100</v>
      </c>
      <c r="AH271" s="211">
        <v>2.4924000000000004</v>
      </c>
      <c r="AI271" s="202">
        <v>0</v>
      </c>
      <c r="AJ271" s="161">
        <v>7.0000000000000007E-2</v>
      </c>
      <c r="AK271" s="162"/>
      <c r="AL271" s="163"/>
      <c r="AM271" s="164">
        <f>(((IF(L271=$L$101,1,IF(L271=$L$47,1,0))*(AH271*(1-AK271)))*AG271)*(1-AL271))</f>
        <v>0</v>
      </c>
      <c r="AN271" s="165">
        <f>IF(K271=$K$50,AM271,IF(K271=$K$53,AM271,IF(K271=$K$54,AM271,IF(K271=$K$55,AM271,IF(K271=$K$56,AM271,IF(K271=$K$57,AM271,IF(K271=$K$58,AM271,IF(K271=$K$65,AM271,IF(K271=$K$66,AM271,IF(K271=$K$67,AM271,IF(K271=$K$68,AM271,IF(K271=$K$69,AM271,IF(K271=$K$51,AM271,(AM271*(1+AI271)))))))))))))))</f>
        <v>0</v>
      </c>
      <c r="AO271" s="166">
        <v>1.4</v>
      </c>
      <c r="AP271" s="160">
        <f t="shared" si="47"/>
        <v>0</v>
      </c>
      <c r="AQ271" s="167">
        <f t="shared" si="45"/>
        <v>0</v>
      </c>
      <c r="AR271" s="160">
        <f t="shared" si="48"/>
        <v>0</v>
      </c>
      <c r="AS271" s="168">
        <f t="shared" si="49"/>
        <v>0</v>
      </c>
      <c r="AT271" s="169" t="str">
        <f>K271</f>
        <v>MI</v>
      </c>
      <c r="AU271" s="169" t="str">
        <f>I271</f>
        <v>Mercadorias</v>
      </c>
      <c r="AV271" s="170"/>
      <c r="AW271" s="171">
        <f>IF(K271=$K$50,0,IF(K271=$K$53,0,IF(K271=$K$54,0,IF(K271=$K$55,0,IF(K271=$K$56,0,IF(K271=$K$57,0,IF(K271=$K$58,0,IF(K271=$K$65,0,IF(K271=$K$66,0,IF(K271=$K$67,0,IF(K271=$K$68,0,IF(K271=$K$69,0,IF(K271=$K$51,0,1))))))))))))*AM271*AI271)</f>
        <v>0</v>
      </c>
      <c r="AX271" s="172">
        <f>IF(K271=$K$50,0,IF(K271=$K$53,0,IF(K271=$K$54,0,IF(K271=$K$55,0,IF(K271=$K$56,0,IF(K271=$K$57,0,IF(K271=$K$58,0,IF(K271=$K$65,0,IF(K271=$K$66,0,IF(K271=$K$67,0,IF(K271=$K$68,0,IF(K271=$K$69,0,IF(K271=$K$51,0,1))))))))))))*AM271*AJ271*$AX$94)</f>
        <v>0</v>
      </c>
      <c r="AY271" s="172">
        <f>IF(K271=$K$53,0,IF(K271=$K$54,0,IF(K271=$K$55,0,IF(K271=$K$56,0,IF(K271=$K$58,0,IF(K271=$K$50,0,IF(K271=$K$65,0,IF(K271=$K$57,0,IF(K271=$K$51,0,AM271*$AY$102)))))))))</f>
        <v>0</v>
      </c>
      <c r="AZ271" s="172">
        <f>IF(K271=$K$53,0,IF(K271=$K$54,0,IF(K271=$K$55,0,IF(K271=$K$56,0,IF(K271=$K$58,0,IF(K271=$K$50,0,IF(K271=$K$65,0,IF(K271=$K$57,0,IF(K271=$K$51,0,AM271*$AZ$102)))))))))</f>
        <v>0</v>
      </c>
      <c r="BA271" s="172">
        <f t="shared" si="50"/>
        <v>0</v>
      </c>
      <c r="BB271" s="173">
        <f>IF($BA$97=1,AQ271*$BB$102,IF(K271=$K$50,0,IF(K271=$K$53,0,IF(K271=$K$54,0,IF(K271=$K$55,0,IF(K271=$K$56,0,IF(K271=$K$57,0,IF(K271=$K$58,0,IF(K271=$K$65,0,IF(K271=$K$66,0,IF(K271=$K$67,0,IF(K271=$K$68,0,IF(K271=$K$69,0,IF(K271=$K$51,0,1)))))))))))*AQ271*$BB$102)))</f>
        <v>0</v>
      </c>
      <c r="BC271" s="172">
        <f t="shared" si="51"/>
        <v>0</v>
      </c>
      <c r="BD271" s="172">
        <f t="shared" si="52"/>
        <v>0</v>
      </c>
      <c r="BE271" s="172">
        <f>IF($BE$95=I271,$BE$97,IF(I271=$BE$96,$BE$97,1))*($BE$102*AQ271)*$AZ$97</f>
        <v>0</v>
      </c>
      <c r="BF271" s="172">
        <f>IF('[1]Cockpit Retorno'!$C$65=Sim,Mestre!BA271,SUM(BB271:BE271)+(IF(K271=$K$56,AQ271*MOE_IRRF_LR,0)))</f>
        <v>0</v>
      </c>
      <c r="BG271" s="174">
        <f>IF(AA271&gt;0,0,IF(Z271=$Z$82,AG271*1,(IF(Z271=$Z$81,AG271*1,0))))</f>
        <v>0</v>
      </c>
      <c r="BH271" s="174">
        <f>IF(AA271&gt;0,0,IF(Z271=$Z$83,AG271*1,IF(Z271=$Z$81,AG271*1,0)))</f>
        <v>0</v>
      </c>
      <c r="BI271" s="174">
        <f>IF(AA271&gt;0,0,IF(Z271=$Z$84,AG271*1,IF(Z271=$Z$93,AG271*2,IF(Z271=$Z$100,AG271,IF(Z271=$Z$81,AG271*2,IF(Z271=$Z$80,AG271*1,IF(Z271=$Z$79,AG271*3,IF(Z271=$Z$78,AG271*2,0))))))))</f>
        <v>0</v>
      </c>
      <c r="BJ271" s="174">
        <f>IF(AA271&gt;0,0,IF(Z271=$Z$85,AG271,IF(Z271=$Z$93,AG271,IF(Z271=$Z$100,AG271,IF(Z271=$Z$81,AG271*1,IF(Z271=$Z$80,AG271*2,IF(Z271=$Z$79,AG271*2,IF(Z271=$Z$78,AG271*2,0))))))))</f>
        <v>0</v>
      </c>
      <c r="BK271" s="174">
        <f>IF(AA271&gt;0,0,IF(Z271=$Z$92,AG271,0))</f>
        <v>0</v>
      </c>
      <c r="BL271" s="174">
        <f>IF(AA271&gt;0,0,IF(Z271=$Z$91,AG271,0))</f>
        <v>0</v>
      </c>
      <c r="BM271" s="174">
        <f>IF(AA271&gt;0,0,IF(Z271=$Z$86,AG271,0))</f>
        <v>0</v>
      </c>
      <c r="BN271" s="174">
        <f>IF(AA271&gt;0,0,IF(Z271=$Z$87,AG271,0))</f>
        <v>0</v>
      </c>
      <c r="BO271" s="174">
        <f>IF(AA271&gt;0,0,IF(Z271=$Z$88,AG271,0))</f>
        <v>0</v>
      </c>
      <c r="BP271" s="174">
        <f>IF(AA271&gt;0,0,IF(Z271=$Z$89,AG271,0))</f>
        <v>0</v>
      </c>
      <c r="BQ271" s="174">
        <f>IF(AA271&gt;0,0,IF(Z271=$Z$90,AG271,0))</f>
        <v>0</v>
      </c>
      <c r="BR271" s="174">
        <f>IF(Z271=$Z$82,AA271*AG271,0)</f>
        <v>0</v>
      </c>
      <c r="BS271" s="174">
        <f>IF(Z271=$Z$83,AA271*AG271,0)</f>
        <v>0</v>
      </c>
      <c r="BT271" s="174">
        <f>IF(AA271&lt;1,0,IF(Z271=$Z$84,AA271*AG271,IF(Z271=$Z$93,"ERRO",IF(Z271=$Z$100,"ERRO",0))))</f>
        <v>0</v>
      </c>
      <c r="BU271" s="174">
        <f>IF(AA271&lt;1,0,IF(Z271=$Z$85,AA271*AG271,IF(Z271=$Z$93,"ERRO",IF(Z271=$Z$100,"ERRO",0))))</f>
        <v>0</v>
      </c>
      <c r="BV271" s="174">
        <f>IF(Z271=$Z$92,AA271*AG271,0)</f>
        <v>0</v>
      </c>
      <c r="BW271" s="174">
        <f>IF(Z271=$Z$91,AA271*AG271,0)</f>
        <v>0</v>
      </c>
      <c r="BX271" s="174">
        <f>IF(Z271=$Z$86,AA271*AG271,0)</f>
        <v>0</v>
      </c>
      <c r="BY271" s="174">
        <f>IF(Z271=$Z$87,AA271*AG271,0)</f>
        <v>0</v>
      </c>
      <c r="BZ271" s="174">
        <f>IF(Z271=$Z$88,AA271*AG271,0)</f>
        <v>0</v>
      </c>
      <c r="CA271" s="174">
        <f>IF(Z271=$Z$89,AA271*AG271,0)</f>
        <v>0</v>
      </c>
      <c r="CB271" s="174">
        <f>IF(Z271=$Z$90,AA271*AG271,0)</f>
        <v>0</v>
      </c>
      <c r="CC271" s="175">
        <f>IFERROR(IF(L271=$L$49,AG271*AH271*(1+AI271)*(1-AK271)*(1-AL271),0),0)</f>
        <v>249.24000000000004</v>
      </c>
      <c r="CD271" s="203"/>
      <c r="CE271" s="203"/>
      <c r="CF271" s="204"/>
      <c r="CG271" s="203"/>
      <c r="CH271" s="204"/>
      <c r="CI271" s="203"/>
      <c r="CJ271" s="205"/>
      <c r="CK271" s="205"/>
      <c r="CL271" s="205"/>
      <c r="CM271" s="205"/>
      <c r="CN271" s="206"/>
      <c r="CO271" s="204"/>
      <c r="CP271" s="207"/>
      <c r="CQ271" s="208"/>
      <c r="CR271" s="209"/>
      <c r="CS271" s="49"/>
      <c r="CT271" s="49"/>
      <c r="CU271" s="49"/>
      <c r="CV271" s="49"/>
      <c r="CW271" s="49"/>
      <c r="CX271" s="49"/>
      <c r="CY271" s="49"/>
      <c r="CZ271" s="49"/>
      <c r="DA271" s="49"/>
      <c r="DB271" s="49"/>
      <c r="DC271" s="49"/>
      <c r="DD271" s="49"/>
      <c r="DE271" s="49"/>
      <c r="DF271" s="49"/>
      <c r="DG271" s="49"/>
      <c r="DH271" s="49"/>
      <c r="DI271" s="49"/>
      <c r="DJ271" s="49"/>
      <c r="DK271" s="49"/>
      <c r="DL271" s="49"/>
      <c r="DM271" s="49"/>
      <c r="DN271" s="49"/>
      <c r="DO271" s="49"/>
      <c r="DP271" s="49"/>
      <c r="DQ271" s="49"/>
      <c r="DR271" s="49"/>
      <c r="DS271" s="49"/>
      <c r="DT271" s="49"/>
      <c r="DU271" s="49"/>
      <c r="DV271" s="49"/>
      <c r="DW271" s="49"/>
      <c r="DX271" s="49"/>
      <c r="DY271" s="49"/>
      <c r="DZ271" s="49"/>
      <c r="EA271" s="49"/>
      <c r="EB271" s="49"/>
      <c r="EC271" s="49"/>
      <c r="ED271" s="49"/>
      <c r="EE271" s="49"/>
      <c r="EF271" s="49"/>
      <c r="EG271" s="49"/>
      <c r="EH271" s="49"/>
      <c r="EI271" s="49"/>
      <c r="EJ271" s="49"/>
      <c r="EK271" s="49"/>
      <c r="EL271" s="49"/>
      <c r="EM271" s="49"/>
      <c r="EN271" s="49"/>
      <c r="EO271" s="49"/>
      <c r="EP271" s="49"/>
      <c r="EQ271" s="49"/>
      <c r="ER271" s="49"/>
      <c r="ES271" s="49"/>
      <c r="ET271" s="49"/>
      <c r="EU271" s="49"/>
      <c r="EV271" s="49"/>
      <c r="EW271" s="49"/>
      <c r="EX271" s="49"/>
      <c r="EY271" s="49"/>
      <c r="EZ271" s="49"/>
      <c r="FA271" s="49"/>
    </row>
    <row r="272" spans="1:157" s="210" customFormat="1" ht="51" x14ac:dyDescent="0.25">
      <c r="A272" s="113"/>
      <c r="B272" s="113"/>
      <c r="C272" s="113"/>
      <c r="D272" s="148"/>
      <c r="E272" s="115"/>
      <c r="F272" s="116"/>
      <c r="G272" s="149">
        <v>12</v>
      </c>
      <c r="H272" s="150" t="s">
        <v>7</v>
      </c>
      <c r="I272" s="151" t="str">
        <f t="shared" si="46"/>
        <v>Mercadorias</v>
      </c>
      <c r="J272" s="150" t="s">
        <v>15</v>
      </c>
      <c r="K272" s="152" t="s">
        <v>7</v>
      </c>
      <c r="L272" s="153" t="s">
        <v>21</v>
      </c>
      <c r="M272" s="154" t="s">
        <v>417</v>
      </c>
      <c r="N272" s="155" t="s">
        <v>370</v>
      </c>
      <c r="O272" s="155" t="s">
        <v>412</v>
      </c>
      <c r="P272" s="155"/>
      <c r="Q272" s="155"/>
      <c r="R272" s="155"/>
      <c r="S272" s="156"/>
      <c r="T272" s="156"/>
      <c r="U272" s="150"/>
      <c r="V272" s="150"/>
      <c r="W272" s="150"/>
      <c r="X272" s="157" t="s">
        <v>418</v>
      </c>
      <c r="Y272" s="150"/>
      <c r="Z272" s="150"/>
      <c r="AA272" s="158"/>
      <c r="AB272" s="155"/>
      <c r="AC272" s="150"/>
      <c r="AD272" s="155"/>
      <c r="AE272" s="155"/>
      <c r="AF272" s="150"/>
      <c r="AG272" s="159">
        <v>180</v>
      </c>
      <c r="AH272" s="211">
        <v>84.304500000000004</v>
      </c>
      <c r="AI272" s="202">
        <v>0</v>
      </c>
      <c r="AJ272" s="161">
        <v>0.12</v>
      </c>
      <c r="AK272" s="162"/>
      <c r="AL272" s="163"/>
      <c r="AM272" s="164">
        <f>(((IF(L272=$L$101,1,IF(L272=$L$47,1,0))*(AH272*(1-AK272)))*AG272)*(1-AL272))</f>
        <v>0</v>
      </c>
      <c r="AN272" s="165">
        <f>IF(K272=$K$50,AM272,IF(K272=$K$53,AM272,IF(K272=$K$54,AM272,IF(K272=$K$55,AM272,IF(K272=$K$56,AM272,IF(K272=$K$57,AM272,IF(K272=$K$58,AM272,IF(K272=$K$65,AM272,IF(K272=$K$66,AM272,IF(K272=$K$67,AM272,IF(K272=$K$68,AM272,IF(K272=$K$69,AM272,IF(K272=$K$51,AM272,(AM272*(1+AI272)))))))))))))))</f>
        <v>0</v>
      </c>
      <c r="AO272" s="166">
        <v>1.4</v>
      </c>
      <c r="AP272" s="160">
        <f t="shared" si="47"/>
        <v>0</v>
      </c>
      <c r="AQ272" s="167">
        <f t="shared" si="45"/>
        <v>0</v>
      </c>
      <c r="AR272" s="160">
        <f t="shared" si="48"/>
        <v>0</v>
      </c>
      <c r="AS272" s="168">
        <f t="shared" si="49"/>
        <v>0</v>
      </c>
      <c r="AT272" s="169" t="str">
        <f>K272</f>
        <v>MI</v>
      </c>
      <c r="AU272" s="169" t="str">
        <f>I272</f>
        <v>Mercadorias</v>
      </c>
      <c r="AV272" s="170"/>
      <c r="AW272" s="171">
        <f>IF(K272=$K$50,0,IF(K272=$K$53,0,IF(K272=$K$54,0,IF(K272=$K$55,0,IF(K272=$K$56,0,IF(K272=$K$57,0,IF(K272=$K$58,0,IF(K272=$K$65,0,IF(K272=$K$66,0,IF(K272=$K$67,0,IF(K272=$K$68,0,IF(K272=$K$69,0,IF(K272=$K$51,0,1))))))))))))*AM272*AI272)</f>
        <v>0</v>
      </c>
      <c r="AX272" s="172">
        <f>IF(K272=$K$50,0,IF(K272=$K$53,0,IF(K272=$K$54,0,IF(K272=$K$55,0,IF(K272=$K$56,0,IF(K272=$K$57,0,IF(K272=$K$58,0,IF(K272=$K$65,0,IF(K272=$K$66,0,IF(K272=$K$67,0,IF(K272=$K$68,0,IF(K272=$K$69,0,IF(K272=$K$51,0,1))))))))))))*AM272*AJ272*$AX$94)</f>
        <v>0</v>
      </c>
      <c r="AY272" s="172">
        <f>IF(K272=$K$53,0,IF(K272=$K$54,0,IF(K272=$K$55,0,IF(K272=$K$56,0,IF(K272=$K$58,0,IF(K272=$K$50,0,IF(K272=$K$65,0,IF(K272=$K$57,0,IF(K272=$K$51,0,AM272*$AY$102)))))))))</f>
        <v>0</v>
      </c>
      <c r="AZ272" s="172">
        <f>IF(K272=$K$53,0,IF(K272=$K$54,0,IF(K272=$K$55,0,IF(K272=$K$56,0,IF(K272=$K$58,0,IF(K272=$K$50,0,IF(K272=$K$65,0,IF(K272=$K$57,0,IF(K272=$K$51,0,AM272*$AZ$102)))))))))</f>
        <v>0</v>
      </c>
      <c r="BA272" s="172">
        <f t="shared" si="50"/>
        <v>0</v>
      </c>
      <c r="BB272" s="173">
        <f>IF($BA$97=1,AQ272*$BB$102,IF(K272=$K$50,0,IF(K272=$K$53,0,IF(K272=$K$54,0,IF(K272=$K$55,0,IF(K272=$K$56,0,IF(K272=$K$57,0,IF(K272=$K$58,0,IF(K272=$K$65,0,IF(K272=$K$66,0,IF(K272=$K$67,0,IF(K272=$K$68,0,IF(K272=$K$69,0,IF(K272=$K$51,0,1)))))))))))*AQ272*$BB$102)))</f>
        <v>0</v>
      </c>
      <c r="BC272" s="172">
        <f t="shared" si="51"/>
        <v>0</v>
      </c>
      <c r="BD272" s="172">
        <f t="shared" si="52"/>
        <v>0</v>
      </c>
      <c r="BE272" s="172">
        <f>IF($BE$95=I272,$BE$97,IF(I272=$BE$96,$BE$97,1))*($BE$102*AQ272)*$AZ$97</f>
        <v>0</v>
      </c>
      <c r="BF272" s="172">
        <f>IF('[1]Cockpit Retorno'!$C$65=Sim,Mestre!BA272,SUM(BB272:BE272)+(IF(K272=$K$56,AQ272*MOE_IRRF_LR,0)))</f>
        <v>0</v>
      </c>
      <c r="BG272" s="174">
        <f>IF(AA272&gt;0,0,IF(Z272=$Z$82,AG272*1,(IF(Z272=$Z$81,AG272*1,0))))</f>
        <v>0</v>
      </c>
      <c r="BH272" s="174">
        <f>IF(AA272&gt;0,0,IF(Z272=$Z$83,AG272*1,IF(Z272=$Z$81,AG272*1,0)))</f>
        <v>0</v>
      </c>
      <c r="BI272" s="174">
        <f>IF(AA272&gt;0,0,IF(Z272=$Z$84,AG272*1,IF(Z272=$Z$93,AG272*2,IF(Z272=$Z$100,AG272,IF(Z272=$Z$81,AG272*2,IF(Z272=$Z$80,AG272*1,IF(Z272=$Z$79,AG272*3,IF(Z272=$Z$78,AG272*2,0))))))))</f>
        <v>0</v>
      </c>
      <c r="BJ272" s="174">
        <f>IF(AA272&gt;0,0,IF(Z272=$Z$85,AG272,IF(Z272=$Z$93,AG272,IF(Z272=$Z$100,AG272,IF(Z272=$Z$81,AG272*1,IF(Z272=$Z$80,AG272*2,IF(Z272=$Z$79,AG272*2,IF(Z272=$Z$78,AG272*2,0))))))))</f>
        <v>0</v>
      </c>
      <c r="BK272" s="174">
        <f>IF(AA272&gt;0,0,IF(Z272=$Z$92,AG272,0))</f>
        <v>0</v>
      </c>
      <c r="BL272" s="174">
        <f>IF(AA272&gt;0,0,IF(Z272=$Z$91,AG272,0))</f>
        <v>0</v>
      </c>
      <c r="BM272" s="174">
        <f>IF(AA272&gt;0,0,IF(Z272=$Z$86,AG272,0))</f>
        <v>0</v>
      </c>
      <c r="BN272" s="174">
        <f>IF(AA272&gt;0,0,IF(Z272=$Z$87,AG272,0))</f>
        <v>0</v>
      </c>
      <c r="BO272" s="174">
        <f>IF(AA272&gt;0,0,IF(Z272=$Z$88,AG272,0))</f>
        <v>0</v>
      </c>
      <c r="BP272" s="174">
        <f>IF(AA272&gt;0,0,IF(Z272=$Z$89,AG272,0))</f>
        <v>0</v>
      </c>
      <c r="BQ272" s="174">
        <f>IF(AA272&gt;0,0,IF(Z272=$Z$90,AG272,0))</f>
        <v>0</v>
      </c>
      <c r="BR272" s="174">
        <f>IF(Z272=$Z$82,AA272*AG272,0)</f>
        <v>0</v>
      </c>
      <c r="BS272" s="174">
        <f>IF(Z272=$Z$83,AA272*AG272,0)</f>
        <v>0</v>
      </c>
      <c r="BT272" s="174">
        <f>IF(AA272&lt;1,0,IF(Z272=$Z$84,AA272*AG272,IF(Z272=$Z$93,"ERRO",IF(Z272=$Z$100,"ERRO",0))))</f>
        <v>0</v>
      </c>
      <c r="BU272" s="174">
        <f>IF(AA272&lt;1,0,IF(Z272=$Z$85,AA272*AG272,IF(Z272=$Z$93,"ERRO",IF(Z272=$Z$100,"ERRO",0))))</f>
        <v>0</v>
      </c>
      <c r="BV272" s="174">
        <f>IF(Z272=$Z$92,AA272*AG272,0)</f>
        <v>0</v>
      </c>
      <c r="BW272" s="174">
        <f>IF(Z272=$Z$91,AA272*AG272,0)</f>
        <v>0</v>
      </c>
      <c r="BX272" s="174">
        <f>IF(Z272=$Z$86,AA272*AG272,0)</f>
        <v>0</v>
      </c>
      <c r="BY272" s="174">
        <f>IF(Z272=$Z$87,AA272*AG272,0)</f>
        <v>0</v>
      </c>
      <c r="BZ272" s="174">
        <f>IF(Z272=$Z$88,AA272*AG272,0)</f>
        <v>0</v>
      </c>
      <c r="CA272" s="174">
        <f>IF(Z272=$Z$89,AA272*AG272,0)</f>
        <v>0</v>
      </c>
      <c r="CB272" s="174">
        <f>IF(Z272=$Z$90,AA272*AG272,0)</f>
        <v>0</v>
      </c>
      <c r="CC272" s="175">
        <f>IFERROR(IF(L272=$L$49,AG272*AH272*(1+AI272)*(1-AK272)*(1-AL272),0),0)</f>
        <v>15174.810000000001</v>
      </c>
      <c r="CD272" s="203"/>
      <c r="CE272" s="203"/>
      <c r="CF272" s="204"/>
      <c r="CG272" s="203"/>
      <c r="CH272" s="204"/>
      <c r="CI272" s="203"/>
      <c r="CJ272" s="205"/>
      <c r="CK272" s="205"/>
      <c r="CL272" s="205"/>
      <c r="CM272" s="205"/>
      <c r="CN272" s="206"/>
      <c r="CO272" s="204"/>
      <c r="CP272" s="207"/>
      <c r="CQ272" s="208"/>
      <c r="CR272" s="209"/>
      <c r="CS272" s="49"/>
      <c r="CT272" s="49"/>
      <c r="CU272" s="49"/>
      <c r="CV272" s="49"/>
      <c r="CW272" s="49"/>
      <c r="CX272" s="49"/>
      <c r="CY272" s="49"/>
      <c r="CZ272" s="49"/>
      <c r="DA272" s="49"/>
      <c r="DB272" s="49"/>
      <c r="DC272" s="49"/>
      <c r="DD272" s="49"/>
      <c r="DE272" s="49"/>
      <c r="DF272" s="49"/>
      <c r="DG272" s="49"/>
      <c r="DH272" s="49"/>
      <c r="DI272" s="49"/>
      <c r="DJ272" s="49"/>
      <c r="DK272" s="49"/>
      <c r="DL272" s="49"/>
      <c r="DM272" s="49"/>
      <c r="DN272" s="49"/>
      <c r="DO272" s="49"/>
      <c r="DP272" s="49"/>
      <c r="DQ272" s="49"/>
      <c r="DR272" s="49"/>
      <c r="DS272" s="49"/>
      <c r="DT272" s="49"/>
      <c r="DU272" s="49"/>
      <c r="DV272" s="49"/>
      <c r="DW272" s="49"/>
      <c r="DX272" s="49"/>
      <c r="DY272" s="49"/>
      <c r="DZ272" s="49"/>
      <c r="EA272" s="49"/>
      <c r="EB272" s="49"/>
      <c r="EC272" s="49"/>
      <c r="ED272" s="49"/>
      <c r="EE272" s="49"/>
      <c r="EF272" s="49"/>
      <c r="EG272" s="49"/>
      <c r="EH272" s="49"/>
      <c r="EI272" s="49"/>
      <c r="EJ272" s="49"/>
      <c r="EK272" s="49"/>
      <c r="EL272" s="49"/>
      <c r="EM272" s="49"/>
      <c r="EN272" s="49"/>
      <c r="EO272" s="49"/>
      <c r="EP272" s="49"/>
      <c r="EQ272" s="49"/>
      <c r="ER272" s="49"/>
      <c r="ES272" s="49"/>
      <c r="ET272" s="49"/>
      <c r="EU272" s="49"/>
      <c r="EV272" s="49"/>
      <c r="EW272" s="49"/>
      <c r="EX272" s="49"/>
      <c r="EY272" s="49"/>
      <c r="EZ272" s="49"/>
      <c r="FA272" s="49"/>
    </row>
    <row r="273" spans="1:157" s="210" customFormat="1" ht="25.5" x14ac:dyDescent="0.25">
      <c r="A273" s="113"/>
      <c r="B273" s="113"/>
      <c r="C273" s="113"/>
      <c r="D273" s="148"/>
      <c r="E273" s="115"/>
      <c r="F273" s="116"/>
      <c r="G273" s="149"/>
      <c r="H273" s="150" t="s">
        <v>7</v>
      </c>
      <c r="I273" s="151" t="str">
        <f t="shared" si="46"/>
        <v>Mercadorias</v>
      </c>
      <c r="J273" s="150" t="s">
        <v>15</v>
      </c>
      <c r="K273" s="152" t="s">
        <v>7</v>
      </c>
      <c r="L273" s="153" t="s">
        <v>21</v>
      </c>
      <c r="M273" s="154" t="s">
        <v>414</v>
      </c>
      <c r="N273" s="155" t="s">
        <v>370</v>
      </c>
      <c r="O273" s="155" t="s">
        <v>412</v>
      </c>
      <c r="P273" s="155"/>
      <c r="Q273" s="155"/>
      <c r="R273" s="155"/>
      <c r="S273" s="156"/>
      <c r="T273" s="156"/>
      <c r="U273" s="150"/>
      <c r="V273" s="150"/>
      <c r="W273" s="150"/>
      <c r="X273" s="157" t="s">
        <v>419</v>
      </c>
      <c r="Y273" s="150"/>
      <c r="Z273" s="150"/>
      <c r="AA273" s="158"/>
      <c r="AB273" s="155"/>
      <c r="AC273" s="150"/>
      <c r="AD273" s="155"/>
      <c r="AE273" s="155"/>
      <c r="AF273" s="150"/>
      <c r="AG273" s="159">
        <v>60</v>
      </c>
      <c r="AH273" s="211">
        <v>18.460500000000003</v>
      </c>
      <c r="AI273" s="202">
        <v>0</v>
      </c>
      <c r="AJ273" s="161">
        <v>7.0000000000000007E-2</v>
      </c>
      <c r="AK273" s="162"/>
      <c r="AL273" s="163"/>
      <c r="AM273" s="164">
        <f>(((IF(L273=$L$101,1,IF(L273=$L$47,1,0))*(AH273*(1-AK273)))*AG273)*(1-AL273))</f>
        <v>0</v>
      </c>
      <c r="AN273" s="165">
        <f>IF(K273=$K$50,AM273,IF(K273=$K$53,AM273,IF(K273=$K$54,AM273,IF(K273=$K$55,AM273,IF(K273=$K$56,AM273,IF(K273=$K$57,AM273,IF(K273=$K$58,AM273,IF(K273=$K$65,AM273,IF(K273=$K$66,AM273,IF(K273=$K$67,AM273,IF(K273=$K$68,AM273,IF(K273=$K$69,AM273,IF(K273=$K$51,AM273,(AM273*(1+AI273)))))))))))))))</f>
        <v>0</v>
      </c>
      <c r="AO273" s="166">
        <v>1.4</v>
      </c>
      <c r="AP273" s="160">
        <f t="shared" si="47"/>
        <v>0</v>
      </c>
      <c r="AQ273" s="167">
        <f t="shared" si="45"/>
        <v>0</v>
      </c>
      <c r="AR273" s="160">
        <f t="shared" si="48"/>
        <v>0</v>
      </c>
      <c r="AS273" s="168">
        <f t="shared" si="49"/>
        <v>0</v>
      </c>
      <c r="AT273" s="169" t="str">
        <f>K273</f>
        <v>MI</v>
      </c>
      <c r="AU273" s="169" t="str">
        <f>I273</f>
        <v>Mercadorias</v>
      </c>
      <c r="AV273" s="170"/>
      <c r="AW273" s="171">
        <f>IF(K273=$K$50,0,IF(K273=$K$53,0,IF(K273=$K$54,0,IF(K273=$K$55,0,IF(K273=$K$56,0,IF(K273=$K$57,0,IF(K273=$K$58,0,IF(K273=$K$65,0,IF(K273=$K$66,0,IF(K273=$K$67,0,IF(K273=$K$68,0,IF(K273=$K$69,0,IF(K273=$K$51,0,1))))))))))))*AM273*AI273)</f>
        <v>0</v>
      </c>
      <c r="AX273" s="172">
        <f>IF(K273=$K$50,0,IF(K273=$K$53,0,IF(K273=$K$54,0,IF(K273=$K$55,0,IF(K273=$K$56,0,IF(K273=$K$57,0,IF(K273=$K$58,0,IF(K273=$K$65,0,IF(K273=$K$66,0,IF(K273=$K$67,0,IF(K273=$K$68,0,IF(K273=$K$69,0,IF(K273=$K$51,0,1))))))))))))*AM273*AJ273*$AX$94)</f>
        <v>0</v>
      </c>
      <c r="AY273" s="172">
        <f>IF(K273=$K$53,0,IF(K273=$K$54,0,IF(K273=$K$55,0,IF(K273=$K$56,0,IF(K273=$K$58,0,IF(K273=$K$50,0,IF(K273=$K$65,0,IF(K273=$K$57,0,IF(K273=$K$51,0,AM273*$AY$102)))))))))</f>
        <v>0</v>
      </c>
      <c r="AZ273" s="172">
        <f>IF(K273=$K$53,0,IF(K273=$K$54,0,IF(K273=$K$55,0,IF(K273=$K$56,0,IF(K273=$K$58,0,IF(K273=$K$50,0,IF(K273=$K$65,0,IF(K273=$K$57,0,IF(K273=$K$51,0,AM273*$AZ$102)))))))))</f>
        <v>0</v>
      </c>
      <c r="BA273" s="172">
        <f t="shared" si="50"/>
        <v>0</v>
      </c>
      <c r="BB273" s="173">
        <f>IF($BA$97=1,AQ273*$BB$102,IF(K273=$K$50,0,IF(K273=$K$53,0,IF(K273=$K$54,0,IF(K273=$K$55,0,IF(K273=$K$56,0,IF(K273=$K$57,0,IF(K273=$K$58,0,IF(K273=$K$65,0,IF(K273=$K$66,0,IF(K273=$K$67,0,IF(K273=$K$68,0,IF(K273=$K$69,0,IF(K273=$K$51,0,1)))))))))))*AQ273*$BB$102)))</f>
        <v>0</v>
      </c>
      <c r="BC273" s="172">
        <f t="shared" si="51"/>
        <v>0</v>
      </c>
      <c r="BD273" s="172">
        <f t="shared" si="52"/>
        <v>0</v>
      </c>
      <c r="BE273" s="172">
        <f>IF($BE$95=I273,$BE$97,IF(I273=$BE$96,$BE$97,1))*($BE$102*AQ273)*$AZ$97</f>
        <v>0</v>
      </c>
      <c r="BF273" s="172">
        <f>IF('[1]Cockpit Retorno'!$C$65=Sim,Mestre!BA273,SUM(BB273:BE273)+(IF(K273=$K$56,AQ273*MOE_IRRF_LR,0)))</f>
        <v>0</v>
      </c>
      <c r="BG273" s="174">
        <f>IF(AA273&gt;0,0,IF(Z273=$Z$82,AG273*1,(IF(Z273=$Z$81,AG273*1,0))))</f>
        <v>0</v>
      </c>
      <c r="BH273" s="174">
        <f>IF(AA273&gt;0,0,IF(Z273=$Z$83,AG273*1,IF(Z273=$Z$81,AG273*1,0)))</f>
        <v>0</v>
      </c>
      <c r="BI273" s="174">
        <f>IF(AA273&gt;0,0,IF(Z273=$Z$84,AG273*1,IF(Z273=$Z$93,AG273*2,IF(Z273=$Z$100,AG273,IF(Z273=$Z$81,AG273*2,IF(Z273=$Z$80,AG273*1,IF(Z273=$Z$79,AG273*3,IF(Z273=$Z$78,AG273*2,0))))))))</f>
        <v>0</v>
      </c>
      <c r="BJ273" s="174">
        <f>IF(AA273&gt;0,0,IF(Z273=$Z$85,AG273,IF(Z273=$Z$93,AG273,IF(Z273=$Z$100,AG273,IF(Z273=$Z$81,AG273*1,IF(Z273=$Z$80,AG273*2,IF(Z273=$Z$79,AG273*2,IF(Z273=$Z$78,AG273*2,0))))))))</f>
        <v>0</v>
      </c>
      <c r="BK273" s="174">
        <f>IF(AA273&gt;0,0,IF(Z273=$Z$92,AG273,0))</f>
        <v>0</v>
      </c>
      <c r="BL273" s="174">
        <f>IF(AA273&gt;0,0,IF(Z273=$Z$91,AG273,0))</f>
        <v>0</v>
      </c>
      <c r="BM273" s="174">
        <f>IF(AA273&gt;0,0,IF(Z273=$Z$86,AG273,0))</f>
        <v>0</v>
      </c>
      <c r="BN273" s="174">
        <f>IF(AA273&gt;0,0,IF(Z273=$Z$87,AG273,0))</f>
        <v>0</v>
      </c>
      <c r="BO273" s="174">
        <f>IF(AA273&gt;0,0,IF(Z273=$Z$88,AG273,0))</f>
        <v>0</v>
      </c>
      <c r="BP273" s="174">
        <f>IF(AA273&gt;0,0,IF(Z273=$Z$89,AG273,0))</f>
        <v>0</v>
      </c>
      <c r="BQ273" s="174">
        <f>IF(AA273&gt;0,0,IF(Z273=$Z$90,AG273,0))</f>
        <v>0</v>
      </c>
      <c r="BR273" s="174">
        <f>IF(Z273=$Z$82,AA273*AG273,0)</f>
        <v>0</v>
      </c>
      <c r="BS273" s="174">
        <f>IF(Z273=$Z$83,AA273*AG273,0)</f>
        <v>0</v>
      </c>
      <c r="BT273" s="174">
        <f>IF(AA273&lt;1,0,IF(Z273=$Z$84,AA273*AG273,IF(Z273=$Z$93,"ERRO",IF(Z273=$Z$100,"ERRO",0))))</f>
        <v>0</v>
      </c>
      <c r="BU273" s="174">
        <f>IF(AA273&lt;1,0,IF(Z273=$Z$85,AA273*AG273,IF(Z273=$Z$93,"ERRO",IF(Z273=$Z$100,"ERRO",0))))</f>
        <v>0</v>
      </c>
      <c r="BV273" s="174">
        <f>IF(Z273=$Z$92,AA273*AG273,0)</f>
        <v>0</v>
      </c>
      <c r="BW273" s="174">
        <f>IF(Z273=$Z$91,AA273*AG273,0)</f>
        <v>0</v>
      </c>
      <c r="BX273" s="174">
        <f>IF(Z273=$Z$86,AA273*AG273,0)</f>
        <v>0</v>
      </c>
      <c r="BY273" s="174">
        <f>IF(Z273=$Z$87,AA273*AG273,0)</f>
        <v>0</v>
      </c>
      <c r="BZ273" s="174">
        <f>IF(Z273=$Z$88,AA273*AG273,0)</f>
        <v>0</v>
      </c>
      <c r="CA273" s="174">
        <f>IF(Z273=$Z$89,AA273*AG273,0)</f>
        <v>0</v>
      </c>
      <c r="CB273" s="174">
        <f>IF(Z273=$Z$90,AA273*AG273,0)</f>
        <v>0</v>
      </c>
      <c r="CC273" s="175">
        <f>IFERROR(IF(L273=$L$49,AG273*AH273*(1+AI273)*(1-AK273)*(1-AL273),0),0)</f>
        <v>1107.6300000000001</v>
      </c>
      <c r="CD273" s="203"/>
      <c r="CE273" s="203"/>
      <c r="CF273" s="204"/>
      <c r="CG273" s="203"/>
      <c r="CH273" s="204"/>
      <c r="CI273" s="203"/>
      <c r="CJ273" s="205"/>
      <c r="CK273" s="205"/>
      <c r="CL273" s="205"/>
      <c r="CM273" s="205"/>
      <c r="CN273" s="206"/>
      <c r="CO273" s="204"/>
      <c r="CP273" s="207"/>
      <c r="CQ273" s="208"/>
      <c r="CR273" s="209"/>
      <c r="CS273" s="49"/>
      <c r="CT273" s="49"/>
      <c r="CU273" s="49"/>
      <c r="CV273" s="49"/>
      <c r="CW273" s="49"/>
      <c r="CX273" s="49"/>
      <c r="CY273" s="49"/>
      <c r="CZ273" s="49"/>
      <c r="DA273" s="49"/>
      <c r="DB273" s="49"/>
      <c r="DC273" s="49"/>
      <c r="DD273" s="49"/>
      <c r="DE273" s="49"/>
      <c r="DF273" s="49"/>
      <c r="DG273" s="49"/>
      <c r="DH273" s="49"/>
      <c r="DI273" s="49"/>
      <c r="DJ273" s="49"/>
      <c r="DK273" s="49"/>
      <c r="DL273" s="49"/>
      <c r="DM273" s="49"/>
      <c r="DN273" s="49"/>
      <c r="DO273" s="49"/>
      <c r="DP273" s="49"/>
      <c r="DQ273" s="49"/>
      <c r="DR273" s="49"/>
      <c r="DS273" s="49"/>
      <c r="DT273" s="49"/>
      <c r="DU273" s="49"/>
      <c r="DV273" s="49"/>
      <c r="DW273" s="49"/>
      <c r="DX273" s="49"/>
      <c r="DY273" s="49"/>
      <c r="DZ273" s="49"/>
      <c r="EA273" s="49"/>
      <c r="EB273" s="49"/>
      <c r="EC273" s="49"/>
      <c r="ED273" s="49"/>
      <c r="EE273" s="49"/>
      <c r="EF273" s="49"/>
      <c r="EG273" s="49"/>
      <c r="EH273" s="49"/>
      <c r="EI273" s="49"/>
      <c r="EJ273" s="49"/>
      <c r="EK273" s="49"/>
      <c r="EL273" s="49"/>
      <c r="EM273" s="49"/>
      <c r="EN273" s="49"/>
      <c r="EO273" s="49"/>
      <c r="EP273" s="49"/>
      <c r="EQ273" s="49"/>
      <c r="ER273" s="49"/>
      <c r="ES273" s="49"/>
      <c r="ET273" s="49"/>
      <c r="EU273" s="49"/>
      <c r="EV273" s="49"/>
      <c r="EW273" s="49"/>
      <c r="EX273" s="49"/>
      <c r="EY273" s="49"/>
      <c r="EZ273" s="49"/>
      <c r="FA273" s="49"/>
    </row>
    <row r="274" spans="1:157" s="210" customFormat="1" ht="25.5" x14ac:dyDescent="0.25">
      <c r="A274" s="113"/>
      <c r="B274" s="113"/>
      <c r="C274" s="113"/>
      <c r="D274" s="148"/>
      <c r="E274" s="115"/>
      <c r="F274" s="116"/>
      <c r="G274" s="149"/>
      <c r="H274" s="150" t="s">
        <v>7</v>
      </c>
      <c r="I274" s="151" t="str">
        <f t="shared" si="46"/>
        <v>Mercadorias</v>
      </c>
      <c r="J274" s="150" t="s">
        <v>15</v>
      </c>
      <c r="K274" s="152" t="s">
        <v>7</v>
      </c>
      <c r="L274" s="153" t="s">
        <v>21</v>
      </c>
      <c r="M274" s="154" t="s">
        <v>414</v>
      </c>
      <c r="N274" s="155" t="s">
        <v>370</v>
      </c>
      <c r="O274" s="155" t="s">
        <v>412</v>
      </c>
      <c r="P274" s="155"/>
      <c r="Q274" s="155"/>
      <c r="R274" s="155"/>
      <c r="S274" s="156"/>
      <c r="T274" s="156"/>
      <c r="U274" s="150"/>
      <c r="V274" s="150"/>
      <c r="W274" s="150"/>
      <c r="X274" s="157" t="s">
        <v>420</v>
      </c>
      <c r="Y274" s="150"/>
      <c r="Z274" s="150"/>
      <c r="AA274" s="158"/>
      <c r="AB274" s="155"/>
      <c r="AC274" s="150"/>
      <c r="AD274" s="155"/>
      <c r="AE274" s="155"/>
      <c r="AF274" s="150"/>
      <c r="AG274" s="159">
        <v>60</v>
      </c>
      <c r="AH274" s="211">
        <v>8.6025000000000009</v>
      </c>
      <c r="AI274" s="202">
        <v>0</v>
      </c>
      <c r="AJ274" s="161">
        <v>7.0000000000000007E-2</v>
      </c>
      <c r="AK274" s="162"/>
      <c r="AL274" s="163"/>
      <c r="AM274" s="164">
        <f>(((IF(L274=$L$101,1,IF(L274=$L$47,1,0))*(AH274*(1-AK274)))*AG274)*(1-AL274))</f>
        <v>0</v>
      </c>
      <c r="AN274" s="165">
        <f>IF(K274=$K$50,AM274,IF(K274=$K$53,AM274,IF(K274=$K$54,AM274,IF(K274=$K$55,AM274,IF(K274=$K$56,AM274,IF(K274=$K$57,AM274,IF(K274=$K$58,AM274,IF(K274=$K$65,AM274,IF(K274=$K$66,AM274,IF(K274=$K$67,AM274,IF(K274=$K$68,AM274,IF(K274=$K$69,AM274,IF(K274=$K$51,AM274,(AM274*(1+AI274)))))))))))))))</f>
        <v>0</v>
      </c>
      <c r="AO274" s="166">
        <v>1.4</v>
      </c>
      <c r="AP274" s="160">
        <f t="shared" si="47"/>
        <v>0</v>
      </c>
      <c r="AQ274" s="167">
        <f t="shared" si="45"/>
        <v>0</v>
      </c>
      <c r="AR274" s="160">
        <f t="shared" si="48"/>
        <v>0</v>
      </c>
      <c r="AS274" s="168">
        <f t="shared" si="49"/>
        <v>0</v>
      </c>
      <c r="AT274" s="169" t="str">
        <f>K274</f>
        <v>MI</v>
      </c>
      <c r="AU274" s="169" t="str">
        <f>I274</f>
        <v>Mercadorias</v>
      </c>
      <c r="AV274" s="170"/>
      <c r="AW274" s="171">
        <f>IF(K274=$K$50,0,IF(K274=$K$53,0,IF(K274=$K$54,0,IF(K274=$K$55,0,IF(K274=$K$56,0,IF(K274=$K$57,0,IF(K274=$K$58,0,IF(K274=$K$65,0,IF(K274=$K$66,0,IF(K274=$K$67,0,IF(K274=$K$68,0,IF(K274=$K$69,0,IF(K274=$K$51,0,1))))))))))))*AM274*AI274)</f>
        <v>0</v>
      </c>
      <c r="AX274" s="172">
        <f>IF(K274=$K$50,0,IF(K274=$K$53,0,IF(K274=$K$54,0,IF(K274=$K$55,0,IF(K274=$K$56,0,IF(K274=$K$57,0,IF(K274=$K$58,0,IF(K274=$K$65,0,IF(K274=$K$66,0,IF(K274=$K$67,0,IF(K274=$K$68,0,IF(K274=$K$69,0,IF(K274=$K$51,0,1))))))))))))*AM274*AJ274*$AX$94)</f>
        <v>0</v>
      </c>
      <c r="AY274" s="172">
        <f>IF(K274=$K$53,0,IF(K274=$K$54,0,IF(K274=$K$55,0,IF(K274=$K$56,0,IF(K274=$K$58,0,IF(K274=$K$50,0,IF(K274=$K$65,0,IF(K274=$K$57,0,IF(K274=$K$51,0,AM274*$AY$102)))))))))</f>
        <v>0</v>
      </c>
      <c r="AZ274" s="172">
        <f>IF(K274=$K$53,0,IF(K274=$K$54,0,IF(K274=$K$55,0,IF(K274=$K$56,0,IF(K274=$K$58,0,IF(K274=$K$50,0,IF(K274=$K$65,0,IF(K274=$K$57,0,IF(K274=$K$51,0,AM274*$AZ$102)))))))))</f>
        <v>0</v>
      </c>
      <c r="BA274" s="172">
        <f t="shared" si="50"/>
        <v>0</v>
      </c>
      <c r="BB274" s="173">
        <f>IF($BA$97=1,AQ274*$BB$102,IF(K274=$K$50,0,IF(K274=$K$53,0,IF(K274=$K$54,0,IF(K274=$K$55,0,IF(K274=$K$56,0,IF(K274=$K$57,0,IF(K274=$K$58,0,IF(K274=$K$65,0,IF(K274=$K$66,0,IF(K274=$K$67,0,IF(K274=$K$68,0,IF(K274=$K$69,0,IF(K274=$K$51,0,1)))))))))))*AQ274*$BB$102)))</f>
        <v>0</v>
      </c>
      <c r="BC274" s="172">
        <f t="shared" si="51"/>
        <v>0</v>
      </c>
      <c r="BD274" s="172">
        <f t="shared" si="52"/>
        <v>0</v>
      </c>
      <c r="BE274" s="172">
        <f>IF($BE$95=I274,$BE$97,IF(I274=$BE$96,$BE$97,1))*($BE$102*AQ274)*$AZ$97</f>
        <v>0</v>
      </c>
      <c r="BF274" s="172">
        <f>IF('[1]Cockpit Retorno'!$C$65=Sim,Mestre!BA274,SUM(BB274:BE274)+(IF(K274=$K$56,AQ274*MOE_IRRF_LR,0)))</f>
        <v>0</v>
      </c>
      <c r="BG274" s="174">
        <f>IF(AA274&gt;0,0,IF(Z274=$Z$82,AG274*1,(IF(Z274=$Z$81,AG274*1,0))))</f>
        <v>0</v>
      </c>
      <c r="BH274" s="174">
        <f>IF(AA274&gt;0,0,IF(Z274=$Z$83,AG274*1,IF(Z274=$Z$81,AG274*1,0)))</f>
        <v>0</v>
      </c>
      <c r="BI274" s="174">
        <f>IF(AA274&gt;0,0,IF(Z274=$Z$84,AG274*1,IF(Z274=$Z$93,AG274*2,IF(Z274=$Z$100,AG274,IF(Z274=$Z$81,AG274*2,IF(Z274=$Z$80,AG274*1,IF(Z274=$Z$79,AG274*3,IF(Z274=$Z$78,AG274*2,0))))))))</f>
        <v>0</v>
      </c>
      <c r="BJ274" s="174">
        <f>IF(AA274&gt;0,0,IF(Z274=$Z$85,AG274,IF(Z274=$Z$93,AG274,IF(Z274=$Z$100,AG274,IF(Z274=$Z$81,AG274*1,IF(Z274=$Z$80,AG274*2,IF(Z274=$Z$79,AG274*2,IF(Z274=$Z$78,AG274*2,0))))))))</f>
        <v>0</v>
      </c>
      <c r="BK274" s="174">
        <f>IF(AA274&gt;0,0,IF(Z274=$Z$92,AG274,0))</f>
        <v>0</v>
      </c>
      <c r="BL274" s="174">
        <f>IF(AA274&gt;0,0,IF(Z274=$Z$91,AG274,0))</f>
        <v>0</v>
      </c>
      <c r="BM274" s="174">
        <f>IF(AA274&gt;0,0,IF(Z274=$Z$86,AG274,0))</f>
        <v>0</v>
      </c>
      <c r="BN274" s="174">
        <f>IF(AA274&gt;0,0,IF(Z274=$Z$87,AG274,0))</f>
        <v>0</v>
      </c>
      <c r="BO274" s="174">
        <f>IF(AA274&gt;0,0,IF(Z274=$Z$88,AG274,0))</f>
        <v>0</v>
      </c>
      <c r="BP274" s="174">
        <f>IF(AA274&gt;0,0,IF(Z274=$Z$89,AG274,0))</f>
        <v>0</v>
      </c>
      <c r="BQ274" s="174">
        <f>IF(AA274&gt;0,0,IF(Z274=$Z$90,AG274,0))</f>
        <v>0</v>
      </c>
      <c r="BR274" s="174">
        <f>IF(Z274=$Z$82,AA274*AG274,0)</f>
        <v>0</v>
      </c>
      <c r="BS274" s="174">
        <f>IF(Z274=$Z$83,AA274*AG274,0)</f>
        <v>0</v>
      </c>
      <c r="BT274" s="174">
        <f>IF(AA274&lt;1,0,IF(Z274=$Z$84,AA274*AG274,IF(Z274=$Z$93,"ERRO",IF(Z274=$Z$100,"ERRO",0))))</f>
        <v>0</v>
      </c>
      <c r="BU274" s="174">
        <f>IF(AA274&lt;1,0,IF(Z274=$Z$85,AA274*AG274,IF(Z274=$Z$93,"ERRO",IF(Z274=$Z$100,"ERRO",0))))</f>
        <v>0</v>
      </c>
      <c r="BV274" s="174">
        <f>IF(Z274=$Z$92,AA274*AG274,0)</f>
        <v>0</v>
      </c>
      <c r="BW274" s="174">
        <f>IF(Z274=$Z$91,AA274*AG274,0)</f>
        <v>0</v>
      </c>
      <c r="BX274" s="174">
        <f>IF(Z274=$Z$86,AA274*AG274,0)</f>
        <v>0</v>
      </c>
      <c r="BY274" s="174">
        <f>IF(Z274=$Z$87,AA274*AG274,0)</f>
        <v>0</v>
      </c>
      <c r="BZ274" s="174">
        <f>IF(Z274=$Z$88,AA274*AG274,0)</f>
        <v>0</v>
      </c>
      <c r="CA274" s="174">
        <f>IF(Z274=$Z$89,AA274*AG274,0)</f>
        <v>0</v>
      </c>
      <c r="CB274" s="174">
        <f>IF(Z274=$Z$90,AA274*AG274,0)</f>
        <v>0</v>
      </c>
      <c r="CC274" s="175">
        <f>IFERROR(IF(L274=$L$49,AG274*AH274*(1+AI274)*(1-AK274)*(1-AL274),0),0)</f>
        <v>516.15000000000009</v>
      </c>
      <c r="CD274" s="203"/>
      <c r="CE274" s="203"/>
      <c r="CF274" s="204"/>
      <c r="CG274" s="203"/>
      <c r="CH274" s="204"/>
      <c r="CI274" s="203"/>
      <c r="CJ274" s="205"/>
      <c r="CK274" s="205"/>
      <c r="CL274" s="205"/>
      <c r="CM274" s="205"/>
      <c r="CN274" s="206"/>
      <c r="CO274" s="204"/>
      <c r="CP274" s="207"/>
      <c r="CQ274" s="208"/>
      <c r="CR274" s="209"/>
      <c r="CS274" s="49"/>
      <c r="CT274" s="49"/>
      <c r="CU274" s="49"/>
      <c r="CV274" s="49"/>
      <c r="CW274" s="49"/>
      <c r="CX274" s="49"/>
      <c r="CY274" s="49"/>
      <c r="CZ274" s="49"/>
      <c r="DA274" s="49"/>
      <c r="DB274" s="49"/>
      <c r="DC274" s="49"/>
      <c r="DD274" s="49"/>
      <c r="DE274" s="49"/>
      <c r="DF274" s="49"/>
      <c r="DG274" s="49"/>
      <c r="DH274" s="49"/>
      <c r="DI274" s="49"/>
      <c r="DJ274" s="49"/>
      <c r="DK274" s="49"/>
      <c r="DL274" s="49"/>
      <c r="DM274" s="49"/>
      <c r="DN274" s="49"/>
      <c r="DO274" s="49"/>
      <c r="DP274" s="49"/>
      <c r="DQ274" s="49"/>
      <c r="DR274" s="49"/>
      <c r="DS274" s="49"/>
      <c r="DT274" s="49"/>
      <c r="DU274" s="49"/>
      <c r="DV274" s="49"/>
      <c r="DW274" s="49"/>
      <c r="DX274" s="49"/>
      <c r="DY274" s="49"/>
      <c r="DZ274" s="49"/>
      <c r="EA274" s="49"/>
      <c r="EB274" s="49"/>
      <c r="EC274" s="49"/>
      <c r="ED274" s="49"/>
      <c r="EE274" s="49"/>
      <c r="EF274" s="49"/>
      <c r="EG274" s="49"/>
      <c r="EH274" s="49"/>
      <c r="EI274" s="49"/>
      <c r="EJ274" s="49"/>
      <c r="EK274" s="49"/>
      <c r="EL274" s="49"/>
      <c r="EM274" s="49"/>
      <c r="EN274" s="49"/>
      <c r="EO274" s="49"/>
      <c r="EP274" s="49"/>
      <c r="EQ274" s="49"/>
      <c r="ER274" s="49"/>
      <c r="ES274" s="49"/>
      <c r="ET274" s="49"/>
      <c r="EU274" s="49"/>
      <c r="EV274" s="49"/>
      <c r="EW274" s="49"/>
      <c r="EX274" s="49"/>
      <c r="EY274" s="49"/>
      <c r="EZ274" s="49"/>
      <c r="FA274" s="49"/>
    </row>
    <row r="275" spans="1:157" s="210" customFormat="1" ht="63.75" x14ac:dyDescent="0.25">
      <c r="A275" s="113"/>
      <c r="B275" s="113"/>
      <c r="C275" s="113"/>
      <c r="D275" s="148"/>
      <c r="E275" s="115"/>
      <c r="F275" s="116"/>
      <c r="G275" s="149"/>
      <c r="H275" s="150" t="s">
        <v>7</v>
      </c>
      <c r="I275" s="151" t="str">
        <f t="shared" si="46"/>
        <v>Mercadorias</v>
      </c>
      <c r="J275" s="150" t="s">
        <v>15</v>
      </c>
      <c r="K275" s="152" t="s">
        <v>7</v>
      </c>
      <c r="L275" s="153" t="s">
        <v>12</v>
      </c>
      <c r="M275" s="154" t="s">
        <v>421</v>
      </c>
      <c r="N275" s="155" t="s">
        <v>370</v>
      </c>
      <c r="O275" s="155" t="s">
        <v>412</v>
      </c>
      <c r="P275" s="155"/>
      <c r="Q275" s="155"/>
      <c r="R275" s="155"/>
      <c r="S275" s="156"/>
      <c r="T275" s="156"/>
      <c r="U275" s="150"/>
      <c r="V275" s="150"/>
      <c r="W275" s="150"/>
      <c r="X275" s="157" t="s">
        <v>422</v>
      </c>
      <c r="Y275" s="150"/>
      <c r="Z275" s="150"/>
      <c r="AA275" s="158"/>
      <c r="AB275" s="155"/>
      <c r="AC275" s="150"/>
      <c r="AD275" s="155"/>
      <c r="AE275" s="155"/>
      <c r="AF275" s="150"/>
      <c r="AG275" s="159">
        <v>200</v>
      </c>
      <c r="AH275" s="211">
        <v>13.020000000000001</v>
      </c>
      <c r="AI275" s="202">
        <v>0</v>
      </c>
      <c r="AJ275" s="161">
        <v>0.12</v>
      </c>
      <c r="AK275" s="162"/>
      <c r="AL275" s="163"/>
      <c r="AM275" s="164">
        <f>(((IF(L275=$L$101,1,IF(L275=$L$47,1,0))*(AH275*(1-AK275)))*AG275)*(1-AL275))</f>
        <v>2604.0000000000005</v>
      </c>
      <c r="AN275" s="165">
        <f>IF(K275=$K$50,AM275,IF(K275=$K$53,AM275,IF(K275=$K$54,AM275,IF(K275=$K$55,AM275,IF(K275=$K$56,AM275,IF(K275=$K$57,AM275,IF(K275=$K$58,AM275,IF(K275=$K$65,AM275,IF(K275=$K$66,AM275,IF(K275=$K$67,AM275,IF(K275=$K$68,AM275,IF(K275=$K$69,AM275,IF(K275=$K$51,AM275,(AM275*(1+AI275)))))))))))))))</f>
        <v>2604.0000000000005</v>
      </c>
      <c r="AO275" s="166">
        <v>1.4</v>
      </c>
      <c r="AP275" s="160">
        <f t="shared" si="47"/>
        <v>3645.6000000000004</v>
      </c>
      <c r="AQ275" s="167">
        <f t="shared" si="45"/>
        <v>3158.7859535331345</v>
      </c>
      <c r="AR275" s="160">
        <f t="shared" si="48"/>
        <v>3645.6000000000004</v>
      </c>
      <c r="AS275" s="168">
        <f t="shared" si="49"/>
        <v>0</v>
      </c>
      <c r="AT275" s="169" t="str">
        <f>K275</f>
        <v>MI</v>
      </c>
      <c r="AU275" s="169" t="str">
        <f>I275</f>
        <v>Mercadorias</v>
      </c>
      <c r="AV275" s="170"/>
      <c r="AW275" s="171">
        <f>IF(K275=$K$50,0,IF(K275=$K$53,0,IF(K275=$K$54,0,IF(K275=$K$55,0,IF(K275=$K$56,0,IF(K275=$K$57,0,IF(K275=$K$58,0,IF(K275=$K$65,0,IF(K275=$K$66,0,IF(K275=$K$67,0,IF(K275=$K$68,0,IF(K275=$K$69,0,IF(K275=$K$51,0,1))))))))))))*AM275*AI275)</f>
        <v>0</v>
      </c>
      <c r="AX275" s="172">
        <f>IF(K275=$K$50,0,IF(K275=$K$53,0,IF(K275=$K$54,0,IF(K275=$K$55,0,IF(K275=$K$56,0,IF(K275=$K$57,0,IF(K275=$K$58,0,IF(K275=$K$65,0,IF(K275=$K$66,0,IF(K275=$K$67,0,IF(K275=$K$68,0,IF(K275=$K$69,0,IF(K275=$K$51,0,1))))))))))))*AM275*AJ275*$AX$94)</f>
        <v>0</v>
      </c>
      <c r="AY275" s="172">
        <f>IF(K275=$K$53,0,IF(K275=$K$54,0,IF(K275=$K$55,0,IF(K275=$K$56,0,IF(K275=$K$58,0,IF(K275=$K$50,0,IF(K275=$K$65,0,IF(K275=$K$57,0,IF(K275=$K$51,0,AM275*$AY$102)))))))))</f>
        <v>42.966000000000008</v>
      </c>
      <c r="AZ275" s="172">
        <f>IF(K275=$K$53,0,IF(K275=$K$54,0,IF(K275=$K$55,0,IF(K275=$K$56,0,IF(K275=$K$58,0,IF(K275=$K$50,0,IF(K275=$K$65,0,IF(K275=$K$57,0,IF(K275=$K$51,0,AM275*$AZ$102)))))))))</f>
        <v>197.90400000000002</v>
      </c>
      <c r="BA275" s="172">
        <f t="shared" si="50"/>
        <v>240.87000000000003</v>
      </c>
      <c r="BB275" s="173">
        <f>IF($BA$97=1,AQ275*$BB$102,IF(K275=$K$50,0,IF(K275=$K$53,0,IF(K275=$K$54,0,IF(K275=$K$55,0,IF(K275=$K$56,0,IF(K275=$K$57,0,IF(K275=$K$58,0,IF(K275=$K$65,0,IF(K275=$K$66,0,IF(K275=$K$67,0,IF(K275=$K$68,0,IF(K275=$K$69,0,IF(K275=$K$51,0,1)))))))))))*AQ275*$BB$102)))</f>
        <v>0</v>
      </c>
      <c r="BC275" s="172">
        <f t="shared" si="51"/>
        <v>20.532108697965377</v>
      </c>
      <c r="BD275" s="172">
        <f t="shared" si="52"/>
        <v>94.763578605994027</v>
      </c>
      <c r="BE275" s="172">
        <f>IF($BE$95=I275,$BE$97,IF(I275=$BE$96,$BE$97,1))*($BE$102*AQ275)*$AZ$97</f>
        <v>0</v>
      </c>
      <c r="BF275" s="172">
        <f>IF('[1]Cockpit Retorno'!$C$65=Sim,Mestre!BA275,SUM(BB275:BE275)+(IF(K275=$K$56,AQ275*MOE_IRRF_LR,0)))</f>
        <v>115.2956873039594</v>
      </c>
      <c r="BG275" s="174">
        <f>IF(AA275&gt;0,0,IF(Z275=$Z$82,AG275*1,(IF(Z275=$Z$81,AG275*1,0))))</f>
        <v>0</v>
      </c>
      <c r="BH275" s="174">
        <f>IF(AA275&gt;0,0,IF(Z275=$Z$83,AG275*1,IF(Z275=$Z$81,AG275*1,0)))</f>
        <v>0</v>
      </c>
      <c r="BI275" s="174">
        <f>IF(AA275&gt;0,0,IF(Z275=$Z$84,AG275*1,IF(Z275=$Z$93,AG275*2,IF(Z275=$Z$100,AG275,IF(Z275=$Z$81,AG275*2,IF(Z275=$Z$80,AG275*1,IF(Z275=$Z$79,AG275*3,IF(Z275=$Z$78,AG275*2,0))))))))</f>
        <v>0</v>
      </c>
      <c r="BJ275" s="174">
        <f>IF(AA275&gt;0,0,IF(Z275=$Z$85,AG275,IF(Z275=$Z$93,AG275,IF(Z275=$Z$100,AG275,IF(Z275=$Z$81,AG275*1,IF(Z275=$Z$80,AG275*2,IF(Z275=$Z$79,AG275*2,IF(Z275=$Z$78,AG275*2,0))))))))</f>
        <v>0</v>
      </c>
      <c r="BK275" s="174">
        <f>IF(AA275&gt;0,0,IF(Z275=$Z$92,AG275,0))</f>
        <v>0</v>
      </c>
      <c r="BL275" s="174">
        <f>IF(AA275&gt;0,0,IF(Z275=$Z$91,AG275,0))</f>
        <v>0</v>
      </c>
      <c r="BM275" s="174">
        <f>IF(AA275&gt;0,0,IF(Z275=$Z$86,AG275,0))</f>
        <v>0</v>
      </c>
      <c r="BN275" s="174">
        <f>IF(AA275&gt;0,0,IF(Z275=$Z$87,AG275,0))</f>
        <v>0</v>
      </c>
      <c r="BO275" s="174">
        <f>IF(AA275&gt;0,0,IF(Z275=$Z$88,AG275,0))</f>
        <v>0</v>
      </c>
      <c r="BP275" s="174">
        <f>IF(AA275&gt;0,0,IF(Z275=$Z$89,AG275,0))</f>
        <v>0</v>
      </c>
      <c r="BQ275" s="174">
        <f>IF(AA275&gt;0,0,IF(Z275=$Z$90,AG275,0))</f>
        <v>0</v>
      </c>
      <c r="BR275" s="174">
        <f>IF(Z275=$Z$82,AA275*AG275,0)</f>
        <v>0</v>
      </c>
      <c r="BS275" s="174">
        <f>IF(Z275=$Z$83,AA275*AG275,0)</f>
        <v>0</v>
      </c>
      <c r="BT275" s="174">
        <f>IF(AA275&lt;1,0,IF(Z275=$Z$84,AA275*AG275,IF(Z275=$Z$93,"ERRO",IF(Z275=$Z$100,"ERRO",0))))</f>
        <v>0</v>
      </c>
      <c r="BU275" s="174">
        <f>IF(AA275&lt;1,0,IF(Z275=$Z$85,AA275*AG275,IF(Z275=$Z$93,"ERRO",IF(Z275=$Z$100,"ERRO",0))))</f>
        <v>0</v>
      </c>
      <c r="BV275" s="174">
        <f>IF(Z275=$Z$92,AA275*AG275,0)</f>
        <v>0</v>
      </c>
      <c r="BW275" s="174">
        <f>IF(Z275=$Z$91,AA275*AG275,0)</f>
        <v>0</v>
      </c>
      <c r="BX275" s="174">
        <f>IF(Z275=$Z$86,AA275*AG275,0)</f>
        <v>0</v>
      </c>
      <c r="BY275" s="174">
        <f>IF(Z275=$Z$87,AA275*AG275,0)</f>
        <v>0</v>
      </c>
      <c r="BZ275" s="174">
        <f>IF(Z275=$Z$88,AA275*AG275,0)</f>
        <v>0</v>
      </c>
      <c r="CA275" s="174">
        <f>IF(Z275=$Z$89,AA275*AG275,0)</f>
        <v>0</v>
      </c>
      <c r="CB275" s="174">
        <f>IF(Z275=$Z$90,AA275*AG275,0)</f>
        <v>0</v>
      </c>
      <c r="CC275" s="175">
        <f>IFERROR(IF(L275=$L$49,AG275*AH275*(1+AI275)*(1-AK275)*(1-AL275),0),0)</f>
        <v>0</v>
      </c>
      <c r="CD275" s="203"/>
      <c r="CE275" s="203"/>
      <c r="CF275" s="204"/>
      <c r="CG275" s="203"/>
      <c r="CH275" s="204"/>
      <c r="CI275" s="203"/>
      <c r="CJ275" s="205"/>
      <c r="CK275" s="205"/>
      <c r="CL275" s="205"/>
      <c r="CM275" s="205"/>
      <c r="CN275" s="206"/>
      <c r="CO275" s="204"/>
      <c r="CP275" s="207"/>
      <c r="CQ275" s="208"/>
      <c r="CR275" s="209"/>
      <c r="CS275" s="49"/>
      <c r="CT275" s="49"/>
      <c r="CU275" s="49"/>
      <c r="CV275" s="49"/>
      <c r="CW275" s="49"/>
      <c r="CX275" s="49"/>
      <c r="CY275" s="49"/>
      <c r="CZ275" s="49"/>
      <c r="DA275" s="49"/>
      <c r="DB275" s="49"/>
      <c r="DC275" s="49"/>
      <c r="DD275" s="49"/>
      <c r="DE275" s="49"/>
      <c r="DF275" s="49"/>
      <c r="DG275" s="49"/>
      <c r="DH275" s="49"/>
      <c r="DI275" s="49"/>
      <c r="DJ275" s="49"/>
      <c r="DK275" s="49"/>
      <c r="DL275" s="49"/>
      <c r="DM275" s="49"/>
      <c r="DN275" s="49"/>
      <c r="DO275" s="49"/>
      <c r="DP275" s="49"/>
      <c r="DQ275" s="49"/>
      <c r="DR275" s="49"/>
      <c r="DS275" s="49"/>
      <c r="DT275" s="49"/>
      <c r="DU275" s="49"/>
      <c r="DV275" s="49"/>
      <c r="DW275" s="49"/>
      <c r="DX275" s="49"/>
      <c r="DY275" s="49"/>
      <c r="DZ275" s="49"/>
      <c r="EA275" s="49"/>
      <c r="EB275" s="49"/>
      <c r="EC275" s="49"/>
      <c r="ED275" s="49"/>
      <c r="EE275" s="49"/>
      <c r="EF275" s="49"/>
      <c r="EG275" s="49"/>
      <c r="EH275" s="49"/>
      <c r="EI275" s="49"/>
      <c r="EJ275" s="49"/>
      <c r="EK275" s="49"/>
      <c r="EL275" s="49"/>
      <c r="EM275" s="49"/>
      <c r="EN275" s="49"/>
      <c r="EO275" s="49"/>
      <c r="EP275" s="49"/>
      <c r="EQ275" s="49"/>
      <c r="ER275" s="49"/>
      <c r="ES275" s="49"/>
      <c r="ET275" s="49"/>
      <c r="EU275" s="49"/>
      <c r="EV275" s="49"/>
      <c r="EW275" s="49"/>
      <c r="EX275" s="49"/>
      <c r="EY275" s="49"/>
      <c r="EZ275" s="49"/>
      <c r="FA275" s="49"/>
    </row>
    <row r="276" spans="1:157" s="210" customFormat="1" ht="63.75" x14ac:dyDescent="0.25">
      <c r="A276" s="113"/>
      <c r="B276" s="113"/>
      <c r="C276" s="113"/>
      <c r="D276" s="148"/>
      <c r="E276" s="115"/>
      <c r="F276" s="116"/>
      <c r="G276" s="149"/>
      <c r="H276" s="150" t="s">
        <v>7</v>
      </c>
      <c r="I276" s="151" t="str">
        <f t="shared" si="46"/>
        <v>Mercadorias</v>
      </c>
      <c r="J276" s="150" t="s">
        <v>15</v>
      </c>
      <c r="K276" s="152" t="s">
        <v>7</v>
      </c>
      <c r="L276" s="153" t="s">
        <v>12</v>
      </c>
      <c r="M276" s="154" t="s">
        <v>421</v>
      </c>
      <c r="N276" s="155" t="s">
        <v>370</v>
      </c>
      <c r="O276" s="155" t="s">
        <v>412</v>
      </c>
      <c r="P276" s="155"/>
      <c r="Q276" s="155"/>
      <c r="R276" s="155"/>
      <c r="S276" s="156"/>
      <c r="T276" s="156"/>
      <c r="U276" s="150"/>
      <c r="V276" s="150"/>
      <c r="W276" s="150"/>
      <c r="X276" s="157" t="s">
        <v>423</v>
      </c>
      <c r="Y276" s="150"/>
      <c r="Z276" s="150"/>
      <c r="AA276" s="158"/>
      <c r="AB276" s="155"/>
      <c r="AC276" s="150"/>
      <c r="AD276" s="155"/>
      <c r="AE276" s="155"/>
      <c r="AF276" s="150"/>
      <c r="AG276" s="159">
        <v>90</v>
      </c>
      <c r="AH276" s="211">
        <v>22.32</v>
      </c>
      <c r="AI276" s="202">
        <v>0</v>
      </c>
      <c r="AJ276" s="161">
        <v>0.12</v>
      </c>
      <c r="AK276" s="162"/>
      <c r="AL276" s="163"/>
      <c r="AM276" s="164">
        <f>(((IF(L276=$L$101,1,IF(L276=$L$47,1,0))*(AH276*(1-AK276)))*AG276)*(1-AL276))</f>
        <v>2008.8</v>
      </c>
      <c r="AN276" s="165">
        <f>IF(K276=$K$50,AM276,IF(K276=$K$53,AM276,IF(K276=$K$54,AM276,IF(K276=$K$55,AM276,IF(K276=$K$56,AM276,IF(K276=$K$57,AM276,IF(K276=$K$58,AM276,IF(K276=$K$65,AM276,IF(K276=$K$66,AM276,IF(K276=$K$67,AM276,IF(K276=$K$68,AM276,IF(K276=$K$69,AM276,IF(K276=$K$51,AM276,(AM276*(1+AI276)))))))))))))))</f>
        <v>2008.8</v>
      </c>
      <c r="AO276" s="166">
        <v>1.4</v>
      </c>
      <c r="AP276" s="160">
        <f t="shared" si="47"/>
        <v>2812.3199999999997</v>
      </c>
      <c r="AQ276" s="167">
        <f t="shared" si="45"/>
        <v>2436.7777355827034</v>
      </c>
      <c r="AR276" s="160">
        <f t="shared" si="48"/>
        <v>2812.3199999999997</v>
      </c>
      <c r="AS276" s="168">
        <f t="shared" si="49"/>
        <v>0</v>
      </c>
      <c r="AT276" s="169" t="str">
        <f>K276</f>
        <v>MI</v>
      </c>
      <c r="AU276" s="169" t="str">
        <f>I276</f>
        <v>Mercadorias</v>
      </c>
      <c r="AV276" s="170"/>
      <c r="AW276" s="171">
        <f>IF(K276=$K$50,0,IF(K276=$K$53,0,IF(K276=$K$54,0,IF(K276=$K$55,0,IF(K276=$K$56,0,IF(K276=$K$57,0,IF(K276=$K$58,0,IF(K276=$K$65,0,IF(K276=$K$66,0,IF(K276=$K$67,0,IF(K276=$K$68,0,IF(K276=$K$69,0,IF(K276=$K$51,0,1))))))))))))*AM276*AI276)</f>
        <v>0</v>
      </c>
      <c r="AX276" s="172">
        <f>IF(K276=$K$50,0,IF(K276=$K$53,0,IF(K276=$K$54,0,IF(K276=$K$55,0,IF(K276=$K$56,0,IF(K276=$K$57,0,IF(K276=$K$58,0,IF(K276=$K$65,0,IF(K276=$K$66,0,IF(K276=$K$67,0,IF(K276=$K$68,0,IF(K276=$K$69,0,IF(K276=$K$51,0,1))))))))))))*AM276*AJ276*$AX$94)</f>
        <v>0</v>
      </c>
      <c r="AY276" s="172">
        <f>IF(K276=$K$53,0,IF(K276=$K$54,0,IF(K276=$K$55,0,IF(K276=$K$56,0,IF(K276=$K$58,0,IF(K276=$K$50,0,IF(K276=$K$65,0,IF(K276=$K$57,0,IF(K276=$K$51,0,AM276*$AY$102)))))))))</f>
        <v>33.145200000000003</v>
      </c>
      <c r="AZ276" s="172">
        <f>IF(K276=$K$53,0,IF(K276=$K$54,0,IF(K276=$K$55,0,IF(K276=$K$56,0,IF(K276=$K$58,0,IF(K276=$K$50,0,IF(K276=$K$65,0,IF(K276=$K$57,0,IF(K276=$K$51,0,AM276*$AZ$102)))))))))</f>
        <v>152.6688</v>
      </c>
      <c r="BA276" s="172">
        <f t="shared" si="50"/>
        <v>185.81400000000002</v>
      </c>
      <c r="BB276" s="173">
        <f>IF($BA$97=1,AQ276*$BB$102,IF(K276=$K$50,0,IF(K276=$K$53,0,IF(K276=$K$54,0,IF(K276=$K$55,0,IF(K276=$K$56,0,IF(K276=$K$57,0,IF(K276=$K$58,0,IF(K276=$K$65,0,IF(K276=$K$66,0,IF(K276=$K$67,0,IF(K276=$K$68,0,IF(K276=$K$69,0,IF(K276=$K$51,0,1)))))))))))*AQ276*$BB$102)))</f>
        <v>0</v>
      </c>
      <c r="BC276" s="172">
        <f t="shared" si="51"/>
        <v>15.839055281287573</v>
      </c>
      <c r="BD276" s="172">
        <f t="shared" si="52"/>
        <v>73.103332067481105</v>
      </c>
      <c r="BE276" s="172">
        <f>IF($BE$95=I276,$BE$97,IF(I276=$BE$96,$BE$97,1))*($BE$102*AQ276)*$AZ$97</f>
        <v>0</v>
      </c>
      <c r="BF276" s="172">
        <f>IF('[1]Cockpit Retorno'!$C$65=Sim,Mestre!BA276,SUM(BB276:BE276)+(IF(K276=$K$56,AQ276*MOE_IRRF_LR,0)))</f>
        <v>88.942387348768676</v>
      </c>
      <c r="BG276" s="174">
        <f>IF(AA276&gt;0,0,IF(Z276=$Z$82,AG276*1,(IF(Z276=$Z$81,AG276*1,0))))</f>
        <v>0</v>
      </c>
      <c r="BH276" s="174">
        <f>IF(AA276&gt;0,0,IF(Z276=$Z$83,AG276*1,IF(Z276=$Z$81,AG276*1,0)))</f>
        <v>0</v>
      </c>
      <c r="BI276" s="174">
        <f>IF(AA276&gt;0,0,IF(Z276=$Z$84,AG276*1,IF(Z276=$Z$93,AG276*2,IF(Z276=$Z$100,AG276,IF(Z276=$Z$81,AG276*2,IF(Z276=$Z$80,AG276*1,IF(Z276=$Z$79,AG276*3,IF(Z276=$Z$78,AG276*2,0))))))))</f>
        <v>0</v>
      </c>
      <c r="BJ276" s="174">
        <f>IF(AA276&gt;0,0,IF(Z276=$Z$85,AG276,IF(Z276=$Z$93,AG276,IF(Z276=$Z$100,AG276,IF(Z276=$Z$81,AG276*1,IF(Z276=$Z$80,AG276*2,IF(Z276=$Z$79,AG276*2,IF(Z276=$Z$78,AG276*2,0))))))))</f>
        <v>0</v>
      </c>
      <c r="BK276" s="174">
        <f>IF(AA276&gt;0,0,IF(Z276=$Z$92,AG276,0))</f>
        <v>0</v>
      </c>
      <c r="BL276" s="174">
        <f>IF(AA276&gt;0,0,IF(Z276=$Z$91,AG276,0))</f>
        <v>0</v>
      </c>
      <c r="BM276" s="174">
        <f>IF(AA276&gt;0,0,IF(Z276=$Z$86,AG276,0))</f>
        <v>0</v>
      </c>
      <c r="BN276" s="174">
        <f>IF(AA276&gt;0,0,IF(Z276=$Z$87,AG276,0))</f>
        <v>0</v>
      </c>
      <c r="BO276" s="174">
        <f>IF(AA276&gt;0,0,IF(Z276=$Z$88,AG276,0))</f>
        <v>0</v>
      </c>
      <c r="BP276" s="174">
        <f>IF(AA276&gt;0,0,IF(Z276=$Z$89,AG276,0))</f>
        <v>0</v>
      </c>
      <c r="BQ276" s="174">
        <f>IF(AA276&gt;0,0,IF(Z276=$Z$90,AG276,0))</f>
        <v>0</v>
      </c>
      <c r="BR276" s="174">
        <f>IF(Z276=$Z$82,AA276*AG276,0)</f>
        <v>0</v>
      </c>
      <c r="BS276" s="174">
        <f>IF(Z276=$Z$83,AA276*AG276,0)</f>
        <v>0</v>
      </c>
      <c r="BT276" s="174">
        <f>IF(AA276&lt;1,0,IF(Z276=$Z$84,AA276*AG276,IF(Z276=$Z$93,"ERRO",IF(Z276=$Z$100,"ERRO",0))))</f>
        <v>0</v>
      </c>
      <c r="BU276" s="174">
        <f>IF(AA276&lt;1,0,IF(Z276=$Z$85,AA276*AG276,IF(Z276=$Z$93,"ERRO",IF(Z276=$Z$100,"ERRO",0))))</f>
        <v>0</v>
      </c>
      <c r="BV276" s="174">
        <f>IF(Z276=$Z$92,AA276*AG276,0)</f>
        <v>0</v>
      </c>
      <c r="BW276" s="174">
        <f>IF(Z276=$Z$91,AA276*AG276,0)</f>
        <v>0</v>
      </c>
      <c r="BX276" s="174">
        <f>IF(Z276=$Z$86,AA276*AG276,0)</f>
        <v>0</v>
      </c>
      <c r="BY276" s="174">
        <f>IF(Z276=$Z$87,AA276*AG276,0)</f>
        <v>0</v>
      </c>
      <c r="BZ276" s="174">
        <f>IF(Z276=$Z$88,AA276*AG276,0)</f>
        <v>0</v>
      </c>
      <c r="CA276" s="174">
        <f>IF(Z276=$Z$89,AA276*AG276,0)</f>
        <v>0</v>
      </c>
      <c r="CB276" s="174">
        <f>IF(Z276=$Z$90,AA276*AG276,0)</f>
        <v>0</v>
      </c>
      <c r="CC276" s="175">
        <f>IFERROR(IF(L276=$L$49,AG276*AH276*(1+AI276)*(1-AK276)*(1-AL276),0),0)</f>
        <v>0</v>
      </c>
      <c r="CD276" s="203"/>
      <c r="CE276" s="203"/>
      <c r="CF276" s="204"/>
      <c r="CG276" s="203"/>
      <c r="CH276" s="204"/>
      <c r="CI276" s="203"/>
      <c r="CJ276" s="205"/>
      <c r="CK276" s="205"/>
      <c r="CL276" s="205"/>
      <c r="CM276" s="205"/>
      <c r="CN276" s="206"/>
      <c r="CO276" s="204"/>
      <c r="CP276" s="207"/>
      <c r="CQ276" s="208"/>
      <c r="CR276" s="209"/>
      <c r="CS276" s="49"/>
      <c r="CT276" s="49"/>
      <c r="CU276" s="49"/>
      <c r="CV276" s="49"/>
      <c r="CW276" s="49"/>
      <c r="CX276" s="49"/>
      <c r="CY276" s="49"/>
      <c r="CZ276" s="49"/>
      <c r="DA276" s="49"/>
      <c r="DB276" s="49"/>
      <c r="DC276" s="49"/>
      <c r="DD276" s="49"/>
      <c r="DE276" s="49"/>
      <c r="DF276" s="49"/>
      <c r="DG276" s="49"/>
      <c r="DH276" s="49"/>
      <c r="DI276" s="49"/>
      <c r="DJ276" s="49"/>
      <c r="DK276" s="49"/>
      <c r="DL276" s="49"/>
      <c r="DM276" s="49"/>
      <c r="DN276" s="49"/>
      <c r="DO276" s="49"/>
      <c r="DP276" s="49"/>
      <c r="DQ276" s="49"/>
      <c r="DR276" s="49"/>
      <c r="DS276" s="49"/>
      <c r="DT276" s="49"/>
      <c r="DU276" s="49"/>
      <c r="DV276" s="49"/>
      <c r="DW276" s="49"/>
      <c r="DX276" s="49"/>
      <c r="DY276" s="49"/>
      <c r="DZ276" s="49"/>
      <c r="EA276" s="49"/>
      <c r="EB276" s="49"/>
      <c r="EC276" s="49"/>
      <c r="ED276" s="49"/>
      <c r="EE276" s="49"/>
      <c r="EF276" s="49"/>
      <c r="EG276" s="49"/>
      <c r="EH276" s="49"/>
      <c r="EI276" s="49"/>
      <c r="EJ276" s="49"/>
      <c r="EK276" s="49"/>
      <c r="EL276" s="49"/>
      <c r="EM276" s="49"/>
      <c r="EN276" s="49"/>
      <c r="EO276" s="49"/>
      <c r="EP276" s="49"/>
      <c r="EQ276" s="49"/>
      <c r="ER276" s="49"/>
      <c r="ES276" s="49"/>
      <c r="ET276" s="49"/>
      <c r="EU276" s="49"/>
      <c r="EV276" s="49"/>
      <c r="EW276" s="49"/>
      <c r="EX276" s="49"/>
      <c r="EY276" s="49"/>
      <c r="EZ276" s="49"/>
      <c r="FA276" s="49"/>
    </row>
    <row r="277" spans="1:157" s="210" customFormat="1" ht="63.75" x14ac:dyDescent="0.25">
      <c r="A277" s="113"/>
      <c r="B277" s="113"/>
      <c r="C277" s="113"/>
      <c r="D277" s="148"/>
      <c r="E277" s="115"/>
      <c r="F277" s="116"/>
      <c r="G277" s="149"/>
      <c r="H277" s="150" t="s">
        <v>7</v>
      </c>
      <c r="I277" s="151" t="str">
        <f t="shared" si="46"/>
        <v>Mercadorias</v>
      </c>
      <c r="J277" s="150" t="s">
        <v>15</v>
      </c>
      <c r="K277" s="152" t="s">
        <v>7</v>
      </c>
      <c r="L277" s="153" t="s">
        <v>12</v>
      </c>
      <c r="M277" s="154" t="s">
        <v>421</v>
      </c>
      <c r="N277" s="155" t="s">
        <v>370</v>
      </c>
      <c r="O277" s="155" t="s">
        <v>412</v>
      </c>
      <c r="P277" s="155"/>
      <c r="Q277" s="155"/>
      <c r="R277" s="155"/>
      <c r="S277" s="156"/>
      <c r="T277" s="156"/>
      <c r="U277" s="150"/>
      <c r="V277" s="150"/>
      <c r="W277" s="150"/>
      <c r="X277" s="157" t="s">
        <v>424</v>
      </c>
      <c r="Y277" s="150"/>
      <c r="Z277" s="150"/>
      <c r="AA277" s="158"/>
      <c r="AB277" s="155"/>
      <c r="AC277" s="150"/>
      <c r="AD277" s="155"/>
      <c r="AE277" s="155"/>
      <c r="AF277" s="150"/>
      <c r="AG277" s="159">
        <v>100</v>
      </c>
      <c r="AH277" s="211">
        <v>13.020000000000001</v>
      </c>
      <c r="AI277" s="202">
        <v>0</v>
      </c>
      <c r="AJ277" s="161">
        <v>0.12</v>
      </c>
      <c r="AK277" s="162"/>
      <c r="AL277" s="163"/>
      <c r="AM277" s="164">
        <f>(((IF(L277=$L$101,1,IF(L277=$L$47,1,0))*(AH277*(1-AK277)))*AG277)*(1-AL277))</f>
        <v>1302.0000000000002</v>
      </c>
      <c r="AN277" s="165">
        <f>IF(K277=$K$50,AM277,IF(K277=$K$53,AM277,IF(K277=$K$54,AM277,IF(K277=$K$55,AM277,IF(K277=$K$56,AM277,IF(K277=$K$57,AM277,IF(K277=$K$58,AM277,IF(K277=$K$65,AM277,IF(K277=$K$66,AM277,IF(K277=$K$67,AM277,IF(K277=$K$68,AM277,IF(K277=$K$69,AM277,IF(K277=$K$51,AM277,(AM277*(1+AI277)))))))))))))))</f>
        <v>1302.0000000000002</v>
      </c>
      <c r="AO277" s="166">
        <v>1.4</v>
      </c>
      <c r="AP277" s="160">
        <f t="shared" si="47"/>
        <v>1822.8000000000002</v>
      </c>
      <c r="AQ277" s="167">
        <f t="shared" si="45"/>
        <v>1579.3929767665672</v>
      </c>
      <c r="AR277" s="160">
        <f t="shared" si="48"/>
        <v>1822.8000000000002</v>
      </c>
      <c r="AS277" s="168">
        <f t="shared" si="49"/>
        <v>0</v>
      </c>
      <c r="AT277" s="169" t="str">
        <f>K277</f>
        <v>MI</v>
      </c>
      <c r="AU277" s="169" t="str">
        <f>I277</f>
        <v>Mercadorias</v>
      </c>
      <c r="AV277" s="170"/>
      <c r="AW277" s="171">
        <f>IF(K277=$K$50,0,IF(K277=$K$53,0,IF(K277=$K$54,0,IF(K277=$K$55,0,IF(K277=$K$56,0,IF(K277=$K$57,0,IF(K277=$K$58,0,IF(K277=$K$65,0,IF(K277=$K$66,0,IF(K277=$K$67,0,IF(K277=$K$68,0,IF(K277=$K$69,0,IF(K277=$K$51,0,1))))))))))))*AM277*AI277)</f>
        <v>0</v>
      </c>
      <c r="AX277" s="172">
        <f>IF(K277=$K$50,0,IF(K277=$K$53,0,IF(K277=$K$54,0,IF(K277=$K$55,0,IF(K277=$K$56,0,IF(K277=$K$57,0,IF(K277=$K$58,0,IF(K277=$K$65,0,IF(K277=$K$66,0,IF(K277=$K$67,0,IF(K277=$K$68,0,IF(K277=$K$69,0,IF(K277=$K$51,0,1))))))))))))*AM277*AJ277*$AX$94)</f>
        <v>0</v>
      </c>
      <c r="AY277" s="172">
        <f>IF(K277=$K$53,0,IF(K277=$K$54,0,IF(K277=$K$55,0,IF(K277=$K$56,0,IF(K277=$K$58,0,IF(K277=$K$50,0,IF(K277=$K$65,0,IF(K277=$K$57,0,IF(K277=$K$51,0,AM277*$AY$102)))))))))</f>
        <v>21.483000000000004</v>
      </c>
      <c r="AZ277" s="172">
        <f>IF(K277=$K$53,0,IF(K277=$K$54,0,IF(K277=$K$55,0,IF(K277=$K$56,0,IF(K277=$K$58,0,IF(K277=$K$50,0,IF(K277=$K$65,0,IF(K277=$K$57,0,IF(K277=$K$51,0,AM277*$AZ$102)))))))))</f>
        <v>98.952000000000012</v>
      </c>
      <c r="BA277" s="172">
        <f t="shared" si="50"/>
        <v>120.43500000000002</v>
      </c>
      <c r="BB277" s="173">
        <f>IF($BA$97=1,AQ277*$BB$102,IF(K277=$K$50,0,IF(K277=$K$53,0,IF(K277=$K$54,0,IF(K277=$K$55,0,IF(K277=$K$56,0,IF(K277=$K$57,0,IF(K277=$K$58,0,IF(K277=$K$65,0,IF(K277=$K$66,0,IF(K277=$K$67,0,IF(K277=$K$68,0,IF(K277=$K$69,0,IF(K277=$K$51,0,1)))))))))))*AQ277*$BB$102)))</f>
        <v>0</v>
      </c>
      <c r="BC277" s="172">
        <f t="shared" si="51"/>
        <v>10.266054348982689</v>
      </c>
      <c r="BD277" s="172">
        <f t="shared" si="52"/>
        <v>47.381789302997014</v>
      </c>
      <c r="BE277" s="172">
        <f>IF($BE$95=I277,$BE$97,IF(I277=$BE$96,$BE$97,1))*($BE$102*AQ277)*$AZ$97</f>
        <v>0</v>
      </c>
      <c r="BF277" s="172">
        <f>IF('[1]Cockpit Retorno'!$C$65=Sim,Mestre!BA277,SUM(BB277:BE277)+(IF(K277=$K$56,AQ277*MOE_IRRF_LR,0)))</f>
        <v>57.647843651979699</v>
      </c>
      <c r="BG277" s="174">
        <f>IF(AA277&gt;0,0,IF(Z277=$Z$82,AG277*1,(IF(Z277=$Z$81,AG277*1,0))))</f>
        <v>0</v>
      </c>
      <c r="BH277" s="174">
        <f>IF(AA277&gt;0,0,IF(Z277=$Z$83,AG277*1,IF(Z277=$Z$81,AG277*1,0)))</f>
        <v>0</v>
      </c>
      <c r="BI277" s="174">
        <f>IF(AA277&gt;0,0,IF(Z277=$Z$84,AG277*1,IF(Z277=$Z$93,AG277*2,IF(Z277=$Z$100,AG277,IF(Z277=$Z$81,AG277*2,IF(Z277=$Z$80,AG277*1,IF(Z277=$Z$79,AG277*3,IF(Z277=$Z$78,AG277*2,0))))))))</f>
        <v>0</v>
      </c>
      <c r="BJ277" s="174">
        <f>IF(AA277&gt;0,0,IF(Z277=$Z$85,AG277,IF(Z277=$Z$93,AG277,IF(Z277=$Z$100,AG277,IF(Z277=$Z$81,AG277*1,IF(Z277=$Z$80,AG277*2,IF(Z277=$Z$79,AG277*2,IF(Z277=$Z$78,AG277*2,0))))))))</f>
        <v>0</v>
      </c>
      <c r="BK277" s="174">
        <f>IF(AA277&gt;0,0,IF(Z277=$Z$92,AG277,0))</f>
        <v>0</v>
      </c>
      <c r="BL277" s="174">
        <f>IF(AA277&gt;0,0,IF(Z277=$Z$91,AG277,0))</f>
        <v>0</v>
      </c>
      <c r="BM277" s="174">
        <f>IF(AA277&gt;0,0,IF(Z277=$Z$86,AG277,0))</f>
        <v>0</v>
      </c>
      <c r="BN277" s="174">
        <f>IF(AA277&gt;0,0,IF(Z277=$Z$87,AG277,0))</f>
        <v>0</v>
      </c>
      <c r="BO277" s="174">
        <f>IF(AA277&gt;0,0,IF(Z277=$Z$88,AG277,0))</f>
        <v>0</v>
      </c>
      <c r="BP277" s="174">
        <f>IF(AA277&gt;0,0,IF(Z277=$Z$89,AG277,0))</f>
        <v>0</v>
      </c>
      <c r="BQ277" s="174">
        <f>IF(AA277&gt;0,0,IF(Z277=$Z$90,AG277,0))</f>
        <v>0</v>
      </c>
      <c r="BR277" s="174">
        <f>IF(Z277=$Z$82,AA277*AG277,0)</f>
        <v>0</v>
      </c>
      <c r="BS277" s="174">
        <f>IF(Z277=$Z$83,AA277*AG277,0)</f>
        <v>0</v>
      </c>
      <c r="BT277" s="174">
        <f>IF(AA277&lt;1,0,IF(Z277=$Z$84,AA277*AG277,IF(Z277=$Z$93,"ERRO",IF(Z277=$Z$100,"ERRO",0))))</f>
        <v>0</v>
      </c>
      <c r="BU277" s="174">
        <f>IF(AA277&lt;1,0,IF(Z277=$Z$85,AA277*AG277,IF(Z277=$Z$93,"ERRO",IF(Z277=$Z$100,"ERRO",0))))</f>
        <v>0</v>
      </c>
      <c r="BV277" s="174">
        <f>IF(Z277=$Z$92,AA277*AG277,0)</f>
        <v>0</v>
      </c>
      <c r="BW277" s="174">
        <f>IF(Z277=$Z$91,AA277*AG277,0)</f>
        <v>0</v>
      </c>
      <c r="BX277" s="174">
        <f>IF(Z277=$Z$86,AA277*AG277,0)</f>
        <v>0</v>
      </c>
      <c r="BY277" s="174">
        <f>IF(Z277=$Z$87,AA277*AG277,0)</f>
        <v>0</v>
      </c>
      <c r="BZ277" s="174">
        <f>IF(Z277=$Z$88,AA277*AG277,0)</f>
        <v>0</v>
      </c>
      <c r="CA277" s="174">
        <f>IF(Z277=$Z$89,AA277*AG277,0)</f>
        <v>0</v>
      </c>
      <c r="CB277" s="174">
        <f>IF(Z277=$Z$90,AA277*AG277,0)</f>
        <v>0</v>
      </c>
      <c r="CC277" s="175">
        <f>IFERROR(IF(L277=$L$49,AG277*AH277*(1+AI277)*(1-AK277)*(1-AL277),0),0)</f>
        <v>0</v>
      </c>
      <c r="CD277" s="203"/>
      <c r="CE277" s="203"/>
      <c r="CF277" s="204"/>
      <c r="CG277" s="203"/>
      <c r="CH277" s="204"/>
      <c r="CI277" s="203"/>
      <c r="CJ277" s="205"/>
      <c r="CK277" s="205"/>
      <c r="CL277" s="205"/>
      <c r="CM277" s="205"/>
      <c r="CN277" s="206"/>
      <c r="CO277" s="204"/>
      <c r="CP277" s="207"/>
      <c r="CQ277" s="208"/>
      <c r="CR277" s="209"/>
      <c r="CS277" s="49"/>
      <c r="CT277" s="49"/>
      <c r="CU277" s="49"/>
      <c r="CV277" s="49"/>
      <c r="CW277" s="49"/>
      <c r="CX277" s="49"/>
      <c r="CY277" s="49"/>
      <c r="CZ277" s="49"/>
      <c r="DA277" s="49"/>
      <c r="DB277" s="49"/>
      <c r="DC277" s="49"/>
      <c r="DD277" s="49"/>
      <c r="DE277" s="49"/>
      <c r="DF277" s="49"/>
      <c r="DG277" s="49"/>
      <c r="DH277" s="49"/>
      <c r="DI277" s="49"/>
      <c r="DJ277" s="49"/>
      <c r="DK277" s="49"/>
      <c r="DL277" s="49"/>
      <c r="DM277" s="49"/>
      <c r="DN277" s="49"/>
      <c r="DO277" s="49"/>
      <c r="DP277" s="49"/>
      <c r="DQ277" s="49"/>
      <c r="DR277" s="49"/>
      <c r="DS277" s="49"/>
      <c r="DT277" s="49"/>
      <c r="DU277" s="49"/>
      <c r="DV277" s="49"/>
      <c r="DW277" s="49"/>
      <c r="DX277" s="49"/>
      <c r="DY277" s="49"/>
      <c r="DZ277" s="49"/>
      <c r="EA277" s="49"/>
      <c r="EB277" s="49"/>
      <c r="EC277" s="49"/>
      <c r="ED277" s="49"/>
      <c r="EE277" s="49"/>
      <c r="EF277" s="49"/>
      <c r="EG277" s="49"/>
      <c r="EH277" s="49"/>
      <c r="EI277" s="49"/>
      <c r="EJ277" s="49"/>
      <c r="EK277" s="49"/>
      <c r="EL277" s="49"/>
      <c r="EM277" s="49"/>
      <c r="EN277" s="49"/>
      <c r="EO277" s="49"/>
      <c r="EP277" s="49"/>
      <c r="EQ277" s="49"/>
      <c r="ER277" s="49"/>
      <c r="ES277" s="49"/>
      <c r="ET277" s="49"/>
      <c r="EU277" s="49"/>
      <c r="EV277" s="49"/>
      <c r="EW277" s="49"/>
      <c r="EX277" s="49"/>
      <c r="EY277" s="49"/>
      <c r="EZ277" s="49"/>
      <c r="FA277" s="49"/>
    </row>
    <row r="278" spans="1:157" s="210" customFormat="1" ht="76.5" x14ac:dyDescent="0.25">
      <c r="A278" s="113">
        <f>IF(AND('[1]Cockpit Retorno'!$E$67=Sim,Mestre!M278=Mestre!$M$98),0,1)</f>
        <v>1</v>
      </c>
      <c r="B278" s="113">
        <f>IF(AND('[1]Cockpit Retorno'!$E$67=Sim,Mestre!L278=Mestre!$L$48),0,1)</f>
        <v>1</v>
      </c>
      <c r="C278" s="113">
        <f>IF(AND('[1]Cockpit Retorno'!$E$67=Sim,Mestre!M278=Mestre!$M$97),0,1)</f>
        <v>1</v>
      </c>
      <c r="D278" s="148" t="s">
        <v>7</v>
      </c>
      <c r="E278" s="115"/>
      <c r="F278" s="116" t="s">
        <v>107</v>
      </c>
      <c r="G278" s="149"/>
      <c r="H278" s="150" t="s">
        <v>7</v>
      </c>
      <c r="I278" s="151" t="str">
        <f t="shared" si="46"/>
        <v>Mercadorias</v>
      </c>
      <c r="J278" s="150" t="s">
        <v>15</v>
      </c>
      <c r="K278" s="152" t="s">
        <v>7</v>
      </c>
      <c r="L278" s="153" t="s">
        <v>12</v>
      </c>
      <c r="M278" s="154" t="s">
        <v>421</v>
      </c>
      <c r="N278" s="155" t="s">
        <v>370</v>
      </c>
      <c r="O278" s="155" t="s">
        <v>412</v>
      </c>
      <c r="P278" s="155"/>
      <c r="Q278" s="155"/>
      <c r="R278" s="155"/>
      <c r="S278" s="156"/>
      <c r="T278" s="156"/>
      <c r="U278" s="150"/>
      <c r="V278" s="150"/>
      <c r="W278" s="150"/>
      <c r="X278" s="157" t="s">
        <v>425</v>
      </c>
      <c r="Y278" s="150"/>
      <c r="Z278" s="150"/>
      <c r="AA278" s="158"/>
      <c r="AB278" s="155"/>
      <c r="AC278" s="150"/>
      <c r="AD278" s="155"/>
      <c r="AE278" s="155"/>
      <c r="AF278" s="150"/>
      <c r="AG278" s="159">
        <v>30</v>
      </c>
      <c r="AH278" s="211">
        <v>22.32</v>
      </c>
      <c r="AI278" s="202">
        <v>0</v>
      </c>
      <c r="AJ278" s="161">
        <v>0.12</v>
      </c>
      <c r="AK278" s="162"/>
      <c r="AL278" s="163"/>
      <c r="AM278" s="164">
        <f>(((IF(L278=$L$101,1,IF(L278=$L$47,1,0))*(AH278*(1-AK278)))*AG278)*(1-AL278))</f>
        <v>669.6</v>
      </c>
      <c r="AN278" s="165">
        <f>IF(K278=$K$50,AM278,IF(K278=$K$53,AM278,IF(K278=$K$54,AM278,IF(K278=$K$55,AM278,IF(K278=$K$56,AM278,IF(K278=$K$57,AM278,IF(K278=$K$58,AM278,IF(K278=$K$65,AM278,IF(K278=$K$66,AM278,IF(K278=$K$67,AM278,IF(K278=$K$68,AM278,IF(K278=$K$69,AM278,IF(K278=$K$51,AM278,(AM278*(1+AI278)))))))))))))))</f>
        <v>669.6</v>
      </c>
      <c r="AO278" s="166">
        <v>1.4</v>
      </c>
      <c r="AP278" s="160">
        <f t="shared" si="47"/>
        <v>937.43999999999994</v>
      </c>
      <c r="AQ278" s="167">
        <f t="shared" ref="AQ278:AQ301" si="53">AP278*Fator_Venda</f>
        <v>812.2592451942345</v>
      </c>
      <c r="AR278" s="160">
        <f t="shared" si="48"/>
        <v>937.43999999999994</v>
      </c>
      <c r="AS278" s="168">
        <f t="shared" si="49"/>
        <v>1.2612750638360886</v>
      </c>
      <c r="AT278" s="169" t="str">
        <f>K278</f>
        <v>MI</v>
      </c>
      <c r="AU278" s="169" t="str">
        <f>I278</f>
        <v>Mercadorias</v>
      </c>
      <c r="AV278" s="170"/>
      <c r="AW278" s="171">
        <f>IF(K278=$K$50,0,IF(K278=$K$53,0,IF(K278=$K$54,0,IF(K278=$K$55,0,IF(K278=$K$56,0,IF(K278=$K$57,0,IF(K278=$K$58,0,IF(K278=$K$65,0,IF(K278=$K$66,0,IF(K278=$K$67,0,IF(K278=$K$68,0,IF(K278=$K$69,0,IF(K278=$K$51,0,1))))))))))))*AM278*AI278)</f>
        <v>0</v>
      </c>
      <c r="AX278" s="172">
        <f>IF(K278=$K$50,0,IF(K278=$K$53,0,IF(K278=$K$54,0,IF(K278=$K$55,0,IF(K278=$K$56,0,IF(K278=$K$57,0,IF(K278=$K$58,0,IF(K278=$K$65,0,IF(K278=$K$66,0,IF(K278=$K$67,0,IF(K278=$K$68,0,IF(K278=$K$69,0,IF(K278=$K$51,0,1))))))))))))*AM278*AJ278*$AX$94)</f>
        <v>0</v>
      </c>
      <c r="AY278" s="172">
        <f>IF(K278=$K$53,0,IF(K278=$K$54,0,IF(K278=$K$55,0,IF(K278=$K$56,0,IF(K278=$K$58,0,IF(K278=$K$50,0,IF(K278=$K$65,0,IF(K278=$K$57,0,IF(K278=$K$51,0,AM278*$AY$102)))))))))</f>
        <v>11.048400000000001</v>
      </c>
      <c r="AZ278" s="172">
        <f>IF(K278=$K$53,0,IF(K278=$K$54,0,IF(K278=$K$55,0,IF(K278=$K$56,0,IF(K278=$K$58,0,IF(K278=$K$50,0,IF(K278=$K$65,0,IF(K278=$K$57,0,IF(K278=$K$51,0,AM278*$AZ$102)))))))))</f>
        <v>50.889600000000002</v>
      </c>
      <c r="BA278" s="172">
        <f t="shared" si="50"/>
        <v>61.938000000000002</v>
      </c>
      <c r="BB278" s="173">
        <f>IF($BA$97=1,AQ278*$BB$102,IF(K278=$K$50,0,IF(K278=$K$53,0,IF(K278=$K$54,0,IF(K278=$K$55,0,IF(K278=$K$56,0,IF(K278=$K$57,0,IF(K278=$K$58,0,IF(K278=$K$65,0,IF(K278=$K$66,0,IF(K278=$K$67,0,IF(K278=$K$68,0,IF(K278=$K$69,0,IF(K278=$K$51,0,1)))))))))))*AQ278*$BB$102)))</f>
        <v>0</v>
      </c>
      <c r="BC278" s="172">
        <f t="shared" si="51"/>
        <v>5.2796850937625246</v>
      </c>
      <c r="BD278" s="172">
        <f t="shared" si="52"/>
        <v>24.367777355827034</v>
      </c>
      <c r="BE278" s="172">
        <f>IF($BE$95=I278,$BE$97,IF(I278=$BE$96,$BE$97,1))*($BE$102*AQ278)*$AZ$97</f>
        <v>0</v>
      </c>
      <c r="BF278" s="172">
        <f>IF('[1]Cockpit Retorno'!$C$65=Sim,Mestre!BA278,SUM(BB278:BE278)+(IF(K278=$K$56,AQ278*MOE_IRRF_LR,0)))</f>
        <v>29.647462449589558</v>
      </c>
      <c r="BG278" s="174">
        <f>IF(AA278&gt;0,0,IF(Z278=$Z$82,AG278*1,(IF(Z278=$Z$81,AG278*1,0))))</f>
        <v>0</v>
      </c>
      <c r="BH278" s="174">
        <f>IF(AA278&gt;0,0,IF(Z278=$Z$83,AG278*1,IF(Z278=$Z$81,AG278*1,0)))</f>
        <v>0</v>
      </c>
      <c r="BI278" s="174">
        <f>IF(AA278&gt;0,0,IF(Z278=$Z$84,AG278*1,IF(Z278=$Z$93,AG278*2,IF(Z278=$Z$100,AG278,IF(Z278=$Z$81,AG278*2,IF(Z278=$Z$80,AG278*1,IF(Z278=$Z$79,AG278*3,IF(Z278=$Z$78,AG278*2,0))))))))</f>
        <v>0</v>
      </c>
      <c r="BJ278" s="174">
        <f>IF(AA278&gt;0,0,IF(Z278=$Z$85,AG278,IF(Z278=$Z$93,AG278,IF(Z278=$Z$100,AG278,IF(Z278=$Z$81,AG278*1,IF(Z278=$Z$80,AG278*2,IF(Z278=$Z$79,AG278*2,IF(Z278=$Z$78,AG278*2,0))))))))</f>
        <v>0</v>
      </c>
      <c r="BK278" s="174">
        <f>IF(AA278&gt;0,0,IF(Z278=$Z$92,AG278,0))</f>
        <v>0</v>
      </c>
      <c r="BL278" s="174">
        <f>IF(AA278&gt;0,0,IF(Z278=$Z$91,AG278,0))</f>
        <v>0</v>
      </c>
      <c r="BM278" s="174">
        <f>IF(AA278&gt;0,0,IF(Z278=$Z$86,AG278,0))</f>
        <v>0</v>
      </c>
      <c r="BN278" s="174">
        <f>IF(AA278&gt;0,0,IF(Z278=$Z$87,AG278,0))</f>
        <v>0</v>
      </c>
      <c r="BO278" s="174">
        <f>IF(AA278&gt;0,0,IF(Z278=$Z$88,AG278,0))</f>
        <v>0</v>
      </c>
      <c r="BP278" s="174">
        <f>IF(AA278&gt;0,0,IF(Z278=$Z$89,AG278,0))</f>
        <v>0</v>
      </c>
      <c r="BQ278" s="174">
        <f>IF(AA278&gt;0,0,IF(Z278=$Z$90,AG278,0))</f>
        <v>0</v>
      </c>
      <c r="BR278" s="174">
        <f>IF(Z278=$Z$82,AA278*AG278,0)</f>
        <v>0</v>
      </c>
      <c r="BS278" s="174">
        <f>IF(Z278=$Z$83,AA278*AG278,0)</f>
        <v>0</v>
      </c>
      <c r="BT278" s="174">
        <f>IF(AA278&lt;1,0,IF(Z278=$Z$84,AA278*AG278,IF(Z278=$Z$93,"ERRO",IF(Z278=$Z$100,"ERRO",0))))</f>
        <v>0</v>
      </c>
      <c r="BU278" s="174">
        <f>IF(AA278&lt;1,0,IF(Z278=$Z$85,AA278*AG278,IF(Z278=$Z$93,"ERRO",IF(Z278=$Z$100,"ERRO",0))))</f>
        <v>0</v>
      </c>
      <c r="BV278" s="174">
        <f>IF(Z278=$Z$92,AA278*AG278,0)</f>
        <v>0</v>
      </c>
      <c r="BW278" s="174">
        <f>IF(Z278=$Z$91,AA278*AG278,0)</f>
        <v>0</v>
      </c>
      <c r="BX278" s="174">
        <f>IF(Z278=$Z$86,AA278*AG278,0)</f>
        <v>0</v>
      </c>
      <c r="BY278" s="174">
        <f>IF(Z278=$Z$87,AA278*AG278,0)</f>
        <v>0</v>
      </c>
      <c r="BZ278" s="174">
        <f>IF(Z278=$Z$88,AA278*AG278,0)</f>
        <v>0</v>
      </c>
      <c r="CA278" s="174">
        <f>IF(Z278=$Z$89,AA278*AG278,0)</f>
        <v>0</v>
      </c>
      <c r="CB278" s="174">
        <f>IF(Z278=$Z$90,AA278*AG278,0)</f>
        <v>0</v>
      </c>
      <c r="CC278" s="175">
        <f>IFERROR(IF(L278=$L$49,AG278*AH278*(1+AI278)*(1-AK278)*(1-AL278),0),0)</f>
        <v>0</v>
      </c>
      <c r="CD278" s="203">
        <f>IF(I278=$CD$97,1,IF(I278=$CD$100,2,IF(K278=$K$66,1,IF(K278=$K$69,1,3))))</f>
        <v>1</v>
      </c>
      <c r="CE278" s="203">
        <f t="shared" si="14"/>
        <v>1.07</v>
      </c>
      <c r="CF278" s="204">
        <f t="shared" ref="CF278:CF341" si="54">CG278*0.87</f>
        <v>1.2353999999999998</v>
      </c>
      <c r="CG278" s="203">
        <f t="shared" si="15"/>
        <v>1.42</v>
      </c>
      <c r="CH278" s="204">
        <f t="shared" ref="CH278:CH341" si="55">CG278*1.09</f>
        <v>1.5478000000000001</v>
      </c>
      <c r="CI278" s="203">
        <f t="shared" si="16"/>
        <v>1.7</v>
      </c>
      <c r="CJ278" s="205">
        <f t="shared" ref="CJ278:CJ341" si="56">CE278*$CJ$102</f>
        <v>1.0486</v>
      </c>
      <c r="CK278" s="205">
        <f t="shared" ref="CK278:CK341" si="57">CF278*$CK$102</f>
        <v>1.148922</v>
      </c>
      <c r="CL278" s="205">
        <f t="shared" ref="CL278:CL341" si="58">CG278*$CL$102</f>
        <v>1.3915999999999999</v>
      </c>
      <c r="CM278" s="205">
        <f t="shared" ref="CM278:CM341" si="59">CH278*$CM$102</f>
        <v>1.501366</v>
      </c>
      <c r="CN278" s="206">
        <f t="shared" ref="CN278:CN341" si="60">CI278*$CN$102</f>
        <v>1.6319999999999999</v>
      </c>
      <c r="CO278" s="204">
        <f t="shared" ref="CO278:CO341" si="61">CJ278*$CO$102</f>
        <v>1.006656</v>
      </c>
      <c r="CP278" s="207">
        <f t="shared" ref="CP278:CP341" si="62">BF278-BA278</f>
        <v>-32.290537550410448</v>
      </c>
      <c r="CQ278" s="208">
        <f t="shared" ref="CQ278:CQ341" si="63">AQ278-CP278</f>
        <v>844.54978274464497</v>
      </c>
      <c r="CR278" s="209">
        <f t="shared" ref="CR278:CR293" si="64">BC278+BD278</f>
        <v>29.647462449589558</v>
      </c>
      <c r="CS278" s="49"/>
      <c r="CT278" s="49"/>
      <c r="CU278" s="49"/>
      <c r="CV278" s="49"/>
      <c r="CW278" s="49"/>
      <c r="CX278" s="49"/>
      <c r="CY278" s="49"/>
      <c r="CZ278" s="49"/>
      <c r="DA278" s="49"/>
      <c r="DB278" s="49"/>
      <c r="DC278" s="49"/>
      <c r="DD278" s="49"/>
      <c r="DE278" s="49"/>
      <c r="DF278" s="49"/>
      <c r="DG278" s="49"/>
      <c r="DH278" s="49"/>
      <c r="DI278" s="49"/>
      <c r="DJ278" s="49"/>
      <c r="DK278" s="49"/>
      <c r="DL278" s="49"/>
      <c r="DM278" s="49"/>
      <c r="DN278" s="49"/>
      <c r="DO278" s="49"/>
      <c r="DP278" s="49"/>
      <c r="DQ278" s="49"/>
      <c r="DR278" s="49"/>
      <c r="DS278" s="49"/>
      <c r="DT278" s="49"/>
      <c r="DU278" s="49"/>
      <c r="DV278" s="49"/>
      <c r="DW278" s="49"/>
      <c r="DX278" s="49"/>
      <c r="DY278" s="49"/>
      <c r="DZ278" s="49"/>
      <c r="EA278" s="49"/>
      <c r="EB278" s="49"/>
      <c r="EC278" s="49"/>
      <c r="ED278" s="49"/>
      <c r="EE278" s="49"/>
      <c r="EF278" s="49"/>
      <c r="EG278" s="49"/>
      <c r="EH278" s="49"/>
      <c r="EI278" s="49"/>
      <c r="EJ278" s="49"/>
      <c r="EK278" s="49"/>
      <c r="EL278" s="49"/>
      <c r="EM278" s="49"/>
      <c r="EN278" s="49"/>
      <c r="EO278" s="49"/>
      <c r="EP278" s="49"/>
      <c r="EQ278" s="49"/>
      <c r="ER278" s="49"/>
      <c r="ES278" s="49"/>
      <c r="ET278" s="49"/>
      <c r="EU278" s="49"/>
      <c r="EV278" s="49"/>
      <c r="EW278" s="49"/>
      <c r="EX278" s="49"/>
      <c r="EY278" s="49"/>
      <c r="EZ278" s="49"/>
      <c r="FA278" s="49"/>
    </row>
    <row r="279" spans="1:157" s="210" customFormat="1" ht="63.75" x14ac:dyDescent="0.25">
      <c r="A279" s="113">
        <f>IF(AND('[1]Cockpit Retorno'!$E$67=Sim,Mestre!M279=Mestre!$M$98),0,1)</f>
        <v>1</v>
      </c>
      <c r="B279" s="113">
        <f>IF(AND('[1]Cockpit Retorno'!$E$67=Sim,Mestre!L279=Mestre!$L$48),0,1)</f>
        <v>1</v>
      </c>
      <c r="C279" s="113">
        <f>IF(AND('[1]Cockpit Retorno'!$E$67=Sim,Mestre!M279=Mestre!$M$97),0,1)</f>
        <v>1</v>
      </c>
      <c r="D279" s="148" t="s">
        <v>7</v>
      </c>
      <c r="E279" s="115"/>
      <c r="F279" s="116" t="s">
        <v>107</v>
      </c>
      <c r="G279" s="149"/>
      <c r="H279" s="150" t="s">
        <v>7</v>
      </c>
      <c r="I279" s="151" t="str">
        <f t="shared" si="46"/>
        <v>Mercadorias</v>
      </c>
      <c r="J279" s="150" t="s">
        <v>15</v>
      </c>
      <c r="K279" s="152" t="s">
        <v>7</v>
      </c>
      <c r="L279" s="153" t="s">
        <v>12</v>
      </c>
      <c r="M279" s="154" t="s">
        <v>421</v>
      </c>
      <c r="N279" s="155" t="s">
        <v>370</v>
      </c>
      <c r="O279" s="155" t="s">
        <v>412</v>
      </c>
      <c r="P279" s="155"/>
      <c r="Q279" s="155"/>
      <c r="R279" s="155"/>
      <c r="S279" s="156"/>
      <c r="T279" s="156"/>
      <c r="U279" s="150"/>
      <c r="V279" s="150"/>
      <c r="W279" s="150"/>
      <c r="X279" s="157" t="s">
        <v>426</v>
      </c>
      <c r="Y279" s="150"/>
      <c r="Z279" s="150"/>
      <c r="AA279" s="158"/>
      <c r="AB279" s="155"/>
      <c r="AC279" s="150"/>
      <c r="AD279" s="155"/>
      <c r="AE279" s="155"/>
      <c r="AF279" s="150"/>
      <c r="AG279" s="159">
        <v>100</v>
      </c>
      <c r="AH279" s="211">
        <v>13.020000000000001</v>
      </c>
      <c r="AI279" s="202">
        <v>0</v>
      </c>
      <c r="AJ279" s="161">
        <v>0.12</v>
      </c>
      <c r="AK279" s="162"/>
      <c r="AL279" s="163"/>
      <c r="AM279" s="164">
        <f>(((IF(L279=$L$101,1,IF(L279=$L$47,1,0))*(AH279*(1-AK279)))*AG279)*(1-AL279))</f>
        <v>1302.0000000000002</v>
      </c>
      <c r="AN279" s="165">
        <f>IF(K279=$K$50,AM279,IF(K279=$K$53,AM279,IF(K279=$K$54,AM279,IF(K279=$K$55,AM279,IF(K279=$K$56,AM279,IF(K279=$K$57,AM279,IF(K279=$K$58,AM279,IF(K279=$K$65,AM279,IF(K279=$K$66,AM279,IF(K279=$K$67,AM279,IF(K279=$K$68,AM279,IF(K279=$K$69,AM279,IF(K279=$K$51,AM279,(AM279*(1+AI279)))))))))))))))</f>
        <v>1302.0000000000002</v>
      </c>
      <c r="AO279" s="166">
        <v>1.4</v>
      </c>
      <c r="AP279" s="160">
        <f t="shared" si="47"/>
        <v>1822.8000000000002</v>
      </c>
      <c r="AQ279" s="167">
        <f t="shared" si="53"/>
        <v>1579.3929767665672</v>
      </c>
      <c r="AR279" s="160">
        <f t="shared" si="48"/>
        <v>1822.8000000000002</v>
      </c>
      <c r="AS279" s="168">
        <f t="shared" si="49"/>
        <v>1.2612750638360886</v>
      </c>
      <c r="AT279" s="169" t="str">
        <f>K279</f>
        <v>MI</v>
      </c>
      <c r="AU279" s="169" t="str">
        <f>I279</f>
        <v>Mercadorias</v>
      </c>
      <c r="AV279" s="170"/>
      <c r="AW279" s="171">
        <f>IF(K279=$K$50,0,IF(K279=$K$53,0,IF(K279=$K$54,0,IF(K279=$K$55,0,IF(K279=$K$56,0,IF(K279=$K$57,0,IF(K279=$K$58,0,IF(K279=$K$65,0,IF(K279=$K$66,0,IF(K279=$K$67,0,IF(K279=$K$68,0,IF(K279=$K$69,0,IF(K279=$K$51,0,1))))))))))))*AM279*AI279)</f>
        <v>0</v>
      </c>
      <c r="AX279" s="172">
        <f>IF(K279=$K$50,0,IF(K279=$K$53,0,IF(K279=$K$54,0,IF(K279=$K$55,0,IF(K279=$K$56,0,IF(K279=$K$57,0,IF(K279=$K$58,0,IF(K279=$K$65,0,IF(K279=$K$66,0,IF(K279=$K$67,0,IF(K279=$K$68,0,IF(K279=$K$69,0,IF(K279=$K$51,0,1))))))))))))*AM279*AJ279*$AX$94)</f>
        <v>0</v>
      </c>
      <c r="AY279" s="172">
        <f>IF(K279=$K$53,0,IF(K279=$K$54,0,IF(K279=$K$55,0,IF(K279=$K$56,0,IF(K279=$K$58,0,IF(K279=$K$50,0,IF(K279=$K$65,0,IF(K279=$K$57,0,IF(K279=$K$51,0,AM279*$AY$102)))))))))</f>
        <v>21.483000000000004</v>
      </c>
      <c r="AZ279" s="172">
        <f>IF(K279=$K$53,0,IF(K279=$K$54,0,IF(K279=$K$55,0,IF(K279=$K$56,0,IF(K279=$K$58,0,IF(K279=$K$50,0,IF(K279=$K$65,0,IF(K279=$K$57,0,IF(K279=$K$51,0,AM279*$AZ$102)))))))))</f>
        <v>98.952000000000012</v>
      </c>
      <c r="BA279" s="172">
        <f t="shared" si="50"/>
        <v>120.43500000000002</v>
      </c>
      <c r="BB279" s="173">
        <f>IF($BA$97=1,AQ279*$BB$102,IF(K279=$K$50,0,IF(K279=$K$53,0,IF(K279=$K$54,0,IF(K279=$K$55,0,IF(K279=$K$56,0,IF(K279=$K$57,0,IF(K279=$K$58,0,IF(K279=$K$65,0,IF(K279=$K$66,0,IF(K279=$K$67,0,IF(K279=$K$68,0,IF(K279=$K$69,0,IF(K279=$K$51,0,1)))))))))))*AQ279*$BB$102)))</f>
        <v>0</v>
      </c>
      <c r="BC279" s="172">
        <f t="shared" si="51"/>
        <v>10.266054348982689</v>
      </c>
      <c r="BD279" s="172">
        <f t="shared" si="52"/>
        <v>47.381789302997014</v>
      </c>
      <c r="BE279" s="172">
        <f>IF($BE$95=I279,$BE$97,IF(I279=$BE$96,$BE$97,1))*($BE$102*AQ279)*$AZ$97</f>
        <v>0</v>
      </c>
      <c r="BF279" s="172">
        <f>IF('[1]Cockpit Retorno'!$C$65=Sim,Mestre!BA279,SUM(BB279:BE279)+(IF(K279=$K$56,AQ279*MOE_IRRF_LR,0)))</f>
        <v>57.647843651979699</v>
      </c>
      <c r="BG279" s="174">
        <f>IF(AA279&gt;0,0,IF(Z279=$Z$82,AG279*1,(IF(Z279=$Z$81,AG279*1,0))))</f>
        <v>0</v>
      </c>
      <c r="BH279" s="174">
        <f>IF(AA279&gt;0,0,IF(Z279=$Z$83,AG279*1,IF(Z279=$Z$81,AG279*1,0)))</f>
        <v>0</v>
      </c>
      <c r="BI279" s="174">
        <f>IF(AA279&gt;0,0,IF(Z279=$Z$84,AG279*1,IF(Z279=$Z$93,AG279*2,IF(Z279=$Z$100,AG279,IF(Z279=$Z$81,AG279*2,IF(Z279=$Z$80,AG279*1,IF(Z279=$Z$79,AG279*3,IF(Z279=$Z$78,AG279*2,0))))))))</f>
        <v>0</v>
      </c>
      <c r="BJ279" s="174">
        <f>IF(AA279&gt;0,0,IF(Z279=$Z$85,AG279,IF(Z279=$Z$93,AG279,IF(Z279=$Z$100,AG279,IF(Z279=$Z$81,AG279*1,IF(Z279=$Z$80,AG279*2,IF(Z279=$Z$79,AG279*2,IF(Z279=$Z$78,AG279*2,0))))))))</f>
        <v>0</v>
      </c>
      <c r="BK279" s="174">
        <f>IF(AA279&gt;0,0,IF(Z279=$Z$92,AG279,0))</f>
        <v>0</v>
      </c>
      <c r="BL279" s="174">
        <f>IF(AA279&gt;0,0,IF(Z279=$Z$91,AG279,0))</f>
        <v>0</v>
      </c>
      <c r="BM279" s="174">
        <f>IF(AA279&gt;0,0,IF(Z279=$Z$86,AG279,0))</f>
        <v>0</v>
      </c>
      <c r="BN279" s="174">
        <f>IF(AA279&gt;0,0,IF(Z279=$Z$87,AG279,0))</f>
        <v>0</v>
      </c>
      <c r="BO279" s="174">
        <f>IF(AA279&gt;0,0,IF(Z279=$Z$88,AG279,0))</f>
        <v>0</v>
      </c>
      <c r="BP279" s="174">
        <f>IF(AA279&gt;0,0,IF(Z279=$Z$89,AG279,0))</f>
        <v>0</v>
      </c>
      <c r="BQ279" s="174">
        <f>IF(AA279&gt;0,0,IF(Z279=$Z$90,AG279,0))</f>
        <v>0</v>
      </c>
      <c r="BR279" s="174">
        <f>IF(Z279=$Z$82,AA279*AG279,0)</f>
        <v>0</v>
      </c>
      <c r="BS279" s="174">
        <f>IF(Z279=$Z$83,AA279*AG279,0)</f>
        <v>0</v>
      </c>
      <c r="BT279" s="174">
        <f>IF(AA279&lt;1,0,IF(Z279=$Z$84,AA279*AG279,IF(Z279=$Z$93,"ERRO",IF(Z279=$Z$100,"ERRO",0))))</f>
        <v>0</v>
      </c>
      <c r="BU279" s="174">
        <f>IF(AA279&lt;1,0,IF(Z279=$Z$85,AA279*AG279,IF(Z279=$Z$93,"ERRO",IF(Z279=$Z$100,"ERRO",0))))</f>
        <v>0</v>
      </c>
      <c r="BV279" s="174">
        <f>IF(Z279=$Z$92,AA279*AG279,0)</f>
        <v>0</v>
      </c>
      <c r="BW279" s="174">
        <f>IF(Z279=$Z$91,AA279*AG279,0)</f>
        <v>0</v>
      </c>
      <c r="BX279" s="174">
        <f>IF(Z279=$Z$86,AA279*AG279,0)</f>
        <v>0</v>
      </c>
      <c r="BY279" s="174">
        <f>IF(Z279=$Z$87,AA279*AG279,0)</f>
        <v>0</v>
      </c>
      <c r="BZ279" s="174">
        <f>IF(Z279=$Z$88,AA279*AG279,0)</f>
        <v>0</v>
      </c>
      <c r="CA279" s="174">
        <f>IF(Z279=$Z$89,AA279*AG279,0)</f>
        <v>0</v>
      </c>
      <c r="CB279" s="174">
        <f>IF(Z279=$Z$90,AA279*AG279,0)</f>
        <v>0</v>
      </c>
      <c r="CC279" s="175">
        <f>IFERROR(IF(L279=$L$49,AG279*AH279*(1+AI279)*(1-AK279)*(1-AL279),0),0)</f>
        <v>0</v>
      </c>
      <c r="CD279" s="203">
        <f>IF(I279=$CD$97,1,IF(I279=$CD$100,2,IF(K279=$K$66,1,IF(K279=$K$69,1,3))))</f>
        <v>1</v>
      </c>
      <c r="CE279" s="203">
        <f t="shared" si="14"/>
        <v>1.07</v>
      </c>
      <c r="CF279" s="204">
        <f t="shared" si="54"/>
        <v>1.2353999999999998</v>
      </c>
      <c r="CG279" s="203">
        <f t="shared" si="15"/>
        <v>1.42</v>
      </c>
      <c r="CH279" s="204">
        <f t="shared" si="55"/>
        <v>1.5478000000000001</v>
      </c>
      <c r="CI279" s="203">
        <f t="shared" si="16"/>
        <v>1.7</v>
      </c>
      <c r="CJ279" s="205">
        <f t="shared" si="56"/>
        <v>1.0486</v>
      </c>
      <c r="CK279" s="205">
        <f t="shared" si="57"/>
        <v>1.148922</v>
      </c>
      <c r="CL279" s="205">
        <f t="shared" si="58"/>
        <v>1.3915999999999999</v>
      </c>
      <c r="CM279" s="205">
        <f t="shared" si="59"/>
        <v>1.501366</v>
      </c>
      <c r="CN279" s="206">
        <f t="shared" si="60"/>
        <v>1.6319999999999999</v>
      </c>
      <c r="CO279" s="204">
        <f t="shared" si="61"/>
        <v>1.006656</v>
      </c>
      <c r="CP279" s="207">
        <f t="shared" si="62"/>
        <v>-62.787156348020318</v>
      </c>
      <c r="CQ279" s="208">
        <f t="shared" si="63"/>
        <v>1642.1801331145875</v>
      </c>
      <c r="CR279" s="209">
        <f t="shared" si="64"/>
        <v>57.647843651979699</v>
      </c>
      <c r="CS279" s="49"/>
      <c r="CT279" s="49"/>
      <c r="CU279" s="49"/>
      <c r="CV279" s="49"/>
      <c r="CW279" s="49"/>
      <c r="CX279" s="49"/>
      <c r="CY279" s="49"/>
      <c r="CZ279" s="49"/>
      <c r="DA279" s="49"/>
      <c r="DB279" s="49"/>
      <c r="DC279" s="49"/>
      <c r="DD279" s="49"/>
      <c r="DE279" s="49"/>
      <c r="DF279" s="49"/>
      <c r="DG279" s="49"/>
      <c r="DH279" s="49"/>
      <c r="DI279" s="49"/>
      <c r="DJ279" s="49"/>
      <c r="DK279" s="49"/>
      <c r="DL279" s="49"/>
      <c r="DM279" s="49"/>
      <c r="DN279" s="49"/>
      <c r="DO279" s="49"/>
      <c r="DP279" s="49"/>
      <c r="DQ279" s="49"/>
      <c r="DR279" s="49"/>
      <c r="DS279" s="49"/>
      <c r="DT279" s="49"/>
      <c r="DU279" s="49"/>
      <c r="DV279" s="49"/>
      <c r="DW279" s="49"/>
      <c r="DX279" s="49"/>
      <c r="DY279" s="49"/>
      <c r="DZ279" s="49"/>
      <c r="EA279" s="49"/>
      <c r="EB279" s="49"/>
      <c r="EC279" s="49"/>
      <c r="ED279" s="49"/>
      <c r="EE279" s="49"/>
      <c r="EF279" s="49"/>
      <c r="EG279" s="49"/>
      <c r="EH279" s="49"/>
      <c r="EI279" s="49"/>
      <c r="EJ279" s="49"/>
      <c r="EK279" s="49"/>
      <c r="EL279" s="49"/>
      <c r="EM279" s="49"/>
      <c r="EN279" s="49"/>
      <c r="EO279" s="49"/>
      <c r="EP279" s="49"/>
      <c r="EQ279" s="49"/>
      <c r="ER279" s="49"/>
      <c r="ES279" s="49"/>
      <c r="ET279" s="49"/>
      <c r="EU279" s="49"/>
      <c r="EV279" s="49"/>
      <c r="EW279" s="49"/>
      <c r="EX279" s="49"/>
      <c r="EY279" s="49"/>
      <c r="EZ279" s="49"/>
      <c r="FA279" s="49"/>
    </row>
    <row r="280" spans="1:157" s="210" customFormat="1" ht="76.5" x14ac:dyDescent="0.25">
      <c r="A280" s="113">
        <f>IF(AND('[1]Cockpit Retorno'!$E$67=Sim,Mestre!M280=Mestre!$M$98),0,1)</f>
        <v>1</v>
      </c>
      <c r="B280" s="113">
        <f>IF(AND('[1]Cockpit Retorno'!$E$67=Sim,Mestre!L280=Mestre!$L$48),0,1)</f>
        <v>1</v>
      </c>
      <c r="C280" s="113">
        <f>IF(AND('[1]Cockpit Retorno'!$E$67=Sim,Mestre!M280=Mestre!$M$97),0,1)</f>
        <v>1</v>
      </c>
      <c r="D280" s="148" t="s">
        <v>7</v>
      </c>
      <c r="E280" s="115"/>
      <c r="F280" s="116" t="s">
        <v>107</v>
      </c>
      <c r="G280" s="149"/>
      <c r="H280" s="150" t="s">
        <v>7</v>
      </c>
      <c r="I280" s="151" t="str">
        <f t="shared" si="46"/>
        <v>Mercadorias</v>
      </c>
      <c r="J280" s="150" t="s">
        <v>15</v>
      </c>
      <c r="K280" s="152" t="s">
        <v>7</v>
      </c>
      <c r="L280" s="153" t="s">
        <v>12</v>
      </c>
      <c r="M280" s="154" t="s">
        <v>421</v>
      </c>
      <c r="N280" s="155" t="s">
        <v>370</v>
      </c>
      <c r="O280" s="155" t="s">
        <v>412</v>
      </c>
      <c r="P280" s="155"/>
      <c r="Q280" s="155"/>
      <c r="R280" s="155"/>
      <c r="S280" s="156"/>
      <c r="T280" s="156"/>
      <c r="U280" s="150"/>
      <c r="V280" s="150"/>
      <c r="W280" s="150"/>
      <c r="X280" s="157" t="s">
        <v>427</v>
      </c>
      <c r="Y280" s="150"/>
      <c r="Z280" s="150"/>
      <c r="AA280" s="158"/>
      <c r="AB280" s="155"/>
      <c r="AC280" s="150"/>
      <c r="AD280" s="155"/>
      <c r="AE280" s="155"/>
      <c r="AF280" s="150"/>
      <c r="AG280" s="159">
        <v>30</v>
      </c>
      <c r="AH280" s="211">
        <v>22.32</v>
      </c>
      <c r="AI280" s="202">
        <v>0</v>
      </c>
      <c r="AJ280" s="161">
        <v>0.12</v>
      </c>
      <c r="AK280" s="162"/>
      <c r="AL280" s="163"/>
      <c r="AM280" s="164">
        <f>(((IF(L280=$L$101,1,IF(L280=$L$47,1,0))*(AH280*(1-AK280)))*AG280)*(1-AL280))</f>
        <v>669.6</v>
      </c>
      <c r="AN280" s="165">
        <f>IF(K280=$K$50,AM280,IF(K280=$K$53,AM280,IF(K280=$K$54,AM280,IF(K280=$K$55,AM280,IF(K280=$K$56,AM280,IF(K280=$K$57,AM280,IF(K280=$K$58,AM280,IF(K280=$K$65,AM280,IF(K280=$K$66,AM280,IF(K280=$K$67,AM280,IF(K280=$K$68,AM280,IF(K280=$K$69,AM280,IF(K280=$K$51,AM280,(AM280*(1+AI280)))))))))))))))</f>
        <v>669.6</v>
      </c>
      <c r="AO280" s="166">
        <v>1.4</v>
      </c>
      <c r="AP280" s="160">
        <f t="shared" si="47"/>
        <v>937.43999999999994</v>
      </c>
      <c r="AQ280" s="167">
        <f t="shared" si="53"/>
        <v>812.2592451942345</v>
      </c>
      <c r="AR280" s="160">
        <f t="shared" si="48"/>
        <v>937.43999999999994</v>
      </c>
      <c r="AS280" s="168">
        <f t="shared" si="49"/>
        <v>1.2612750638360886</v>
      </c>
      <c r="AT280" s="169" t="str">
        <f>K280</f>
        <v>MI</v>
      </c>
      <c r="AU280" s="169" t="str">
        <f>I280</f>
        <v>Mercadorias</v>
      </c>
      <c r="AV280" s="170"/>
      <c r="AW280" s="171">
        <f>IF(K280=$K$50,0,IF(K280=$K$53,0,IF(K280=$K$54,0,IF(K280=$K$55,0,IF(K280=$K$56,0,IF(K280=$K$57,0,IF(K280=$K$58,0,IF(K280=$K$65,0,IF(K280=$K$66,0,IF(K280=$K$67,0,IF(K280=$K$68,0,IF(K280=$K$69,0,IF(K280=$K$51,0,1))))))))))))*AM280*AI280)</f>
        <v>0</v>
      </c>
      <c r="AX280" s="172">
        <f>IF(K280=$K$50,0,IF(K280=$K$53,0,IF(K280=$K$54,0,IF(K280=$K$55,0,IF(K280=$K$56,0,IF(K280=$K$57,0,IF(K280=$K$58,0,IF(K280=$K$65,0,IF(K280=$K$66,0,IF(K280=$K$67,0,IF(K280=$K$68,0,IF(K280=$K$69,0,IF(K280=$K$51,0,1))))))))))))*AM280*AJ280*$AX$94)</f>
        <v>0</v>
      </c>
      <c r="AY280" s="172">
        <f>IF(K280=$K$53,0,IF(K280=$K$54,0,IF(K280=$K$55,0,IF(K280=$K$56,0,IF(K280=$K$58,0,IF(K280=$K$50,0,IF(K280=$K$65,0,IF(K280=$K$57,0,IF(K280=$K$51,0,AM280*$AY$102)))))))))</f>
        <v>11.048400000000001</v>
      </c>
      <c r="AZ280" s="172">
        <f>IF(K280=$K$53,0,IF(K280=$K$54,0,IF(K280=$K$55,0,IF(K280=$K$56,0,IF(K280=$K$58,0,IF(K280=$K$50,0,IF(K280=$K$65,0,IF(K280=$K$57,0,IF(K280=$K$51,0,AM280*$AZ$102)))))))))</f>
        <v>50.889600000000002</v>
      </c>
      <c r="BA280" s="172">
        <f t="shared" si="50"/>
        <v>61.938000000000002</v>
      </c>
      <c r="BB280" s="173">
        <f>IF($BA$97=1,AQ280*$BB$102,IF(K280=$K$50,0,IF(K280=$K$53,0,IF(K280=$K$54,0,IF(K280=$K$55,0,IF(K280=$K$56,0,IF(K280=$K$57,0,IF(K280=$K$58,0,IF(K280=$K$65,0,IF(K280=$K$66,0,IF(K280=$K$67,0,IF(K280=$K$68,0,IF(K280=$K$69,0,IF(K280=$K$51,0,1)))))))))))*AQ280*$BB$102)))</f>
        <v>0</v>
      </c>
      <c r="BC280" s="172">
        <f t="shared" si="51"/>
        <v>5.2796850937625246</v>
      </c>
      <c r="BD280" s="172">
        <f t="shared" si="52"/>
        <v>24.367777355827034</v>
      </c>
      <c r="BE280" s="172">
        <f>IF($BE$95=I280,$BE$97,IF(I280=$BE$96,$BE$97,1))*($BE$102*AQ280)*$AZ$97</f>
        <v>0</v>
      </c>
      <c r="BF280" s="172">
        <f>IF('[1]Cockpit Retorno'!$C$65=Sim,Mestre!BA280,SUM(BB280:BE280)+(IF(K280=$K$56,AQ280*MOE_IRRF_LR,0)))</f>
        <v>29.647462449589558</v>
      </c>
      <c r="BG280" s="174">
        <f>IF(AA280&gt;0,0,IF(Z280=$Z$82,AG280*1,(IF(Z280=$Z$81,AG280*1,0))))</f>
        <v>0</v>
      </c>
      <c r="BH280" s="174">
        <f>IF(AA280&gt;0,0,IF(Z280=$Z$83,AG280*1,IF(Z280=$Z$81,AG280*1,0)))</f>
        <v>0</v>
      </c>
      <c r="BI280" s="174">
        <f>IF(AA280&gt;0,0,IF(Z280=$Z$84,AG280*1,IF(Z280=$Z$93,AG280*2,IF(Z280=$Z$100,AG280,IF(Z280=$Z$81,AG280*2,IF(Z280=$Z$80,AG280*1,IF(Z280=$Z$79,AG280*3,IF(Z280=$Z$78,AG280*2,0))))))))</f>
        <v>0</v>
      </c>
      <c r="BJ280" s="174">
        <f>IF(AA280&gt;0,0,IF(Z280=$Z$85,AG280,IF(Z280=$Z$93,AG280,IF(Z280=$Z$100,AG280,IF(Z280=$Z$81,AG280*1,IF(Z280=$Z$80,AG280*2,IF(Z280=$Z$79,AG280*2,IF(Z280=$Z$78,AG280*2,0))))))))</f>
        <v>0</v>
      </c>
      <c r="BK280" s="174">
        <f>IF(AA280&gt;0,0,IF(Z280=$Z$92,AG280,0))</f>
        <v>0</v>
      </c>
      <c r="BL280" s="174">
        <f>IF(AA280&gt;0,0,IF(Z280=$Z$91,AG280,0))</f>
        <v>0</v>
      </c>
      <c r="BM280" s="174">
        <f>IF(AA280&gt;0,0,IF(Z280=$Z$86,AG280,0))</f>
        <v>0</v>
      </c>
      <c r="BN280" s="174">
        <f>IF(AA280&gt;0,0,IF(Z280=$Z$87,AG280,0))</f>
        <v>0</v>
      </c>
      <c r="BO280" s="174">
        <f>IF(AA280&gt;0,0,IF(Z280=$Z$88,AG280,0))</f>
        <v>0</v>
      </c>
      <c r="BP280" s="174">
        <f>IF(AA280&gt;0,0,IF(Z280=$Z$89,AG280,0))</f>
        <v>0</v>
      </c>
      <c r="BQ280" s="174">
        <f>IF(AA280&gt;0,0,IF(Z280=$Z$90,AG280,0))</f>
        <v>0</v>
      </c>
      <c r="BR280" s="174">
        <f>IF(Z280=$Z$82,AA280*AG280,0)</f>
        <v>0</v>
      </c>
      <c r="BS280" s="174">
        <f>IF(Z280=$Z$83,AA280*AG280,0)</f>
        <v>0</v>
      </c>
      <c r="BT280" s="174">
        <f>IF(AA280&lt;1,0,IF(Z280=$Z$84,AA280*AG280,IF(Z280=$Z$93,"ERRO",IF(Z280=$Z$100,"ERRO",0))))</f>
        <v>0</v>
      </c>
      <c r="BU280" s="174">
        <f>IF(AA280&lt;1,0,IF(Z280=$Z$85,AA280*AG280,IF(Z280=$Z$93,"ERRO",IF(Z280=$Z$100,"ERRO",0))))</f>
        <v>0</v>
      </c>
      <c r="BV280" s="174">
        <f>IF(Z280=$Z$92,AA280*AG280,0)</f>
        <v>0</v>
      </c>
      <c r="BW280" s="174">
        <f>IF(Z280=$Z$91,AA280*AG280,0)</f>
        <v>0</v>
      </c>
      <c r="BX280" s="174">
        <f>IF(Z280=$Z$86,AA280*AG280,0)</f>
        <v>0</v>
      </c>
      <c r="BY280" s="174">
        <f>IF(Z280=$Z$87,AA280*AG280,0)</f>
        <v>0</v>
      </c>
      <c r="BZ280" s="174">
        <f>IF(Z280=$Z$88,AA280*AG280,0)</f>
        <v>0</v>
      </c>
      <c r="CA280" s="174">
        <f>IF(Z280=$Z$89,AA280*AG280,0)</f>
        <v>0</v>
      </c>
      <c r="CB280" s="174">
        <f>IF(Z280=$Z$90,AA280*AG280,0)</f>
        <v>0</v>
      </c>
      <c r="CC280" s="175">
        <f>IFERROR(IF(L280=$L$49,AG280*AH280*(1+AI280)*(1-AK280)*(1-AL280),0),0)</f>
        <v>0</v>
      </c>
      <c r="CD280" s="203">
        <f>IF(I280=$CD$97,1,IF(I280=$CD$100,2,IF(K280=$K$66,1,IF(K280=$K$69,1,3))))</f>
        <v>1</v>
      </c>
      <c r="CE280" s="203">
        <f t="shared" si="14"/>
        <v>1.07</v>
      </c>
      <c r="CF280" s="204">
        <f t="shared" si="54"/>
        <v>1.2353999999999998</v>
      </c>
      <c r="CG280" s="203">
        <f t="shared" si="15"/>
        <v>1.42</v>
      </c>
      <c r="CH280" s="204">
        <f t="shared" si="55"/>
        <v>1.5478000000000001</v>
      </c>
      <c r="CI280" s="203">
        <f t="shared" si="16"/>
        <v>1.7</v>
      </c>
      <c r="CJ280" s="205">
        <f t="shared" si="56"/>
        <v>1.0486</v>
      </c>
      <c r="CK280" s="205">
        <f t="shared" si="57"/>
        <v>1.148922</v>
      </c>
      <c r="CL280" s="205">
        <f t="shared" si="58"/>
        <v>1.3915999999999999</v>
      </c>
      <c r="CM280" s="205">
        <f t="shared" si="59"/>
        <v>1.501366</v>
      </c>
      <c r="CN280" s="206">
        <f t="shared" si="60"/>
        <v>1.6319999999999999</v>
      </c>
      <c r="CO280" s="204">
        <f t="shared" si="61"/>
        <v>1.006656</v>
      </c>
      <c r="CP280" s="207">
        <f t="shared" si="62"/>
        <v>-32.290537550410448</v>
      </c>
      <c r="CQ280" s="208">
        <f t="shared" si="63"/>
        <v>844.54978274464497</v>
      </c>
      <c r="CR280" s="209">
        <f t="shared" si="64"/>
        <v>29.647462449589558</v>
      </c>
      <c r="CS280" s="49"/>
      <c r="CT280" s="49"/>
      <c r="CU280" s="49"/>
      <c r="CV280" s="49"/>
      <c r="CW280" s="49"/>
      <c r="CX280" s="49"/>
      <c r="CY280" s="49"/>
      <c r="CZ280" s="49"/>
      <c r="DA280" s="49"/>
      <c r="DB280" s="49"/>
      <c r="DC280" s="49"/>
      <c r="DD280" s="49"/>
      <c r="DE280" s="49"/>
      <c r="DF280" s="49"/>
      <c r="DG280" s="49"/>
      <c r="DH280" s="49"/>
      <c r="DI280" s="49"/>
      <c r="DJ280" s="49"/>
      <c r="DK280" s="49"/>
      <c r="DL280" s="49"/>
      <c r="DM280" s="49"/>
      <c r="DN280" s="49"/>
      <c r="DO280" s="49"/>
      <c r="DP280" s="49"/>
      <c r="DQ280" s="49"/>
      <c r="DR280" s="49"/>
      <c r="DS280" s="49"/>
      <c r="DT280" s="49"/>
      <c r="DU280" s="49"/>
      <c r="DV280" s="49"/>
      <c r="DW280" s="49"/>
      <c r="DX280" s="49"/>
      <c r="DY280" s="49"/>
      <c r="DZ280" s="49"/>
      <c r="EA280" s="49"/>
      <c r="EB280" s="49"/>
      <c r="EC280" s="49"/>
      <c r="ED280" s="49"/>
      <c r="EE280" s="49"/>
      <c r="EF280" s="49"/>
      <c r="EG280" s="49"/>
      <c r="EH280" s="49"/>
      <c r="EI280" s="49"/>
      <c r="EJ280" s="49"/>
      <c r="EK280" s="49"/>
      <c r="EL280" s="49"/>
      <c r="EM280" s="49"/>
      <c r="EN280" s="49"/>
      <c r="EO280" s="49"/>
      <c r="EP280" s="49"/>
      <c r="EQ280" s="49"/>
      <c r="ER280" s="49"/>
      <c r="ES280" s="49"/>
      <c r="ET280" s="49"/>
      <c r="EU280" s="49"/>
      <c r="EV280" s="49"/>
      <c r="EW280" s="49"/>
      <c r="EX280" s="49"/>
      <c r="EY280" s="49"/>
      <c r="EZ280" s="49"/>
      <c r="FA280" s="49"/>
    </row>
    <row r="281" spans="1:157" s="210" customFormat="1" ht="63.75" x14ac:dyDescent="0.25">
      <c r="A281" s="113">
        <f>IF(AND('[1]Cockpit Retorno'!$E$67=Sim,Mestre!M281=Mestre!$M$98),0,1)</f>
        <v>1</v>
      </c>
      <c r="B281" s="113">
        <f>IF(AND('[1]Cockpit Retorno'!$E$67=Sim,Mestre!L281=Mestre!$L$48),0,1)</f>
        <v>1</v>
      </c>
      <c r="C281" s="113">
        <f>IF(AND('[1]Cockpit Retorno'!$E$67=Sim,Mestre!M281=Mestre!$M$97),0,1)</f>
        <v>1</v>
      </c>
      <c r="D281" s="148" t="s">
        <v>7</v>
      </c>
      <c r="E281" s="115"/>
      <c r="F281" s="116" t="s">
        <v>107</v>
      </c>
      <c r="G281" s="149"/>
      <c r="H281" s="150" t="s">
        <v>7</v>
      </c>
      <c r="I281" s="151" t="str">
        <f t="shared" si="46"/>
        <v>Mercadorias</v>
      </c>
      <c r="J281" s="150" t="s">
        <v>15</v>
      </c>
      <c r="K281" s="152" t="s">
        <v>7</v>
      </c>
      <c r="L281" s="153" t="s">
        <v>12</v>
      </c>
      <c r="M281" s="154" t="s">
        <v>421</v>
      </c>
      <c r="N281" s="155" t="s">
        <v>370</v>
      </c>
      <c r="O281" s="155" t="s">
        <v>412</v>
      </c>
      <c r="P281" s="155"/>
      <c r="Q281" s="155"/>
      <c r="R281" s="155"/>
      <c r="S281" s="156"/>
      <c r="T281" s="156"/>
      <c r="U281" s="150"/>
      <c r="V281" s="150"/>
      <c r="W281" s="150"/>
      <c r="X281" s="157" t="s">
        <v>428</v>
      </c>
      <c r="Y281" s="150"/>
      <c r="Z281" s="150"/>
      <c r="AA281" s="158"/>
      <c r="AB281" s="155"/>
      <c r="AC281" s="150"/>
      <c r="AD281" s="155"/>
      <c r="AE281" s="155"/>
      <c r="AF281" s="150"/>
      <c r="AG281" s="159">
        <v>80</v>
      </c>
      <c r="AH281" s="211">
        <v>13.950000000000001</v>
      </c>
      <c r="AI281" s="202">
        <v>0</v>
      </c>
      <c r="AJ281" s="161">
        <v>0.12</v>
      </c>
      <c r="AK281" s="162"/>
      <c r="AL281" s="163"/>
      <c r="AM281" s="164">
        <f>(((IF(L281=$L$101,1,IF(L281=$L$47,1,0))*(AH281*(1-AK281)))*AG281)*(1-AL281))</f>
        <v>1116</v>
      </c>
      <c r="AN281" s="165">
        <f>IF(K281=$K$50,AM281,IF(K281=$K$53,AM281,IF(K281=$K$54,AM281,IF(K281=$K$55,AM281,IF(K281=$K$56,AM281,IF(K281=$K$57,AM281,IF(K281=$K$58,AM281,IF(K281=$K$65,AM281,IF(K281=$K$66,AM281,IF(K281=$K$67,AM281,IF(K281=$K$68,AM281,IF(K281=$K$69,AM281,IF(K281=$K$51,AM281,(AM281*(1+AI281)))))))))))))))</f>
        <v>1116</v>
      </c>
      <c r="AO281" s="166">
        <v>1.4</v>
      </c>
      <c r="AP281" s="160">
        <f t="shared" si="47"/>
        <v>1562.3999999999999</v>
      </c>
      <c r="AQ281" s="167">
        <f t="shared" si="53"/>
        <v>1353.7654086570574</v>
      </c>
      <c r="AR281" s="160">
        <f t="shared" si="48"/>
        <v>1562.3999999999999</v>
      </c>
      <c r="AS281" s="168">
        <f t="shared" si="49"/>
        <v>1.2612750638360886</v>
      </c>
      <c r="AT281" s="169" t="str">
        <f>K281</f>
        <v>MI</v>
      </c>
      <c r="AU281" s="169" t="str">
        <f>I281</f>
        <v>Mercadorias</v>
      </c>
      <c r="AV281" s="170"/>
      <c r="AW281" s="171">
        <f>IF(K281=$K$50,0,IF(K281=$K$53,0,IF(K281=$K$54,0,IF(K281=$K$55,0,IF(K281=$K$56,0,IF(K281=$K$57,0,IF(K281=$K$58,0,IF(K281=$K$65,0,IF(K281=$K$66,0,IF(K281=$K$67,0,IF(K281=$K$68,0,IF(K281=$K$69,0,IF(K281=$K$51,0,1))))))))))))*AM281*AI281)</f>
        <v>0</v>
      </c>
      <c r="AX281" s="172">
        <f>IF(K281=$K$50,0,IF(K281=$K$53,0,IF(K281=$K$54,0,IF(K281=$K$55,0,IF(K281=$K$56,0,IF(K281=$K$57,0,IF(K281=$K$58,0,IF(K281=$K$65,0,IF(K281=$K$66,0,IF(K281=$K$67,0,IF(K281=$K$68,0,IF(K281=$K$69,0,IF(K281=$K$51,0,1))))))))))))*AM281*AJ281*$AX$94)</f>
        <v>0</v>
      </c>
      <c r="AY281" s="172">
        <f>IF(K281=$K$53,0,IF(K281=$K$54,0,IF(K281=$K$55,0,IF(K281=$K$56,0,IF(K281=$K$58,0,IF(K281=$K$50,0,IF(K281=$K$65,0,IF(K281=$K$57,0,IF(K281=$K$51,0,AM281*$AY$102)))))))))</f>
        <v>18.414000000000001</v>
      </c>
      <c r="AZ281" s="172">
        <f>IF(K281=$K$53,0,IF(K281=$K$54,0,IF(K281=$K$55,0,IF(K281=$K$56,0,IF(K281=$K$58,0,IF(K281=$K$50,0,IF(K281=$K$65,0,IF(K281=$K$57,0,IF(K281=$K$51,0,AM281*$AZ$102)))))))))</f>
        <v>84.816000000000003</v>
      </c>
      <c r="BA281" s="172">
        <f t="shared" si="50"/>
        <v>103.23</v>
      </c>
      <c r="BB281" s="173">
        <f>IF($BA$97=1,AQ281*$BB$102,IF(K281=$K$50,0,IF(K281=$K$53,0,IF(K281=$K$54,0,IF(K281=$K$55,0,IF(K281=$K$56,0,IF(K281=$K$57,0,IF(K281=$K$58,0,IF(K281=$K$65,0,IF(K281=$K$66,0,IF(K281=$K$67,0,IF(K281=$K$68,0,IF(K281=$K$69,0,IF(K281=$K$51,0,1)))))))))))*AQ281*$BB$102)))</f>
        <v>0</v>
      </c>
      <c r="BC281" s="172">
        <f t="shared" si="51"/>
        <v>8.7994751562708728</v>
      </c>
      <c r="BD281" s="172">
        <f t="shared" si="52"/>
        <v>40.612962259711722</v>
      </c>
      <c r="BE281" s="172">
        <f>IF($BE$95=I281,$BE$97,IF(I281=$BE$96,$BE$97,1))*($BE$102*AQ281)*$AZ$97</f>
        <v>0</v>
      </c>
      <c r="BF281" s="172">
        <f>IF('[1]Cockpit Retorno'!$C$65=Sim,Mestre!BA281,SUM(BB281:BE281)+(IF(K281=$K$56,AQ281*MOE_IRRF_LR,0)))</f>
        <v>49.412437415982595</v>
      </c>
      <c r="BG281" s="174">
        <f>IF(AA281&gt;0,0,IF(Z281=$Z$82,AG281*1,(IF(Z281=$Z$81,AG281*1,0))))</f>
        <v>0</v>
      </c>
      <c r="BH281" s="174">
        <f>IF(AA281&gt;0,0,IF(Z281=$Z$83,AG281*1,IF(Z281=$Z$81,AG281*1,0)))</f>
        <v>0</v>
      </c>
      <c r="BI281" s="174">
        <f>IF(AA281&gt;0,0,IF(Z281=$Z$84,AG281*1,IF(Z281=$Z$93,AG281*2,IF(Z281=$Z$100,AG281,IF(Z281=$Z$81,AG281*2,IF(Z281=$Z$80,AG281*1,IF(Z281=$Z$79,AG281*3,IF(Z281=$Z$78,AG281*2,0))))))))</f>
        <v>0</v>
      </c>
      <c r="BJ281" s="174">
        <f>IF(AA281&gt;0,0,IF(Z281=$Z$85,AG281,IF(Z281=$Z$93,AG281,IF(Z281=$Z$100,AG281,IF(Z281=$Z$81,AG281*1,IF(Z281=$Z$80,AG281*2,IF(Z281=$Z$79,AG281*2,IF(Z281=$Z$78,AG281*2,0))))))))</f>
        <v>0</v>
      </c>
      <c r="BK281" s="174">
        <f>IF(AA281&gt;0,0,IF(Z281=$Z$92,AG281,0))</f>
        <v>0</v>
      </c>
      <c r="BL281" s="174">
        <f>IF(AA281&gt;0,0,IF(Z281=$Z$91,AG281,0))</f>
        <v>0</v>
      </c>
      <c r="BM281" s="174">
        <f>IF(AA281&gt;0,0,IF(Z281=$Z$86,AG281,0))</f>
        <v>0</v>
      </c>
      <c r="BN281" s="174">
        <f>IF(AA281&gt;0,0,IF(Z281=$Z$87,AG281,0))</f>
        <v>0</v>
      </c>
      <c r="BO281" s="174">
        <f>IF(AA281&gt;0,0,IF(Z281=$Z$88,AG281,0))</f>
        <v>0</v>
      </c>
      <c r="BP281" s="174">
        <f>IF(AA281&gt;0,0,IF(Z281=$Z$89,AG281,0))</f>
        <v>0</v>
      </c>
      <c r="BQ281" s="174">
        <f>IF(AA281&gt;0,0,IF(Z281=$Z$90,AG281,0))</f>
        <v>0</v>
      </c>
      <c r="BR281" s="174">
        <f>IF(Z281=$Z$82,AA281*AG281,0)</f>
        <v>0</v>
      </c>
      <c r="BS281" s="174">
        <f>IF(Z281=$Z$83,AA281*AG281,0)</f>
        <v>0</v>
      </c>
      <c r="BT281" s="174">
        <f>IF(AA281&lt;1,0,IF(Z281=$Z$84,AA281*AG281,IF(Z281=$Z$93,"ERRO",IF(Z281=$Z$100,"ERRO",0))))</f>
        <v>0</v>
      </c>
      <c r="BU281" s="174">
        <f>IF(AA281&lt;1,0,IF(Z281=$Z$85,AA281*AG281,IF(Z281=$Z$93,"ERRO",IF(Z281=$Z$100,"ERRO",0))))</f>
        <v>0</v>
      </c>
      <c r="BV281" s="174">
        <f>IF(Z281=$Z$92,AA281*AG281,0)</f>
        <v>0</v>
      </c>
      <c r="BW281" s="174">
        <f>IF(Z281=$Z$91,AA281*AG281,0)</f>
        <v>0</v>
      </c>
      <c r="BX281" s="174">
        <f>IF(Z281=$Z$86,AA281*AG281,0)</f>
        <v>0</v>
      </c>
      <c r="BY281" s="174">
        <f>IF(Z281=$Z$87,AA281*AG281,0)</f>
        <v>0</v>
      </c>
      <c r="BZ281" s="174">
        <f>IF(Z281=$Z$88,AA281*AG281,0)</f>
        <v>0</v>
      </c>
      <c r="CA281" s="174">
        <f>IF(Z281=$Z$89,AA281*AG281,0)</f>
        <v>0</v>
      </c>
      <c r="CB281" s="174">
        <f>IF(Z281=$Z$90,AA281*AG281,0)</f>
        <v>0</v>
      </c>
      <c r="CC281" s="175">
        <f>IFERROR(IF(L281=$L$49,AG281*AH281*(1+AI281)*(1-AK281)*(1-AL281),0),0)</f>
        <v>0</v>
      </c>
      <c r="CD281" s="203">
        <f>IF(I281=$CD$97,1,IF(I281=$CD$100,2,IF(K281=$K$66,1,IF(K281=$K$69,1,3))))</f>
        <v>1</v>
      </c>
      <c r="CE281" s="203">
        <f t="shared" si="14"/>
        <v>1.07</v>
      </c>
      <c r="CF281" s="204">
        <f t="shared" si="54"/>
        <v>1.2353999999999998</v>
      </c>
      <c r="CG281" s="203">
        <f t="shared" si="15"/>
        <v>1.42</v>
      </c>
      <c r="CH281" s="204">
        <f t="shared" si="55"/>
        <v>1.5478000000000001</v>
      </c>
      <c r="CI281" s="203">
        <f t="shared" si="16"/>
        <v>1.7</v>
      </c>
      <c r="CJ281" s="205">
        <f t="shared" si="56"/>
        <v>1.0486</v>
      </c>
      <c r="CK281" s="205">
        <f t="shared" si="57"/>
        <v>1.148922</v>
      </c>
      <c r="CL281" s="205">
        <f t="shared" si="58"/>
        <v>1.3915999999999999</v>
      </c>
      <c r="CM281" s="205">
        <f t="shared" si="59"/>
        <v>1.501366</v>
      </c>
      <c r="CN281" s="206">
        <f t="shared" si="60"/>
        <v>1.6319999999999999</v>
      </c>
      <c r="CO281" s="204">
        <f t="shared" si="61"/>
        <v>1.006656</v>
      </c>
      <c r="CP281" s="207">
        <f t="shared" si="62"/>
        <v>-53.817562584017409</v>
      </c>
      <c r="CQ281" s="208">
        <f t="shared" si="63"/>
        <v>1407.5829712410748</v>
      </c>
      <c r="CR281" s="209">
        <f t="shared" si="64"/>
        <v>49.412437415982595</v>
      </c>
      <c r="CS281" s="49"/>
      <c r="CT281" s="49"/>
      <c r="CU281" s="49"/>
      <c r="CV281" s="49"/>
      <c r="CW281" s="49"/>
      <c r="CX281" s="49"/>
      <c r="CY281" s="49"/>
      <c r="CZ281" s="49"/>
      <c r="DA281" s="49"/>
      <c r="DB281" s="49"/>
      <c r="DC281" s="49"/>
      <c r="DD281" s="49"/>
      <c r="DE281" s="49"/>
      <c r="DF281" s="49"/>
      <c r="DG281" s="49"/>
      <c r="DH281" s="49"/>
      <c r="DI281" s="49"/>
      <c r="DJ281" s="49"/>
      <c r="DK281" s="49"/>
      <c r="DL281" s="49"/>
      <c r="DM281" s="49"/>
      <c r="DN281" s="49"/>
      <c r="DO281" s="49"/>
      <c r="DP281" s="49"/>
      <c r="DQ281" s="49"/>
      <c r="DR281" s="49"/>
      <c r="DS281" s="49"/>
      <c r="DT281" s="49"/>
      <c r="DU281" s="49"/>
      <c r="DV281" s="49"/>
      <c r="DW281" s="49"/>
      <c r="DX281" s="49"/>
      <c r="DY281" s="49"/>
      <c r="DZ281" s="49"/>
      <c r="EA281" s="49"/>
      <c r="EB281" s="49"/>
      <c r="EC281" s="49"/>
      <c r="ED281" s="49"/>
      <c r="EE281" s="49"/>
      <c r="EF281" s="49"/>
      <c r="EG281" s="49"/>
      <c r="EH281" s="49"/>
      <c r="EI281" s="49"/>
      <c r="EJ281" s="49"/>
      <c r="EK281" s="49"/>
      <c r="EL281" s="49"/>
      <c r="EM281" s="49"/>
      <c r="EN281" s="49"/>
      <c r="EO281" s="49"/>
      <c r="EP281" s="49"/>
      <c r="EQ281" s="49"/>
      <c r="ER281" s="49"/>
      <c r="ES281" s="49"/>
      <c r="ET281" s="49"/>
      <c r="EU281" s="49"/>
      <c r="EV281" s="49"/>
      <c r="EW281" s="49"/>
      <c r="EX281" s="49"/>
      <c r="EY281" s="49"/>
      <c r="EZ281" s="49"/>
      <c r="FA281" s="49"/>
    </row>
    <row r="282" spans="1:157" s="210" customFormat="1" ht="76.5" x14ac:dyDescent="0.25">
      <c r="A282" s="113">
        <f>IF(AND('[1]Cockpit Retorno'!$E$67=Sim,Mestre!M282=Mestre!$M$98),0,1)</f>
        <v>1</v>
      </c>
      <c r="B282" s="113">
        <f>IF(AND('[1]Cockpit Retorno'!$E$67=Sim,Mestre!L282=Mestre!$L$48),0,1)</f>
        <v>1</v>
      </c>
      <c r="C282" s="113">
        <f>IF(AND('[1]Cockpit Retorno'!$E$67=Sim,Mestre!M282=Mestre!$M$97),0,1)</f>
        <v>1</v>
      </c>
      <c r="D282" s="148" t="s">
        <v>7</v>
      </c>
      <c r="E282" s="115"/>
      <c r="F282" s="116" t="s">
        <v>107</v>
      </c>
      <c r="G282" s="149"/>
      <c r="H282" s="150" t="s">
        <v>7</v>
      </c>
      <c r="I282" s="151" t="str">
        <f t="shared" si="46"/>
        <v>Mercadorias</v>
      </c>
      <c r="J282" s="150" t="s">
        <v>15</v>
      </c>
      <c r="K282" s="152" t="s">
        <v>7</v>
      </c>
      <c r="L282" s="153" t="s">
        <v>12</v>
      </c>
      <c r="M282" s="154" t="s">
        <v>421</v>
      </c>
      <c r="N282" s="155" t="s">
        <v>370</v>
      </c>
      <c r="O282" s="155" t="s">
        <v>412</v>
      </c>
      <c r="P282" s="155"/>
      <c r="Q282" s="155"/>
      <c r="R282" s="155"/>
      <c r="S282" s="156"/>
      <c r="T282" s="156"/>
      <c r="U282" s="150"/>
      <c r="V282" s="150"/>
      <c r="W282" s="150"/>
      <c r="X282" s="157" t="s">
        <v>429</v>
      </c>
      <c r="Y282" s="150"/>
      <c r="Z282" s="150"/>
      <c r="AA282" s="158"/>
      <c r="AB282" s="155"/>
      <c r="AC282" s="150"/>
      <c r="AD282" s="155"/>
      <c r="AE282" s="155"/>
      <c r="AF282" s="150"/>
      <c r="AG282" s="159">
        <v>30</v>
      </c>
      <c r="AH282" s="211">
        <v>25.110000000000003</v>
      </c>
      <c r="AI282" s="202">
        <v>0</v>
      </c>
      <c r="AJ282" s="161">
        <v>0.12</v>
      </c>
      <c r="AK282" s="162"/>
      <c r="AL282" s="163"/>
      <c r="AM282" s="164">
        <f>(((IF(L282=$L$101,1,IF(L282=$L$47,1,0))*(AH282*(1-AK282)))*AG282)*(1-AL282))</f>
        <v>753.30000000000007</v>
      </c>
      <c r="AN282" s="165">
        <f>IF(K282=$K$50,AM282,IF(K282=$K$53,AM282,IF(K282=$K$54,AM282,IF(K282=$K$55,AM282,IF(K282=$K$56,AM282,IF(K282=$K$57,AM282,IF(K282=$K$58,AM282,IF(K282=$K$65,AM282,IF(K282=$K$66,AM282,IF(K282=$K$67,AM282,IF(K282=$K$68,AM282,IF(K282=$K$69,AM282,IF(K282=$K$51,AM282,(AM282*(1+AI282)))))))))))))))</f>
        <v>753.30000000000007</v>
      </c>
      <c r="AO282" s="166">
        <v>1.4</v>
      </c>
      <c r="AP282" s="160">
        <f t="shared" si="47"/>
        <v>1054.6200000000001</v>
      </c>
      <c r="AQ282" s="167">
        <f t="shared" si="53"/>
        <v>913.79165084351393</v>
      </c>
      <c r="AR282" s="160">
        <f t="shared" si="48"/>
        <v>1054.6200000000001</v>
      </c>
      <c r="AS282" s="168">
        <f t="shared" si="49"/>
        <v>1.2612750638360886</v>
      </c>
      <c r="AT282" s="169" t="str">
        <f>K282</f>
        <v>MI</v>
      </c>
      <c r="AU282" s="169" t="str">
        <f>I282</f>
        <v>Mercadorias</v>
      </c>
      <c r="AV282" s="170"/>
      <c r="AW282" s="171">
        <f>IF(K282=$K$50,0,IF(K282=$K$53,0,IF(K282=$K$54,0,IF(K282=$K$55,0,IF(K282=$K$56,0,IF(K282=$K$57,0,IF(K282=$K$58,0,IF(K282=$K$65,0,IF(K282=$K$66,0,IF(K282=$K$67,0,IF(K282=$K$68,0,IF(K282=$K$69,0,IF(K282=$K$51,0,1))))))))))))*AM282*AI282)</f>
        <v>0</v>
      </c>
      <c r="AX282" s="172">
        <f>IF(K282=$K$50,0,IF(K282=$K$53,0,IF(K282=$K$54,0,IF(K282=$K$55,0,IF(K282=$K$56,0,IF(K282=$K$57,0,IF(K282=$K$58,0,IF(K282=$K$65,0,IF(K282=$K$66,0,IF(K282=$K$67,0,IF(K282=$K$68,0,IF(K282=$K$69,0,IF(K282=$K$51,0,1))))))))))))*AM282*AJ282*$AX$94)</f>
        <v>0</v>
      </c>
      <c r="AY282" s="172">
        <f>IF(K282=$K$53,0,IF(K282=$K$54,0,IF(K282=$K$55,0,IF(K282=$K$56,0,IF(K282=$K$58,0,IF(K282=$K$50,0,IF(K282=$K$65,0,IF(K282=$K$57,0,IF(K282=$K$51,0,AM282*$AY$102)))))))))</f>
        <v>12.429450000000001</v>
      </c>
      <c r="AZ282" s="172">
        <f>IF(K282=$K$53,0,IF(K282=$K$54,0,IF(K282=$K$55,0,IF(K282=$K$56,0,IF(K282=$K$58,0,IF(K282=$K$50,0,IF(K282=$K$65,0,IF(K282=$K$57,0,IF(K282=$K$51,0,AM282*$AZ$102)))))))))</f>
        <v>57.250800000000005</v>
      </c>
      <c r="BA282" s="172">
        <f t="shared" si="50"/>
        <v>69.680250000000001</v>
      </c>
      <c r="BB282" s="173">
        <f>IF($BA$97=1,AQ282*$BB$102,IF(K282=$K$50,0,IF(K282=$K$53,0,IF(K282=$K$54,0,IF(K282=$K$55,0,IF(K282=$K$56,0,IF(K282=$K$57,0,IF(K282=$K$58,0,IF(K282=$K$65,0,IF(K282=$K$66,0,IF(K282=$K$67,0,IF(K282=$K$68,0,IF(K282=$K$69,0,IF(K282=$K$51,0,1)))))))))))*AQ282*$BB$102)))</f>
        <v>0</v>
      </c>
      <c r="BC282" s="172">
        <f t="shared" si="51"/>
        <v>5.9396457304828409</v>
      </c>
      <c r="BD282" s="172">
        <f t="shared" si="52"/>
        <v>27.413749525305416</v>
      </c>
      <c r="BE282" s="172">
        <f>IF($BE$95=I282,$BE$97,IF(I282=$BE$96,$BE$97,1))*($BE$102*AQ282)*$AZ$97</f>
        <v>0</v>
      </c>
      <c r="BF282" s="172">
        <f>IF('[1]Cockpit Retorno'!$C$65=Sim,Mestre!BA282,SUM(BB282:BE282)+(IF(K282=$K$56,AQ282*MOE_IRRF_LR,0)))</f>
        <v>33.353395255788257</v>
      </c>
      <c r="BG282" s="174">
        <f>IF(AA282&gt;0,0,IF(Z282=$Z$82,AG282*1,(IF(Z282=$Z$81,AG282*1,0))))</f>
        <v>0</v>
      </c>
      <c r="BH282" s="174">
        <f>IF(AA282&gt;0,0,IF(Z282=$Z$83,AG282*1,IF(Z282=$Z$81,AG282*1,0)))</f>
        <v>0</v>
      </c>
      <c r="BI282" s="174">
        <f>IF(AA282&gt;0,0,IF(Z282=$Z$84,AG282*1,IF(Z282=$Z$93,AG282*2,IF(Z282=$Z$100,AG282,IF(Z282=$Z$81,AG282*2,IF(Z282=$Z$80,AG282*1,IF(Z282=$Z$79,AG282*3,IF(Z282=$Z$78,AG282*2,0))))))))</f>
        <v>0</v>
      </c>
      <c r="BJ282" s="174">
        <f>IF(AA282&gt;0,0,IF(Z282=$Z$85,AG282,IF(Z282=$Z$93,AG282,IF(Z282=$Z$100,AG282,IF(Z282=$Z$81,AG282*1,IF(Z282=$Z$80,AG282*2,IF(Z282=$Z$79,AG282*2,IF(Z282=$Z$78,AG282*2,0))))))))</f>
        <v>0</v>
      </c>
      <c r="BK282" s="174">
        <f>IF(AA282&gt;0,0,IF(Z282=$Z$92,AG282,0))</f>
        <v>0</v>
      </c>
      <c r="BL282" s="174">
        <f>IF(AA282&gt;0,0,IF(Z282=$Z$91,AG282,0))</f>
        <v>0</v>
      </c>
      <c r="BM282" s="174">
        <f>IF(AA282&gt;0,0,IF(Z282=$Z$86,AG282,0))</f>
        <v>0</v>
      </c>
      <c r="BN282" s="174">
        <f>IF(AA282&gt;0,0,IF(Z282=$Z$87,AG282,0))</f>
        <v>0</v>
      </c>
      <c r="BO282" s="174">
        <f>IF(AA282&gt;0,0,IF(Z282=$Z$88,AG282,0))</f>
        <v>0</v>
      </c>
      <c r="BP282" s="174">
        <f>IF(AA282&gt;0,0,IF(Z282=$Z$89,AG282,0))</f>
        <v>0</v>
      </c>
      <c r="BQ282" s="174">
        <f>IF(AA282&gt;0,0,IF(Z282=$Z$90,AG282,0))</f>
        <v>0</v>
      </c>
      <c r="BR282" s="174">
        <f>IF(Z282=$Z$82,AA282*AG282,0)</f>
        <v>0</v>
      </c>
      <c r="BS282" s="174">
        <f>IF(Z282=$Z$83,AA282*AG282,0)</f>
        <v>0</v>
      </c>
      <c r="BT282" s="174">
        <f>IF(AA282&lt;1,0,IF(Z282=$Z$84,AA282*AG282,IF(Z282=$Z$93,"ERRO",IF(Z282=$Z$100,"ERRO",0))))</f>
        <v>0</v>
      </c>
      <c r="BU282" s="174">
        <f>IF(AA282&lt;1,0,IF(Z282=$Z$85,AA282*AG282,IF(Z282=$Z$93,"ERRO",IF(Z282=$Z$100,"ERRO",0))))</f>
        <v>0</v>
      </c>
      <c r="BV282" s="174">
        <f>IF(Z282=$Z$92,AA282*AG282,0)</f>
        <v>0</v>
      </c>
      <c r="BW282" s="174">
        <f>IF(Z282=$Z$91,AA282*AG282,0)</f>
        <v>0</v>
      </c>
      <c r="BX282" s="174">
        <f>IF(Z282=$Z$86,AA282*AG282,0)</f>
        <v>0</v>
      </c>
      <c r="BY282" s="174">
        <f>IF(Z282=$Z$87,AA282*AG282,0)</f>
        <v>0</v>
      </c>
      <c r="BZ282" s="174">
        <f>IF(Z282=$Z$88,AA282*AG282,0)</f>
        <v>0</v>
      </c>
      <c r="CA282" s="174">
        <f>IF(Z282=$Z$89,AA282*AG282,0)</f>
        <v>0</v>
      </c>
      <c r="CB282" s="174">
        <f>IF(Z282=$Z$90,AA282*AG282,0)</f>
        <v>0</v>
      </c>
      <c r="CC282" s="175">
        <f>IFERROR(IF(L282=$L$49,AG282*AH282*(1+AI282)*(1-AK282)*(1-AL282),0),0)</f>
        <v>0</v>
      </c>
      <c r="CD282" s="203">
        <f>IF(I282=$CD$97,1,IF(I282=$CD$100,2,IF(K282=$K$66,1,IF(K282=$K$69,1,3))))</f>
        <v>1</v>
      </c>
      <c r="CE282" s="203">
        <f t="shared" si="14"/>
        <v>1.07</v>
      </c>
      <c r="CF282" s="204">
        <f t="shared" si="54"/>
        <v>1.2353999999999998</v>
      </c>
      <c r="CG282" s="203">
        <f t="shared" si="15"/>
        <v>1.42</v>
      </c>
      <c r="CH282" s="204">
        <f t="shared" si="55"/>
        <v>1.5478000000000001</v>
      </c>
      <c r="CI282" s="203">
        <f t="shared" si="16"/>
        <v>1.7</v>
      </c>
      <c r="CJ282" s="205">
        <f t="shared" si="56"/>
        <v>1.0486</v>
      </c>
      <c r="CK282" s="205">
        <f t="shared" si="57"/>
        <v>1.148922</v>
      </c>
      <c r="CL282" s="205">
        <f t="shared" si="58"/>
        <v>1.3915999999999999</v>
      </c>
      <c r="CM282" s="205">
        <f t="shared" si="59"/>
        <v>1.501366</v>
      </c>
      <c r="CN282" s="206">
        <f t="shared" si="60"/>
        <v>1.6319999999999999</v>
      </c>
      <c r="CO282" s="204">
        <f t="shared" si="61"/>
        <v>1.006656</v>
      </c>
      <c r="CP282" s="207">
        <f t="shared" si="62"/>
        <v>-36.326854744211744</v>
      </c>
      <c r="CQ282" s="208">
        <f t="shared" si="63"/>
        <v>950.11850558772562</v>
      </c>
      <c r="CR282" s="209">
        <f t="shared" si="64"/>
        <v>33.353395255788257</v>
      </c>
      <c r="CS282" s="49"/>
      <c r="CT282" s="49"/>
      <c r="CU282" s="49"/>
      <c r="CV282" s="49"/>
      <c r="CW282" s="49"/>
      <c r="CX282" s="49"/>
      <c r="CY282" s="49"/>
      <c r="CZ282" s="49"/>
      <c r="DA282" s="49"/>
      <c r="DB282" s="49"/>
      <c r="DC282" s="49"/>
      <c r="DD282" s="49"/>
      <c r="DE282" s="49"/>
      <c r="DF282" s="49"/>
      <c r="DG282" s="49"/>
      <c r="DH282" s="49"/>
      <c r="DI282" s="49"/>
      <c r="DJ282" s="49"/>
      <c r="DK282" s="49"/>
      <c r="DL282" s="49"/>
      <c r="DM282" s="49"/>
      <c r="DN282" s="49"/>
      <c r="DO282" s="49"/>
      <c r="DP282" s="49"/>
      <c r="DQ282" s="49"/>
      <c r="DR282" s="49"/>
      <c r="DS282" s="49"/>
      <c r="DT282" s="49"/>
      <c r="DU282" s="49"/>
      <c r="DV282" s="49"/>
      <c r="DW282" s="49"/>
      <c r="DX282" s="49"/>
      <c r="DY282" s="49"/>
      <c r="DZ282" s="49"/>
      <c r="EA282" s="49"/>
      <c r="EB282" s="49"/>
      <c r="EC282" s="49"/>
      <c r="ED282" s="49"/>
      <c r="EE282" s="49"/>
      <c r="EF282" s="49"/>
      <c r="EG282" s="49"/>
      <c r="EH282" s="49"/>
      <c r="EI282" s="49"/>
      <c r="EJ282" s="49"/>
      <c r="EK282" s="49"/>
      <c r="EL282" s="49"/>
      <c r="EM282" s="49"/>
      <c r="EN282" s="49"/>
      <c r="EO282" s="49"/>
      <c r="EP282" s="49"/>
      <c r="EQ282" s="49"/>
      <c r="ER282" s="49"/>
      <c r="ES282" s="49"/>
      <c r="ET282" s="49"/>
      <c r="EU282" s="49"/>
      <c r="EV282" s="49"/>
      <c r="EW282" s="49"/>
      <c r="EX282" s="49"/>
      <c r="EY282" s="49"/>
      <c r="EZ282" s="49"/>
      <c r="FA282" s="49"/>
    </row>
    <row r="283" spans="1:157" s="210" customFormat="1" ht="25.5" x14ac:dyDescent="0.25">
      <c r="A283" s="113">
        <f>IF(AND('[1]Cockpit Retorno'!$E$67=Sim,Mestre!M283=Mestre!$M$98),0,1)</f>
        <v>1</v>
      </c>
      <c r="B283" s="113">
        <f>IF(AND('[1]Cockpit Retorno'!$E$67=Sim,Mestre!L283=Mestre!$L$48),0,1)</f>
        <v>1</v>
      </c>
      <c r="C283" s="113">
        <f>IF(AND('[1]Cockpit Retorno'!$E$67=Sim,Mestre!M283=Mestre!$M$97),0,1)</f>
        <v>1</v>
      </c>
      <c r="D283" s="148" t="s">
        <v>7</v>
      </c>
      <c r="E283" s="115"/>
      <c r="F283" s="116" t="s">
        <v>107</v>
      </c>
      <c r="G283" s="149"/>
      <c r="H283" s="150" t="s">
        <v>7</v>
      </c>
      <c r="I283" s="151" t="str">
        <f t="shared" si="46"/>
        <v>Mercadorias</v>
      </c>
      <c r="J283" s="150" t="s">
        <v>15</v>
      </c>
      <c r="K283" s="152" t="s">
        <v>7</v>
      </c>
      <c r="L283" s="153" t="s">
        <v>12</v>
      </c>
      <c r="M283" s="154" t="s">
        <v>430</v>
      </c>
      <c r="N283" s="155" t="s">
        <v>370</v>
      </c>
      <c r="O283" s="155" t="s">
        <v>412</v>
      </c>
      <c r="P283" s="155"/>
      <c r="Q283" s="155"/>
      <c r="R283" s="155"/>
      <c r="S283" s="156"/>
      <c r="T283" s="156"/>
      <c r="U283" s="150"/>
      <c r="V283" s="150"/>
      <c r="W283" s="150"/>
      <c r="X283" s="157" t="s">
        <v>431</v>
      </c>
      <c r="Y283" s="150"/>
      <c r="Z283" s="150"/>
      <c r="AA283" s="158"/>
      <c r="AB283" s="155"/>
      <c r="AC283" s="150"/>
      <c r="AD283" s="155"/>
      <c r="AE283" s="155"/>
      <c r="AF283" s="150"/>
      <c r="AG283" s="159">
        <v>600</v>
      </c>
      <c r="AH283" s="211">
        <v>2.0460000000000003</v>
      </c>
      <c r="AI283" s="202">
        <v>0</v>
      </c>
      <c r="AJ283" s="161">
        <v>0.12</v>
      </c>
      <c r="AK283" s="162"/>
      <c r="AL283" s="163"/>
      <c r="AM283" s="164">
        <f>(((IF(L283=$L$101,1,IF(L283=$L$47,1,0))*(AH283*(1-AK283)))*AG283)*(1-AL283))</f>
        <v>1227.6000000000001</v>
      </c>
      <c r="AN283" s="165">
        <f>IF(K283=$K$50,AM283,IF(K283=$K$53,AM283,IF(K283=$K$54,AM283,IF(K283=$K$55,AM283,IF(K283=$K$56,AM283,IF(K283=$K$57,AM283,IF(K283=$K$58,AM283,IF(K283=$K$65,AM283,IF(K283=$K$66,AM283,IF(K283=$K$67,AM283,IF(K283=$K$68,AM283,IF(K283=$K$69,AM283,IF(K283=$K$51,AM283,(AM283*(1+AI283)))))))))))))))</f>
        <v>1227.6000000000001</v>
      </c>
      <c r="AO283" s="166">
        <v>1.4</v>
      </c>
      <c r="AP283" s="160">
        <f t="shared" si="47"/>
        <v>1718.64</v>
      </c>
      <c r="AQ283" s="167">
        <f t="shared" si="53"/>
        <v>1489.1419495227635</v>
      </c>
      <c r="AR283" s="160">
        <f t="shared" si="48"/>
        <v>1718.64</v>
      </c>
      <c r="AS283" s="168">
        <f t="shared" si="49"/>
        <v>1.2612750638360888</v>
      </c>
      <c r="AT283" s="169" t="str">
        <f>K283</f>
        <v>MI</v>
      </c>
      <c r="AU283" s="169" t="str">
        <f>I283</f>
        <v>Mercadorias</v>
      </c>
      <c r="AV283" s="170"/>
      <c r="AW283" s="171">
        <f>IF(K283=$K$50,0,IF(K283=$K$53,0,IF(K283=$K$54,0,IF(K283=$K$55,0,IF(K283=$K$56,0,IF(K283=$K$57,0,IF(K283=$K$58,0,IF(K283=$K$65,0,IF(K283=$K$66,0,IF(K283=$K$67,0,IF(K283=$K$68,0,IF(K283=$K$69,0,IF(K283=$K$51,0,1))))))))))))*AM283*AI283)</f>
        <v>0</v>
      </c>
      <c r="AX283" s="172">
        <f>IF(K283=$K$50,0,IF(K283=$K$53,0,IF(K283=$K$54,0,IF(K283=$K$55,0,IF(K283=$K$56,0,IF(K283=$K$57,0,IF(K283=$K$58,0,IF(K283=$K$65,0,IF(K283=$K$66,0,IF(K283=$K$67,0,IF(K283=$K$68,0,IF(K283=$K$69,0,IF(K283=$K$51,0,1))))))))))))*AM283*AJ283*$AX$94)</f>
        <v>0</v>
      </c>
      <c r="AY283" s="172">
        <f>IF(K283=$K$53,0,IF(K283=$K$54,0,IF(K283=$K$55,0,IF(K283=$K$56,0,IF(K283=$K$58,0,IF(K283=$K$50,0,IF(K283=$K$65,0,IF(K283=$K$57,0,IF(K283=$K$51,0,AM283*$AY$102)))))))))</f>
        <v>20.255400000000002</v>
      </c>
      <c r="AZ283" s="172">
        <f>IF(K283=$K$53,0,IF(K283=$K$54,0,IF(K283=$K$55,0,IF(K283=$K$56,0,IF(K283=$K$58,0,IF(K283=$K$50,0,IF(K283=$K$65,0,IF(K283=$K$57,0,IF(K283=$K$51,0,AM283*$AZ$102)))))))))</f>
        <v>93.297600000000003</v>
      </c>
      <c r="BA283" s="172">
        <f t="shared" si="50"/>
        <v>113.553</v>
      </c>
      <c r="BB283" s="173">
        <f>IF($BA$97=1,AQ283*$BB$102,IF(K283=$K$50,0,IF(K283=$K$53,0,IF(K283=$K$54,0,IF(K283=$K$55,0,IF(K283=$K$56,0,IF(K283=$K$57,0,IF(K283=$K$58,0,IF(K283=$K$65,0,IF(K283=$K$66,0,IF(K283=$K$67,0,IF(K283=$K$68,0,IF(K283=$K$69,0,IF(K283=$K$51,0,1)))))))))))*AQ283*$BB$102)))</f>
        <v>0</v>
      </c>
      <c r="BC283" s="172">
        <f t="shared" si="51"/>
        <v>9.6794226718979637</v>
      </c>
      <c r="BD283" s="172">
        <f t="shared" si="52"/>
        <v>44.674258485682905</v>
      </c>
      <c r="BE283" s="172">
        <f>IF($BE$95=I283,$BE$97,IF(I283=$BE$96,$BE$97,1))*($BE$102*AQ283)*$AZ$97</f>
        <v>0</v>
      </c>
      <c r="BF283" s="172">
        <f>IF('[1]Cockpit Retorno'!$C$65=Sim,Mestre!BA283,SUM(BB283:BE283)+(IF(K283=$K$56,AQ283*MOE_IRRF_LR,0)))</f>
        <v>54.353681157580866</v>
      </c>
      <c r="BG283" s="174">
        <f>IF(AA283&gt;0,0,IF(Z283=$Z$82,AG283*1,(IF(Z283=$Z$81,AG283*1,0))))</f>
        <v>0</v>
      </c>
      <c r="BH283" s="174">
        <f>IF(AA283&gt;0,0,IF(Z283=$Z$83,AG283*1,IF(Z283=$Z$81,AG283*1,0)))</f>
        <v>0</v>
      </c>
      <c r="BI283" s="174">
        <f>IF(AA283&gt;0,0,IF(Z283=$Z$84,AG283*1,IF(Z283=$Z$93,AG283*2,IF(Z283=$Z$100,AG283,IF(Z283=$Z$81,AG283*2,IF(Z283=$Z$80,AG283*1,IF(Z283=$Z$79,AG283*3,IF(Z283=$Z$78,AG283*2,0))))))))</f>
        <v>0</v>
      </c>
      <c r="BJ283" s="174">
        <f>IF(AA283&gt;0,0,IF(Z283=$Z$85,AG283,IF(Z283=$Z$93,AG283,IF(Z283=$Z$100,AG283,IF(Z283=$Z$81,AG283*1,IF(Z283=$Z$80,AG283*2,IF(Z283=$Z$79,AG283*2,IF(Z283=$Z$78,AG283*2,0))))))))</f>
        <v>0</v>
      </c>
      <c r="BK283" s="174">
        <f>IF(AA283&gt;0,0,IF(Z283=$Z$92,AG283,0))</f>
        <v>0</v>
      </c>
      <c r="BL283" s="174">
        <f>IF(AA283&gt;0,0,IF(Z283=$Z$91,AG283,0))</f>
        <v>0</v>
      </c>
      <c r="BM283" s="174">
        <f>IF(AA283&gt;0,0,IF(Z283=$Z$86,AG283,0))</f>
        <v>0</v>
      </c>
      <c r="BN283" s="174">
        <f>IF(AA283&gt;0,0,IF(Z283=$Z$87,AG283,0))</f>
        <v>0</v>
      </c>
      <c r="BO283" s="174">
        <f>IF(AA283&gt;0,0,IF(Z283=$Z$88,AG283,0))</f>
        <v>0</v>
      </c>
      <c r="BP283" s="174">
        <f>IF(AA283&gt;0,0,IF(Z283=$Z$89,AG283,0))</f>
        <v>0</v>
      </c>
      <c r="BQ283" s="174">
        <f>IF(AA283&gt;0,0,IF(Z283=$Z$90,AG283,0))</f>
        <v>0</v>
      </c>
      <c r="BR283" s="174">
        <f>IF(Z283=$Z$82,AA283*AG283,0)</f>
        <v>0</v>
      </c>
      <c r="BS283" s="174">
        <f>IF(Z283=$Z$83,AA283*AG283,0)</f>
        <v>0</v>
      </c>
      <c r="BT283" s="174">
        <f>IF(AA283&lt;1,0,IF(Z283=$Z$84,AA283*AG283,IF(Z283=$Z$93,"ERRO",IF(Z283=$Z$100,"ERRO",0))))</f>
        <v>0</v>
      </c>
      <c r="BU283" s="174">
        <f>IF(AA283&lt;1,0,IF(Z283=$Z$85,AA283*AG283,IF(Z283=$Z$93,"ERRO",IF(Z283=$Z$100,"ERRO",0))))</f>
        <v>0</v>
      </c>
      <c r="BV283" s="174">
        <f>IF(Z283=$Z$92,AA283*AG283,0)</f>
        <v>0</v>
      </c>
      <c r="BW283" s="174">
        <f>IF(Z283=$Z$91,AA283*AG283,0)</f>
        <v>0</v>
      </c>
      <c r="BX283" s="174">
        <f>IF(Z283=$Z$86,AA283*AG283,0)</f>
        <v>0</v>
      </c>
      <c r="BY283" s="174">
        <f>IF(Z283=$Z$87,AA283*AG283,0)</f>
        <v>0</v>
      </c>
      <c r="BZ283" s="174">
        <f>IF(Z283=$Z$88,AA283*AG283,0)</f>
        <v>0</v>
      </c>
      <c r="CA283" s="174">
        <f>IF(Z283=$Z$89,AA283*AG283,0)</f>
        <v>0</v>
      </c>
      <c r="CB283" s="174">
        <f>IF(Z283=$Z$90,AA283*AG283,0)</f>
        <v>0</v>
      </c>
      <c r="CC283" s="175">
        <f>IFERROR(IF(L283=$L$49,AG283*AH283*(1+AI283)*(1-AK283)*(1-AL283),0),0)</f>
        <v>0</v>
      </c>
      <c r="CD283" s="203">
        <f>IF(I283=$CD$97,1,IF(I283=$CD$100,2,IF(K283=$K$66,1,IF(K283=$K$69,1,3))))</f>
        <v>1</v>
      </c>
      <c r="CE283" s="203">
        <f t="shared" si="14"/>
        <v>1.07</v>
      </c>
      <c r="CF283" s="204">
        <f t="shared" si="54"/>
        <v>1.2353999999999998</v>
      </c>
      <c r="CG283" s="203">
        <f t="shared" si="15"/>
        <v>1.42</v>
      </c>
      <c r="CH283" s="204">
        <f t="shared" si="55"/>
        <v>1.5478000000000001</v>
      </c>
      <c r="CI283" s="203">
        <f t="shared" si="16"/>
        <v>1.7</v>
      </c>
      <c r="CJ283" s="205">
        <f t="shared" si="56"/>
        <v>1.0486</v>
      </c>
      <c r="CK283" s="205">
        <f t="shared" si="57"/>
        <v>1.148922</v>
      </c>
      <c r="CL283" s="205">
        <f t="shared" si="58"/>
        <v>1.3915999999999999</v>
      </c>
      <c r="CM283" s="205">
        <f t="shared" si="59"/>
        <v>1.501366</v>
      </c>
      <c r="CN283" s="206">
        <f t="shared" si="60"/>
        <v>1.6319999999999999</v>
      </c>
      <c r="CO283" s="204">
        <f t="shared" si="61"/>
        <v>1.006656</v>
      </c>
      <c r="CP283" s="207">
        <f t="shared" si="62"/>
        <v>-59.199318842419132</v>
      </c>
      <c r="CQ283" s="208">
        <f t="shared" si="63"/>
        <v>1548.3412683651827</v>
      </c>
      <c r="CR283" s="209">
        <f t="shared" si="64"/>
        <v>54.353681157580866</v>
      </c>
      <c r="CS283" s="49"/>
      <c r="CT283" s="49"/>
      <c r="CU283" s="49"/>
      <c r="CV283" s="49"/>
      <c r="CW283" s="49"/>
      <c r="CX283" s="49"/>
      <c r="CY283" s="49"/>
      <c r="CZ283" s="49"/>
      <c r="DA283" s="49"/>
      <c r="DB283" s="49"/>
      <c r="DC283" s="49"/>
      <c r="DD283" s="49"/>
      <c r="DE283" s="49"/>
      <c r="DF283" s="49"/>
      <c r="DG283" s="49"/>
      <c r="DH283" s="49"/>
      <c r="DI283" s="49"/>
      <c r="DJ283" s="49"/>
      <c r="DK283" s="49"/>
      <c r="DL283" s="49"/>
      <c r="DM283" s="49"/>
      <c r="DN283" s="49"/>
      <c r="DO283" s="49"/>
      <c r="DP283" s="49"/>
      <c r="DQ283" s="49"/>
      <c r="DR283" s="49"/>
      <c r="DS283" s="49"/>
      <c r="DT283" s="49"/>
      <c r="DU283" s="49"/>
      <c r="DV283" s="49"/>
      <c r="DW283" s="49"/>
      <c r="DX283" s="49"/>
      <c r="DY283" s="49"/>
      <c r="DZ283" s="49"/>
      <c r="EA283" s="49"/>
      <c r="EB283" s="49"/>
      <c r="EC283" s="49"/>
      <c r="ED283" s="49"/>
      <c r="EE283" s="49"/>
      <c r="EF283" s="49"/>
      <c r="EG283" s="49"/>
      <c r="EH283" s="49"/>
      <c r="EI283" s="49"/>
      <c r="EJ283" s="49"/>
      <c r="EK283" s="49"/>
      <c r="EL283" s="49"/>
      <c r="EM283" s="49"/>
      <c r="EN283" s="49"/>
      <c r="EO283" s="49"/>
      <c r="EP283" s="49"/>
      <c r="EQ283" s="49"/>
      <c r="ER283" s="49"/>
      <c r="ES283" s="49"/>
      <c r="ET283" s="49"/>
      <c r="EU283" s="49"/>
      <c r="EV283" s="49"/>
      <c r="EW283" s="49"/>
      <c r="EX283" s="49"/>
      <c r="EY283" s="49"/>
      <c r="EZ283" s="49"/>
      <c r="FA283" s="49"/>
    </row>
    <row r="284" spans="1:157" s="210" customFormat="1" ht="25.5" x14ac:dyDescent="0.25">
      <c r="A284" s="113">
        <f>IF(AND('[1]Cockpit Retorno'!$E$67=Sim,Mestre!M284=Mestre!$M$98),0,1)</f>
        <v>1</v>
      </c>
      <c r="B284" s="113">
        <f>IF(AND('[1]Cockpit Retorno'!$E$67=Sim,Mestre!L284=Mestre!$L$48),0,1)</f>
        <v>1</v>
      </c>
      <c r="C284" s="113">
        <f>IF(AND('[1]Cockpit Retorno'!$E$67=Sim,Mestre!M284=Mestre!$M$97),0,1)</f>
        <v>1</v>
      </c>
      <c r="D284" s="148" t="s">
        <v>7</v>
      </c>
      <c r="E284" s="115"/>
      <c r="F284" s="116" t="s">
        <v>107</v>
      </c>
      <c r="G284" s="149"/>
      <c r="H284" s="150" t="s">
        <v>7</v>
      </c>
      <c r="I284" s="151" t="str">
        <f t="shared" si="46"/>
        <v>Mercadorias</v>
      </c>
      <c r="J284" s="150" t="s">
        <v>15</v>
      </c>
      <c r="K284" s="152" t="s">
        <v>7</v>
      </c>
      <c r="L284" s="153" t="s">
        <v>12</v>
      </c>
      <c r="M284" s="154" t="s">
        <v>430</v>
      </c>
      <c r="N284" s="155" t="s">
        <v>370</v>
      </c>
      <c r="O284" s="155" t="s">
        <v>412</v>
      </c>
      <c r="P284" s="155"/>
      <c r="Q284" s="155"/>
      <c r="R284" s="155"/>
      <c r="S284" s="156"/>
      <c r="T284" s="156"/>
      <c r="U284" s="150"/>
      <c r="V284" s="150"/>
      <c r="W284" s="150"/>
      <c r="X284" s="157" t="s">
        <v>432</v>
      </c>
      <c r="Y284" s="150"/>
      <c r="Z284" s="150"/>
      <c r="AA284" s="158"/>
      <c r="AB284" s="155"/>
      <c r="AC284" s="150"/>
      <c r="AD284" s="155"/>
      <c r="AE284" s="155"/>
      <c r="AF284" s="150"/>
      <c r="AG284" s="159">
        <v>200</v>
      </c>
      <c r="AH284" s="211">
        <v>2.2320000000000002</v>
      </c>
      <c r="AI284" s="202">
        <v>0</v>
      </c>
      <c r="AJ284" s="161">
        <v>0.12</v>
      </c>
      <c r="AK284" s="162"/>
      <c r="AL284" s="163"/>
      <c r="AM284" s="164">
        <f>(((IF(L284=$L$101,1,IF(L284=$L$47,1,0))*(AH284*(1-AK284)))*AG284)*(1-AL284))</f>
        <v>446.40000000000003</v>
      </c>
      <c r="AN284" s="165">
        <f>IF(K284=$K$50,AM284,IF(K284=$K$53,AM284,IF(K284=$K$54,AM284,IF(K284=$K$55,AM284,IF(K284=$K$56,AM284,IF(K284=$K$57,AM284,IF(K284=$K$58,AM284,IF(K284=$K$65,AM284,IF(K284=$K$66,AM284,IF(K284=$K$67,AM284,IF(K284=$K$68,AM284,IF(K284=$K$69,AM284,IF(K284=$K$51,AM284,(AM284*(1+AI284)))))))))))))))</f>
        <v>446.40000000000003</v>
      </c>
      <c r="AO284" s="166">
        <v>1.4</v>
      </c>
      <c r="AP284" s="160">
        <f t="shared" si="47"/>
        <v>624.96</v>
      </c>
      <c r="AQ284" s="167">
        <f t="shared" si="53"/>
        <v>541.50616346282311</v>
      </c>
      <c r="AR284" s="160">
        <f t="shared" si="48"/>
        <v>624.96</v>
      </c>
      <c r="AS284" s="168">
        <f t="shared" si="49"/>
        <v>1.2612750638360888</v>
      </c>
      <c r="AT284" s="169" t="str">
        <f>K284</f>
        <v>MI</v>
      </c>
      <c r="AU284" s="169" t="str">
        <f>I284</f>
        <v>Mercadorias</v>
      </c>
      <c r="AV284" s="170"/>
      <c r="AW284" s="171">
        <f>IF(K284=$K$50,0,IF(K284=$K$53,0,IF(K284=$K$54,0,IF(K284=$K$55,0,IF(K284=$K$56,0,IF(K284=$K$57,0,IF(K284=$K$58,0,IF(K284=$K$65,0,IF(K284=$K$66,0,IF(K284=$K$67,0,IF(K284=$K$68,0,IF(K284=$K$69,0,IF(K284=$K$51,0,1))))))))))))*AM284*AI284)</f>
        <v>0</v>
      </c>
      <c r="AX284" s="172">
        <f>IF(K284=$K$50,0,IF(K284=$K$53,0,IF(K284=$K$54,0,IF(K284=$K$55,0,IF(K284=$K$56,0,IF(K284=$K$57,0,IF(K284=$K$58,0,IF(K284=$K$65,0,IF(K284=$K$66,0,IF(K284=$K$67,0,IF(K284=$K$68,0,IF(K284=$K$69,0,IF(K284=$K$51,0,1))))))))))))*AM284*AJ284*$AX$94)</f>
        <v>0</v>
      </c>
      <c r="AY284" s="172">
        <f>IF(K284=$K$53,0,IF(K284=$K$54,0,IF(K284=$K$55,0,IF(K284=$K$56,0,IF(K284=$K$58,0,IF(K284=$K$50,0,IF(K284=$K$65,0,IF(K284=$K$57,0,IF(K284=$K$51,0,AM284*$AY$102)))))))))</f>
        <v>7.3656000000000006</v>
      </c>
      <c r="AZ284" s="172">
        <f>IF(K284=$K$53,0,IF(K284=$K$54,0,IF(K284=$K$55,0,IF(K284=$K$56,0,IF(K284=$K$58,0,IF(K284=$K$50,0,IF(K284=$K$65,0,IF(K284=$K$57,0,IF(K284=$K$51,0,AM284*$AZ$102)))))))))</f>
        <v>33.926400000000001</v>
      </c>
      <c r="BA284" s="172">
        <f t="shared" si="50"/>
        <v>41.292000000000002</v>
      </c>
      <c r="BB284" s="173">
        <f>IF($BA$97=1,AQ284*$BB$102,IF(K284=$K$50,0,IF(K284=$K$53,0,IF(K284=$K$54,0,IF(K284=$K$55,0,IF(K284=$K$56,0,IF(K284=$K$57,0,IF(K284=$K$58,0,IF(K284=$K$65,0,IF(K284=$K$66,0,IF(K284=$K$67,0,IF(K284=$K$68,0,IF(K284=$K$69,0,IF(K284=$K$51,0,1)))))))))))*AQ284*$BB$102)))</f>
        <v>0</v>
      </c>
      <c r="BC284" s="172">
        <f t="shared" si="51"/>
        <v>3.5197900625083505</v>
      </c>
      <c r="BD284" s="172">
        <f t="shared" si="52"/>
        <v>16.245184903884692</v>
      </c>
      <c r="BE284" s="172">
        <f>IF($BE$95=I284,$BE$97,IF(I284=$BE$96,$BE$97,1))*($BE$102*AQ284)*$AZ$97</f>
        <v>0</v>
      </c>
      <c r="BF284" s="172">
        <f>IF('[1]Cockpit Retorno'!$C$65=Sim,Mestre!BA284,SUM(BB284:BE284)+(IF(K284=$K$56,AQ284*MOE_IRRF_LR,0)))</f>
        <v>19.764974966393041</v>
      </c>
      <c r="BG284" s="174">
        <f>IF(AA284&gt;0,0,IF(Z284=$Z$82,AG284*1,(IF(Z284=$Z$81,AG284*1,0))))</f>
        <v>0</v>
      </c>
      <c r="BH284" s="174">
        <f>IF(AA284&gt;0,0,IF(Z284=$Z$83,AG284*1,IF(Z284=$Z$81,AG284*1,0)))</f>
        <v>0</v>
      </c>
      <c r="BI284" s="174">
        <f>IF(AA284&gt;0,0,IF(Z284=$Z$84,AG284*1,IF(Z284=$Z$93,AG284*2,IF(Z284=$Z$100,AG284,IF(Z284=$Z$81,AG284*2,IF(Z284=$Z$80,AG284*1,IF(Z284=$Z$79,AG284*3,IF(Z284=$Z$78,AG284*2,0))))))))</f>
        <v>0</v>
      </c>
      <c r="BJ284" s="174">
        <f>IF(AA284&gt;0,0,IF(Z284=$Z$85,AG284,IF(Z284=$Z$93,AG284,IF(Z284=$Z$100,AG284,IF(Z284=$Z$81,AG284*1,IF(Z284=$Z$80,AG284*2,IF(Z284=$Z$79,AG284*2,IF(Z284=$Z$78,AG284*2,0))))))))</f>
        <v>0</v>
      </c>
      <c r="BK284" s="174">
        <f>IF(AA284&gt;0,0,IF(Z284=$Z$92,AG284,0))</f>
        <v>0</v>
      </c>
      <c r="BL284" s="174">
        <f>IF(AA284&gt;0,0,IF(Z284=$Z$91,AG284,0))</f>
        <v>0</v>
      </c>
      <c r="BM284" s="174">
        <f>IF(AA284&gt;0,0,IF(Z284=$Z$86,AG284,0))</f>
        <v>0</v>
      </c>
      <c r="BN284" s="174">
        <f>IF(AA284&gt;0,0,IF(Z284=$Z$87,AG284,0))</f>
        <v>0</v>
      </c>
      <c r="BO284" s="174">
        <f>IF(AA284&gt;0,0,IF(Z284=$Z$88,AG284,0))</f>
        <v>0</v>
      </c>
      <c r="BP284" s="174">
        <f>IF(AA284&gt;0,0,IF(Z284=$Z$89,AG284,0))</f>
        <v>0</v>
      </c>
      <c r="BQ284" s="174">
        <f>IF(AA284&gt;0,0,IF(Z284=$Z$90,AG284,0))</f>
        <v>0</v>
      </c>
      <c r="BR284" s="174">
        <f>IF(Z284=$Z$82,AA284*AG284,0)</f>
        <v>0</v>
      </c>
      <c r="BS284" s="174">
        <f>IF(Z284=$Z$83,AA284*AG284,0)</f>
        <v>0</v>
      </c>
      <c r="BT284" s="174">
        <f>IF(AA284&lt;1,0,IF(Z284=$Z$84,AA284*AG284,IF(Z284=$Z$93,"ERRO",IF(Z284=$Z$100,"ERRO",0))))</f>
        <v>0</v>
      </c>
      <c r="BU284" s="174">
        <f>IF(AA284&lt;1,0,IF(Z284=$Z$85,AA284*AG284,IF(Z284=$Z$93,"ERRO",IF(Z284=$Z$100,"ERRO",0))))</f>
        <v>0</v>
      </c>
      <c r="BV284" s="174">
        <f>IF(Z284=$Z$92,AA284*AG284,0)</f>
        <v>0</v>
      </c>
      <c r="BW284" s="174">
        <f>IF(Z284=$Z$91,AA284*AG284,0)</f>
        <v>0</v>
      </c>
      <c r="BX284" s="174">
        <f>IF(Z284=$Z$86,AA284*AG284,0)</f>
        <v>0</v>
      </c>
      <c r="BY284" s="174">
        <f>IF(Z284=$Z$87,AA284*AG284,0)</f>
        <v>0</v>
      </c>
      <c r="BZ284" s="174">
        <f>IF(Z284=$Z$88,AA284*AG284,0)</f>
        <v>0</v>
      </c>
      <c r="CA284" s="174">
        <f>IF(Z284=$Z$89,AA284*AG284,0)</f>
        <v>0</v>
      </c>
      <c r="CB284" s="174">
        <f>IF(Z284=$Z$90,AA284*AG284,0)</f>
        <v>0</v>
      </c>
      <c r="CC284" s="175">
        <f>IFERROR(IF(L284=$L$49,AG284*AH284*(1+AI284)*(1-AK284)*(1-AL284),0),0)</f>
        <v>0</v>
      </c>
      <c r="CD284" s="203">
        <f>IF(I284=$CD$97,1,IF(I284=$CD$100,2,IF(K284=$K$66,1,IF(K284=$K$69,1,3))))</f>
        <v>1</v>
      </c>
      <c r="CE284" s="203">
        <f t="shared" si="14"/>
        <v>1.07</v>
      </c>
      <c r="CF284" s="204">
        <f t="shared" si="54"/>
        <v>1.2353999999999998</v>
      </c>
      <c r="CG284" s="203">
        <f t="shared" si="15"/>
        <v>1.42</v>
      </c>
      <c r="CH284" s="204">
        <f t="shared" si="55"/>
        <v>1.5478000000000001</v>
      </c>
      <c r="CI284" s="203">
        <f t="shared" si="16"/>
        <v>1.7</v>
      </c>
      <c r="CJ284" s="205">
        <f t="shared" si="56"/>
        <v>1.0486</v>
      </c>
      <c r="CK284" s="205">
        <f t="shared" si="57"/>
        <v>1.148922</v>
      </c>
      <c r="CL284" s="205">
        <f t="shared" si="58"/>
        <v>1.3915999999999999</v>
      </c>
      <c r="CM284" s="205">
        <f t="shared" si="59"/>
        <v>1.501366</v>
      </c>
      <c r="CN284" s="206">
        <f t="shared" si="60"/>
        <v>1.6319999999999999</v>
      </c>
      <c r="CO284" s="204">
        <f t="shared" si="61"/>
        <v>1.006656</v>
      </c>
      <c r="CP284" s="207">
        <f t="shared" si="62"/>
        <v>-21.527025033606961</v>
      </c>
      <c r="CQ284" s="208">
        <f t="shared" si="63"/>
        <v>563.03318849643006</v>
      </c>
      <c r="CR284" s="209">
        <f t="shared" si="64"/>
        <v>19.764974966393041</v>
      </c>
      <c r="CS284" s="49"/>
      <c r="CT284" s="49"/>
      <c r="CU284" s="49"/>
      <c r="CV284" s="49"/>
      <c r="CW284" s="49"/>
      <c r="CX284" s="49"/>
      <c r="CY284" s="49"/>
      <c r="CZ284" s="49"/>
      <c r="DA284" s="49"/>
      <c r="DB284" s="49"/>
      <c r="DC284" s="49"/>
      <c r="DD284" s="49"/>
      <c r="DE284" s="49"/>
      <c r="DF284" s="49"/>
      <c r="DG284" s="49"/>
      <c r="DH284" s="49"/>
      <c r="DI284" s="49"/>
      <c r="DJ284" s="49"/>
      <c r="DK284" s="49"/>
      <c r="DL284" s="49"/>
      <c r="DM284" s="49"/>
      <c r="DN284" s="49"/>
      <c r="DO284" s="49"/>
      <c r="DP284" s="49"/>
      <c r="DQ284" s="49"/>
      <c r="DR284" s="49"/>
      <c r="DS284" s="49"/>
      <c r="DT284" s="49"/>
      <c r="DU284" s="49"/>
      <c r="DV284" s="49"/>
      <c r="DW284" s="49"/>
      <c r="DX284" s="49"/>
      <c r="DY284" s="49"/>
      <c r="DZ284" s="49"/>
      <c r="EA284" s="49"/>
      <c r="EB284" s="49"/>
      <c r="EC284" s="49"/>
      <c r="ED284" s="49"/>
      <c r="EE284" s="49"/>
      <c r="EF284" s="49"/>
      <c r="EG284" s="49"/>
      <c r="EH284" s="49"/>
      <c r="EI284" s="49"/>
      <c r="EJ284" s="49"/>
      <c r="EK284" s="49"/>
      <c r="EL284" s="49"/>
      <c r="EM284" s="49"/>
      <c r="EN284" s="49"/>
      <c r="EO284" s="49"/>
      <c r="EP284" s="49"/>
      <c r="EQ284" s="49"/>
      <c r="ER284" s="49"/>
      <c r="ES284" s="49"/>
      <c r="ET284" s="49"/>
      <c r="EU284" s="49"/>
      <c r="EV284" s="49"/>
      <c r="EW284" s="49"/>
      <c r="EX284" s="49"/>
      <c r="EY284" s="49"/>
      <c r="EZ284" s="49"/>
      <c r="FA284" s="49"/>
    </row>
    <row r="285" spans="1:157" s="210" customFormat="1" ht="25.5" x14ac:dyDescent="0.25">
      <c r="A285" s="113">
        <f>IF(AND('[1]Cockpit Retorno'!$E$67=Sim,Mestre!M285=Mestre!$M$98),0,1)</f>
        <v>1</v>
      </c>
      <c r="B285" s="113">
        <f>IF(AND('[1]Cockpit Retorno'!$E$67=Sim,Mestre!L285=Mestre!$L$48),0,1)</f>
        <v>1</v>
      </c>
      <c r="C285" s="113">
        <f>IF(AND('[1]Cockpit Retorno'!$E$67=Sim,Mestre!M285=Mestre!$M$97),0,1)</f>
        <v>1</v>
      </c>
      <c r="D285" s="148" t="s">
        <v>7</v>
      </c>
      <c r="E285" s="115"/>
      <c r="F285" s="116" t="s">
        <v>107</v>
      </c>
      <c r="G285" s="149">
        <v>32</v>
      </c>
      <c r="H285" s="150" t="s">
        <v>7</v>
      </c>
      <c r="I285" s="151" t="str">
        <f t="shared" si="46"/>
        <v>Mercadorias</v>
      </c>
      <c r="J285" s="150" t="s">
        <v>15</v>
      </c>
      <c r="K285" s="152" t="s">
        <v>7</v>
      </c>
      <c r="L285" s="153" t="s">
        <v>21</v>
      </c>
      <c r="M285" s="154" t="s">
        <v>433</v>
      </c>
      <c r="N285" s="155" t="s">
        <v>370</v>
      </c>
      <c r="O285" s="155" t="s">
        <v>434</v>
      </c>
      <c r="P285" s="155"/>
      <c r="Q285" s="155"/>
      <c r="R285" s="155"/>
      <c r="S285" s="156"/>
      <c r="T285" s="156"/>
      <c r="U285" s="150"/>
      <c r="V285" s="150"/>
      <c r="W285" s="150"/>
      <c r="X285" s="157" t="s">
        <v>435</v>
      </c>
      <c r="Y285" s="150"/>
      <c r="Z285" s="150"/>
      <c r="AA285" s="158"/>
      <c r="AB285" s="155"/>
      <c r="AC285" s="150"/>
      <c r="AD285" s="155"/>
      <c r="AE285" s="155"/>
      <c r="AF285" s="150"/>
      <c r="AG285" s="159">
        <v>8500</v>
      </c>
      <c r="AH285" s="211">
        <v>3.069</v>
      </c>
      <c r="AI285" s="202">
        <v>0</v>
      </c>
      <c r="AJ285" s="161">
        <v>7.0000000000000007E-2</v>
      </c>
      <c r="AK285" s="162"/>
      <c r="AL285" s="163"/>
      <c r="AM285" s="164">
        <f>(((IF(L285=$L$101,1,IF(L285=$L$47,1,0))*(AH285*(1-AK285)))*AG285)*(1-AL285))</f>
        <v>0</v>
      </c>
      <c r="AN285" s="165">
        <f>IF(K285=$K$50,AM285,IF(K285=$K$53,AM285,IF(K285=$K$54,AM285,IF(K285=$K$55,AM285,IF(K285=$K$56,AM285,IF(K285=$K$57,AM285,IF(K285=$K$58,AM285,IF(K285=$K$65,AM285,IF(K285=$K$66,AM285,IF(K285=$K$67,AM285,IF(K285=$K$68,AM285,IF(K285=$K$69,AM285,IF(K285=$K$51,AM285,(AM285*(1+AI285)))))))))))))))</f>
        <v>0</v>
      </c>
      <c r="AO285" s="166">
        <v>1.4</v>
      </c>
      <c r="AP285" s="160">
        <f t="shared" si="47"/>
        <v>0</v>
      </c>
      <c r="AQ285" s="167">
        <f t="shared" si="53"/>
        <v>0</v>
      </c>
      <c r="AR285" s="160">
        <f t="shared" si="48"/>
        <v>0</v>
      </c>
      <c r="AS285" s="168">
        <f t="shared" si="49"/>
        <v>0</v>
      </c>
      <c r="AT285" s="169" t="str">
        <f>K285</f>
        <v>MI</v>
      </c>
      <c r="AU285" s="169" t="str">
        <f>I285</f>
        <v>Mercadorias</v>
      </c>
      <c r="AV285" s="170"/>
      <c r="AW285" s="171">
        <f>IF(K285=$K$50,0,IF(K285=$K$53,0,IF(K285=$K$54,0,IF(K285=$K$55,0,IF(K285=$K$56,0,IF(K285=$K$57,0,IF(K285=$K$58,0,IF(K285=$K$65,0,IF(K285=$K$66,0,IF(K285=$K$67,0,IF(K285=$K$68,0,IF(K285=$K$69,0,IF(K285=$K$51,0,1))))))))))))*AM285*AI285)</f>
        <v>0</v>
      </c>
      <c r="AX285" s="172">
        <f>IF(K285=$K$50,0,IF(K285=$K$53,0,IF(K285=$K$54,0,IF(K285=$K$55,0,IF(K285=$K$56,0,IF(K285=$K$57,0,IF(K285=$K$58,0,IF(K285=$K$65,0,IF(K285=$K$66,0,IF(K285=$K$67,0,IF(K285=$K$68,0,IF(K285=$K$69,0,IF(K285=$K$51,0,1))))))))))))*AM285*AJ285*$AX$94)</f>
        <v>0</v>
      </c>
      <c r="AY285" s="172">
        <f>IF(K285=$K$53,0,IF(K285=$K$54,0,IF(K285=$K$55,0,IF(K285=$K$56,0,IF(K285=$K$58,0,IF(K285=$K$50,0,IF(K285=$K$65,0,IF(K285=$K$57,0,IF(K285=$K$51,0,AM285*$AY$102)))))))))</f>
        <v>0</v>
      </c>
      <c r="AZ285" s="172">
        <f>IF(K285=$K$53,0,IF(K285=$K$54,0,IF(K285=$K$55,0,IF(K285=$K$56,0,IF(K285=$K$58,0,IF(K285=$K$50,0,IF(K285=$K$65,0,IF(K285=$K$57,0,IF(K285=$K$51,0,AM285*$AZ$102)))))))))</f>
        <v>0</v>
      </c>
      <c r="BA285" s="172">
        <f t="shared" si="50"/>
        <v>0</v>
      </c>
      <c r="BB285" s="173">
        <f>IF($BA$97=1,AQ285*$BB$102,IF(K285=$K$50,0,IF(K285=$K$53,0,IF(K285=$K$54,0,IF(K285=$K$55,0,IF(K285=$K$56,0,IF(K285=$K$57,0,IF(K285=$K$58,0,IF(K285=$K$65,0,IF(K285=$K$66,0,IF(K285=$K$67,0,IF(K285=$K$68,0,IF(K285=$K$69,0,IF(K285=$K$51,0,1)))))))))))*AQ285*$BB$102)))</f>
        <v>0</v>
      </c>
      <c r="BC285" s="172">
        <f t="shared" si="51"/>
        <v>0</v>
      </c>
      <c r="BD285" s="172">
        <f t="shared" si="52"/>
        <v>0</v>
      </c>
      <c r="BE285" s="172">
        <f>IF($BE$95=I285,$BE$97,IF(I285=$BE$96,$BE$97,1))*($BE$102*AQ285)*$AZ$97</f>
        <v>0</v>
      </c>
      <c r="BF285" s="172">
        <f>IF('[1]Cockpit Retorno'!$C$65=Sim,Mestre!BA285,SUM(BB285:BE285)+(IF(K285=$K$56,AQ285*MOE_IRRF_LR,0)))</f>
        <v>0</v>
      </c>
      <c r="BG285" s="174">
        <f>IF(AA285&gt;0,0,IF(Z285=$Z$82,AG285*1,(IF(Z285=$Z$81,AG285*1,0))))</f>
        <v>0</v>
      </c>
      <c r="BH285" s="174">
        <f>IF(AA285&gt;0,0,IF(Z285=$Z$83,AG285*1,IF(Z285=$Z$81,AG285*1,0)))</f>
        <v>0</v>
      </c>
      <c r="BI285" s="174">
        <f>IF(AA285&gt;0,0,IF(Z285=$Z$84,AG285*1,IF(Z285=$Z$93,AG285*2,IF(Z285=$Z$100,AG285,IF(Z285=$Z$81,AG285*2,IF(Z285=$Z$80,AG285*1,IF(Z285=$Z$79,AG285*3,IF(Z285=$Z$78,AG285*2,0))))))))</f>
        <v>0</v>
      </c>
      <c r="BJ285" s="174">
        <f>IF(AA285&gt;0,0,IF(Z285=$Z$85,AG285,IF(Z285=$Z$93,AG285,IF(Z285=$Z$100,AG285,IF(Z285=$Z$81,AG285*1,IF(Z285=$Z$80,AG285*2,IF(Z285=$Z$79,AG285*2,IF(Z285=$Z$78,AG285*2,0))))))))</f>
        <v>0</v>
      </c>
      <c r="BK285" s="174">
        <f>IF(AA285&gt;0,0,IF(Z285=$Z$92,AG285,0))</f>
        <v>0</v>
      </c>
      <c r="BL285" s="174">
        <f>IF(AA285&gt;0,0,IF(Z285=$Z$91,AG285,0))</f>
        <v>0</v>
      </c>
      <c r="BM285" s="174">
        <f>IF(AA285&gt;0,0,IF(Z285=$Z$86,AG285,0))</f>
        <v>0</v>
      </c>
      <c r="BN285" s="174">
        <f>IF(AA285&gt;0,0,IF(Z285=$Z$87,AG285,0))</f>
        <v>0</v>
      </c>
      <c r="BO285" s="174">
        <f>IF(AA285&gt;0,0,IF(Z285=$Z$88,AG285,0))</f>
        <v>0</v>
      </c>
      <c r="BP285" s="174">
        <f>IF(AA285&gt;0,0,IF(Z285=$Z$89,AG285,0))</f>
        <v>0</v>
      </c>
      <c r="BQ285" s="174">
        <f>IF(AA285&gt;0,0,IF(Z285=$Z$90,AG285,0))</f>
        <v>0</v>
      </c>
      <c r="BR285" s="174">
        <f>IF(Z285=$Z$82,AA285*AG285,0)</f>
        <v>0</v>
      </c>
      <c r="BS285" s="174">
        <f>IF(Z285=$Z$83,AA285*AG285,0)</f>
        <v>0</v>
      </c>
      <c r="BT285" s="174">
        <f>IF(AA285&lt;1,0,IF(Z285=$Z$84,AA285*AG285,IF(Z285=$Z$93,"ERRO",IF(Z285=$Z$100,"ERRO",0))))</f>
        <v>0</v>
      </c>
      <c r="BU285" s="174">
        <f>IF(AA285&lt;1,0,IF(Z285=$Z$85,AA285*AG285,IF(Z285=$Z$93,"ERRO",IF(Z285=$Z$100,"ERRO",0))))</f>
        <v>0</v>
      </c>
      <c r="BV285" s="174">
        <f>IF(Z285=$Z$92,AA285*AG285,0)</f>
        <v>0</v>
      </c>
      <c r="BW285" s="174">
        <f>IF(Z285=$Z$91,AA285*AG285,0)</f>
        <v>0</v>
      </c>
      <c r="BX285" s="174">
        <f>IF(Z285=$Z$86,AA285*AG285,0)</f>
        <v>0</v>
      </c>
      <c r="BY285" s="174">
        <f>IF(Z285=$Z$87,AA285*AG285,0)</f>
        <v>0</v>
      </c>
      <c r="BZ285" s="174">
        <f>IF(Z285=$Z$88,AA285*AG285,0)</f>
        <v>0</v>
      </c>
      <c r="CA285" s="174">
        <f>IF(Z285=$Z$89,AA285*AG285,0)</f>
        <v>0</v>
      </c>
      <c r="CB285" s="174">
        <f>IF(Z285=$Z$90,AA285*AG285,0)</f>
        <v>0</v>
      </c>
      <c r="CC285" s="175">
        <f>IFERROR(IF(L285=$L$49,AG285*AH285*(1+AI285)*(1-AK285)*(1-AL285),0),0)</f>
        <v>26086.5</v>
      </c>
      <c r="CD285" s="203">
        <f>IF(I285=$CD$97,1,IF(I285=$CD$100,2,IF(K285=$K$66,1,IF(K285=$K$69,1,3))))</f>
        <v>1</v>
      </c>
      <c r="CE285" s="203">
        <f t="shared" si="14"/>
        <v>1.07</v>
      </c>
      <c r="CF285" s="204">
        <f t="shared" si="54"/>
        <v>1.2353999999999998</v>
      </c>
      <c r="CG285" s="203">
        <f t="shared" si="15"/>
        <v>1.42</v>
      </c>
      <c r="CH285" s="204">
        <f t="shared" si="55"/>
        <v>1.5478000000000001</v>
      </c>
      <c r="CI285" s="203">
        <f t="shared" si="16"/>
        <v>1.7</v>
      </c>
      <c r="CJ285" s="205">
        <f t="shared" si="56"/>
        <v>1.0486</v>
      </c>
      <c r="CK285" s="205">
        <f t="shared" si="57"/>
        <v>1.148922</v>
      </c>
      <c r="CL285" s="205">
        <f t="shared" si="58"/>
        <v>1.3915999999999999</v>
      </c>
      <c r="CM285" s="205">
        <f t="shared" si="59"/>
        <v>1.501366</v>
      </c>
      <c r="CN285" s="206">
        <f t="shared" si="60"/>
        <v>1.6319999999999999</v>
      </c>
      <c r="CO285" s="204">
        <f t="shared" si="61"/>
        <v>1.006656</v>
      </c>
      <c r="CP285" s="207">
        <f t="shared" si="62"/>
        <v>0</v>
      </c>
      <c r="CQ285" s="208">
        <f t="shared" si="63"/>
        <v>0</v>
      </c>
      <c r="CR285" s="209">
        <f t="shared" si="64"/>
        <v>0</v>
      </c>
      <c r="CS285" s="49"/>
      <c r="CT285" s="49"/>
      <c r="CU285" s="49"/>
      <c r="CV285" s="49"/>
      <c r="CW285" s="49"/>
      <c r="CX285" s="49"/>
      <c r="CY285" s="49"/>
      <c r="CZ285" s="49"/>
      <c r="DA285" s="49"/>
      <c r="DB285" s="49"/>
      <c r="DC285" s="49"/>
      <c r="DD285" s="49"/>
      <c r="DE285" s="49"/>
      <c r="DF285" s="49"/>
      <c r="DG285" s="49"/>
      <c r="DH285" s="49"/>
      <c r="DI285" s="49"/>
      <c r="DJ285" s="49"/>
      <c r="DK285" s="49"/>
      <c r="DL285" s="49"/>
      <c r="DM285" s="49"/>
      <c r="DN285" s="49"/>
      <c r="DO285" s="49"/>
      <c r="DP285" s="49"/>
      <c r="DQ285" s="49"/>
      <c r="DR285" s="49"/>
      <c r="DS285" s="49"/>
      <c r="DT285" s="49"/>
      <c r="DU285" s="49"/>
      <c r="DV285" s="49"/>
      <c r="DW285" s="49"/>
      <c r="DX285" s="49"/>
      <c r="DY285" s="49"/>
      <c r="DZ285" s="49"/>
      <c r="EA285" s="49"/>
      <c r="EB285" s="49"/>
      <c r="EC285" s="49"/>
      <c r="ED285" s="49"/>
      <c r="EE285" s="49"/>
      <c r="EF285" s="49"/>
      <c r="EG285" s="49"/>
      <c r="EH285" s="49"/>
      <c r="EI285" s="49"/>
      <c r="EJ285" s="49"/>
      <c r="EK285" s="49"/>
      <c r="EL285" s="49"/>
      <c r="EM285" s="49"/>
      <c r="EN285" s="49"/>
      <c r="EO285" s="49"/>
      <c r="EP285" s="49"/>
      <c r="EQ285" s="49"/>
      <c r="ER285" s="49"/>
      <c r="ES285" s="49"/>
      <c r="ET285" s="49"/>
      <c r="EU285" s="49"/>
      <c r="EV285" s="49"/>
      <c r="EW285" s="49"/>
      <c r="EX285" s="49"/>
      <c r="EY285" s="49"/>
      <c r="EZ285" s="49"/>
      <c r="FA285" s="49"/>
    </row>
    <row r="286" spans="1:157" s="210" customFormat="1" ht="25.5" x14ac:dyDescent="0.25">
      <c r="A286" s="113">
        <f>IF(AND('[1]Cockpit Retorno'!$E$67=Sim,Mestre!M286=Mestre!$M$98),0,1)</f>
        <v>1</v>
      </c>
      <c r="B286" s="113">
        <f>IF(AND('[1]Cockpit Retorno'!$E$67=Sim,Mestre!L286=Mestre!$L$48),0,1)</f>
        <v>1</v>
      </c>
      <c r="C286" s="113">
        <f>IF(AND('[1]Cockpit Retorno'!$E$67=Sim,Mestre!M286=Mestre!$M$97),0,1)</f>
        <v>1</v>
      </c>
      <c r="D286" s="148" t="s">
        <v>7</v>
      </c>
      <c r="E286" s="115"/>
      <c r="F286" s="116" t="s">
        <v>107</v>
      </c>
      <c r="G286" s="149">
        <v>32</v>
      </c>
      <c r="H286" s="150" t="s">
        <v>7</v>
      </c>
      <c r="I286" s="151" t="str">
        <f t="shared" si="46"/>
        <v>Mercadorias</v>
      </c>
      <c r="J286" s="150" t="s">
        <v>15</v>
      </c>
      <c r="K286" s="152" t="s">
        <v>7</v>
      </c>
      <c r="L286" s="153" t="s">
        <v>21</v>
      </c>
      <c r="M286" s="154" t="s">
        <v>433</v>
      </c>
      <c r="N286" s="155" t="s">
        <v>370</v>
      </c>
      <c r="O286" s="155" t="s">
        <v>434</v>
      </c>
      <c r="P286" s="155"/>
      <c r="Q286" s="155"/>
      <c r="R286" s="155"/>
      <c r="S286" s="156"/>
      <c r="T286" s="156"/>
      <c r="U286" s="150"/>
      <c r="V286" s="150"/>
      <c r="W286" s="150"/>
      <c r="X286" s="157" t="s">
        <v>436</v>
      </c>
      <c r="Y286" s="150"/>
      <c r="Z286" s="150"/>
      <c r="AA286" s="158"/>
      <c r="AB286" s="155"/>
      <c r="AC286" s="150"/>
      <c r="AD286" s="155"/>
      <c r="AE286" s="155"/>
      <c r="AF286" s="150"/>
      <c r="AG286" s="159">
        <v>2500</v>
      </c>
      <c r="AH286" s="211">
        <v>4.2408000000000001</v>
      </c>
      <c r="AI286" s="202">
        <v>0</v>
      </c>
      <c r="AJ286" s="161">
        <v>7.0000000000000007E-2</v>
      </c>
      <c r="AK286" s="162"/>
      <c r="AL286" s="163"/>
      <c r="AM286" s="164">
        <f>(((IF(L286=$L$101,1,IF(L286=$L$47,1,0))*(AH286*(1-AK286)))*AG286)*(1-AL286))</f>
        <v>0</v>
      </c>
      <c r="AN286" s="165">
        <f>IF(K286=$K$50,AM286,IF(K286=$K$53,AM286,IF(K286=$K$54,AM286,IF(K286=$K$55,AM286,IF(K286=$K$56,AM286,IF(K286=$K$57,AM286,IF(K286=$K$58,AM286,IF(K286=$K$65,AM286,IF(K286=$K$66,AM286,IF(K286=$K$67,AM286,IF(K286=$K$68,AM286,IF(K286=$K$69,AM286,IF(K286=$K$51,AM286,(AM286*(1+AI286)))))))))))))))</f>
        <v>0</v>
      </c>
      <c r="AO286" s="166">
        <v>1.4</v>
      </c>
      <c r="AP286" s="160">
        <f t="shared" si="47"/>
        <v>0</v>
      </c>
      <c r="AQ286" s="167">
        <f t="shared" si="53"/>
        <v>0</v>
      </c>
      <c r="AR286" s="160">
        <f t="shared" si="48"/>
        <v>0</v>
      </c>
      <c r="AS286" s="168">
        <f t="shared" si="49"/>
        <v>0</v>
      </c>
      <c r="AT286" s="169" t="str">
        <f>K286</f>
        <v>MI</v>
      </c>
      <c r="AU286" s="169" t="str">
        <f>I286</f>
        <v>Mercadorias</v>
      </c>
      <c r="AV286" s="170"/>
      <c r="AW286" s="171">
        <f>IF(K286=$K$50,0,IF(K286=$K$53,0,IF(K286=$K$54,0,IF(K286=$K$55,0,IF(K286=$K$56,0,IF(K286=$K$57,0,IF(K286=$K$58,0,IF(K286=$K$65,0,IF(K286=$K$66,0,IF(K286=$K$67,0,IF(K286=$K$68,0,IF(K286=$K$69,0,IF(K286=$K$51,0,1))))))))))))*AM286*AI286)</f>
        <v>0</v>
      </c>
      <c r="AX286" s="172">
        <f>IF(K286=$K$50,0,IF(K286=$K$53,0,IF(K286=$K$54,0,IF(K286=$K$55,0,IF(K286=$K$56,0,IF(K286=$K$57,0,IF(K286=$K$58,0,IF(K286=$K$65,0,IF(K286=$K$66,0,IF(K286=$K$67,0,IF(K286=$K$68,0,IF(K286=$K$69,0,IF(K286=$K$51,0,1))))))))))))*AM286*AJ286*$AX$94)</f>
        <v>0</v>
      </c>
      <c r="AY286" s="172">
        <f>IF(K286=$K$53,0,IF(K286=$K$54,0,IF(K286=$K$55,0,IF(K286=$K$56,0,IF(K286=$K$58,0,IF(K286=$K$50,0,IF(K286=$K$65,0,IF(K286=$K$57,0,IF(K286=$K$51,0,AM286*$AY$102)))))))))</f>
        <v>0</v>
      </c>
      <c r="AZ286" s="172">
        <f>IF(K286=$K$53,0,IF(K286=$K$54,0,IF(K286=$K$55,0,IF(K286=$K$56,0,IF(K286=$K$58,0,IF(K286=$K$50,0,IF(K286=$K$65,0,IF(K286=$K$57,0,IF(K286=$K$51,0,AM286*$AZ$102)))))))))</f>
        <v>0</v>
      </c>
      <c r="BA286" s="172">
        <f t="shared" si="50"/>
        <v>0</v>
      </c>
      <c r="BB286" s="173">
        <f>IF($BA$97=1,AQ286*$BB$102,IF(K286=$K$50,0,IF(K286=$K$53,0,IF(K286=$K$54,0,IF(K286=$K$55,0,IF(K286=$K$56,0,IF(K286=$K$57,0,IF(K286=$K$58,0,IF(K286=$K$65,0,IF(K286=$K$66,0,IF(K286=$K$67,0,IF(K286=$K$68,0,IF(K286=$K$69,0,IF(K286=$K$51,0,1)))))))))))*AQ286*$BB$102)))</f>
        <v>0</v>
      </c>
      <c r="BC286" s="172">
        <f t="shared" si="51"/>
        <v>0</v>
      </c>
      <c r="BD286" s="172">
        <f t="shared" si="52"/>
        <v>0</v>
      </c>
      <c r="BE286" s="172">
        <f>IF($BE$95=I286,$BE$97,IF(I286=$BE$96,$BE$97,1))*($BE$102*AQ286)*$AZ$97</f>
        <v>0</v>
      </c>
      <c r="BF286" s="172">
        <f>IF('[1]Cockpit Retorno'!$C$65=Sim,Mestre!BA286,SUM(BB286:BE286)+(IF(K286=$K$56,AQ286*MOE_IRRF_LR,0)))</f>
        <v>0</v>
      </c>
      <c r="BG286" s="174">
        <f>IF(AA286&gt;0,0,IF(Z286=$Z$82,AG286*1,(IF(Z286=$Z$81,AG286*1,0))))</f>
        <v>0</v>
      </c>
      <c r="BH286" s="174">
        <f>IF(AA286&gt;0,0,IF(Z286=$Z$83,AG286*1,IF(Z286=$Z$81,AG286*1,0)))</f>
        <v>0</v>
      </c>
      <c r="BI286" s="174">
        <f>IF(AA286&gt;0,0,IF(Z286=$Z$84,AG286*1,IF(Z286=$Z$93,AG286*2,IF(Z286=$Z$100,AG286,IF(Z286=$Z$81,AG286*2,IF(Z286=$Z$80,AG286*1,IF(Z286=$Z$79,AG286*3,IF(Z286=$Z$78,AG286*2,0))))))))</f>
        <v>0</v>
      </c>
      <c r="BJ286" s="174">
        <f>IF(AA286&gt;0,0,IF(Z286=$Z$85,AG286,IF(Z286=$Z$93,AG286,IF(Z286=$Z$100,AG286,IF(Z286=$Z$81,AG286*1,IF(Z286=$Z$80,AG286*2,IF(Z286=$Z$79,AG286*2,IF(Z286=$Z$78,AG286*2,0))))))))</f>
        <v>0</v>
      </c>
      <c r="BK286" s="174">
        <f>IF(AA286&gt;0,0,IF(Z286=$Z$92,AG286,0))</f>
        <v>0</v>
      </c>
      <c r="BL286" s="174">
        <f>IF(AA286&gt;0,0,IF(Z286=$Z$91,AG286,0))</f>
        <v>0</v>
      </c>
      <c r="BM286" s="174">
        <f>IF(AA286&gt;0,0,IF(Z286=$Z$86,AG286,0))</f>
        <v>0</v>
      </c>
      <c r="BN286" s="174">
        <f>IF(AA286&gt;0,0,IF(Z286=$Z$87,AG286,0))</f>
        <v>0</v>
      </c>
      <c r="BO286" s="174">
        <f>IF(AA286&gt;0,0,IF(Z286=$Z$88,AG286,0))</f>
        <v>0</v>
      </c>
      <c r="BP286" s="174">
        <f>IF(AA286&gt;0,0,IF(Z286=$Z$89,AG286,0))</f>
        <v>0</v>
      </c>
      <c r="BQ286" s="174">
        <f>IF(AA286&gt;0,0,IF(Z286=$Z$90,AG286,0))</f>
        <v>0</v>
      </c>
      <c r="BR286" s="174">
        <f>IF(Z286=$Z$82,AA286*AG286,0)</f>
        <v>0</v>
      </c>
      <c r="BS286" s="174">
        <f>IF(Z286=$Z$83,AA286*AG286,0)</f>
        <v>0</v>
      </c>
      <c r="BT286" s="174">
        <f>IF(AA286&lt;1,0,IF(Z286=$Z$84,AA286*AG286,IF(Z286=$Z$93,"ERRO",IF(Z286=$Z$100,"ERRO",0))))</f>
        <v>0</v>
      </c>
      <c r="BU286" s="174">
        <f>IF(AA286&lt;1,0,IF(Z286=$Z$85,AA286*AG286,IF(Z286=$Z$93,"ERRO",IF(Z286=$Z$100,"ERRO",0))))</f>
        <v>0</v>
      </c>
      <c r="BV286" s="174">
        <f>IF(Z286=$Z$92,AA286*AG286,0)</f>
        <v>0</v>
      </c>
      <c r="BW286" s="174">
        <f>IF(Z286=$Z$91,AA286*AG286,0)</f>
        <v>0</v>
      </c>
      <c r="BX286" s="174">
        <f>IF(Z286=$Z$86,AA286*AG286,0)</f>
        <v>0</v>
      </c>
      <c r="BY286" s="174">
        <f>IF(Z286=$Z$87,AA286*AG286,0)</f>
        <v>0</v>
      </c>
      <c r="BZ286" s="174">
        <f>IF(Z286=$Z$88,AA286*AG286,0)</f>
        <v>0</v>
      </c>
      <c r="CA286" s="174">
        <f>IF(Z286=$Z$89,AA286*AG286,0)</f>
        <v>0</v>
      </c>
      <c r="CB286" s="174">
        <f>IF(Z286=$Z$90,AA286*AG286,0)</f>
        <v>0</v>
      </c>
      <c r="CC286" s="175">
        <f>IFERROR(IF(L286=$L$49,AG286*AH286*(1+AI286)*(1-AK286)*(1-AL286),0),0)</f>
        <v>10602</v>
      </c>
      <c r="CD286" s="203">
        <f>IF(I286=$CD$97,1,IF(I286=$CD$100,2,IF(K286=$K$66,1,IF(K286=$K$69,1,3))))</f>
        <v>1</v>
      </c>
      <c r="CE286" s="203">
        <f t="shared" si="14"/>
        <v>1.07</v>
      </c>
      <c r="CF286" s="204">
        <f t="shared" si="54"/>
        <v>1.2353999999999998</v>
      </c>
      <c r="CG286" s="203">
        <f t="shared" si="15"/>
        <v>1.42</v>
      </c>
      <c r="CH286" s="204">
        <f t="shared" si="55"/>
        <v>1.5478000000000001</v>
      </c>
      <c r="CI286" s="203">
        <f t="shared" si="16"/>
        <v>1.7</v>
      </c>
      <c r="CJ286" s="205">
        <f t="shared" si="56"/>
        <v>1.0486</v>
      </c>
      <c r="CK286" s="205">
        <f t="shared" si="57"/>
        <v>1.148922</v>
      </c>
      <c r="CL286" s="205">
        <f t="shared" si="58"/>
        <v>1.3915999999999999</v>
      </c>
      <c r="CM286" s="205">
        <f t="shared" si="59"/>
        <v>1.501366</v>
      </c>
      <c r="CN286" s="206">
        <f t="shared" si="60"/>
        <v>1.6319999999999999</v>
      </c>
      <c r="CO286" s="204">
        <f t="shared" si="61"/>
        <v>1.006656</v>
      </c>
      <c r="CP286" s="207">
        <f t="shared" si="62"/>
        <v>0</v>
      </c>
      <c r="CQ286" s="208">
        <f t="shared" si="63"/>
        <v>0</v>
      </c>
      <c r="CR286" s="209">
        <f t="shared" si="64"/>
        <v>0</v>
      </c>
      <c r="CS286" s="49"/>
      <c r="CT286" s="49"/>
      <c r="CU286" s="49"/>
      <c r="CV286" s="49"/>
      <c r="CW286" s="49"/>
      <c r="CX286" s="49"/>
      <c r="CY286" s="49"/>
      <c r="CZ286" s="49"/>
      <c r="DA286" s="49"/>
      <c r="DB286" s="49"/>
      <c r="DC286" s="49"/>
      <c r="DD286" s="49"/>
      <c r="DE286" s="49"/>
      <c r="DF286" s="49"/>
      <c r="DG286" s="49"/>
      <c r="DH286" s="49"/>
      <c r="DI286" s="49"/>
      <c r="DJ286" s="49"/>
      <c r="DK286" s="49"/>
      <c r="DL286" s="49"/>
      <c r="DM286" s="49"/>
      <c r="DN286" s="49"/>
      <c r="DO286" s="49"/>
      <c r="DP286" s="49"/>
      <c r="DQ286" s="49"/>
      <c r="DR286" s="49"/>
      <c r="DS286" s="49"/>
      <c r="DT286" s="49"/>
      <c r="DU286" s="49"/>
      <c r="DV286" s="49"/>
      <c r="DW286" s="49"/>
      <c r="DX286" s="49"/>
      <c r="DY286" s="49"/>
      <c r="DZ286" s="49"/>
      <c r="EA286" s="49"/>
      <c r="EB286" s="49"/>
      <c r="EC286" s="49"/>
      <c r="ED286" s="49"/>
      <c r="EE286" s="49"/>
      <c r="EF286" s="49"/>
      <c r="EG286" s="49"/>
      <c r="EH286" s="49"/>
      <c r="EI286" s="49"/>
      <c r="EJ286" s="49"/>
      <c r="EK286" s="49"/>
      <c r="EL286" s="49"/>
      <c r="EM286" s="49"/>
      <c r="EN286" s="49"/>
      <c r="EO286" s="49"/>
      <c r="EP286" s="49"/>
      <c r="EQ286" s="49"/>
      <c r="ER286" s="49"/>
      <c r="ES286" s="49"/>
      <c r="ET286" s="49"/>
      <c r="EU286" s="49"/>
      <c r="EV286" s="49"/>
      <c r="EW286" s="49"/>
      <c r="EX286" s="49"/>
      <c r="EY286" s="49"/>
      <c r="EZ286" s="49"/>
      <c r="FA286" s="49"/>
    </row>
    <row r="287" spans="1:157" s="210" customFormat="1" ht="63.75" x14ac:dyDescent="0.25">
      <c r="A287" s="113">
        <f>IF(AND('[1]Cockpit Retorno'!$E$67=Sim,Mestre!M287=Mestre!$M$98),0,1)</f>
        <v>1</v>
      </c>
      <c r="B287" s="113">
        <f>IF(AND('[1]Cockpit Retorno'!$E$67=Sim,Mestre!L287=Mestre!$L$48),0,1)</f>
        <v>1</v>
      </c>
      <c r="C287" s="113">
        <f>IF(AND('[1]Cockpit Retorno'!$E$67=Sim,Mestre!M287=Mestre!$M$97),0,1)</f>
        <v>1</v>
      </c>
      <c r="D287" s="148" t="s">
        <v>7</v>
      </c>
      <c r="E287" s="115"/>
      <c r="F287" s="116" t="s">
        <v>107</v>
      </c>
      <c r="G287" s="149">
        <v>32</v>
      </c>
      <c r="H287" s="150" t="s">
        <v>7</v>
      </c>
      <c r="I287" s="151" t="str">
        <f t="shared" si="46"/>
        <v>Mercadorias</v>
      </c>
      <c r="J287" s="150" t="s">
        <v>15</v>
      </c>
      <c r="K287" s="152" t="s">
        <v>7</v>
      </c>
      <c r="L287" s="153" t="s">
        <v>21</v>
      </c>
      <c r="M287" s="154" t="s">
        <v>437</v>
      </c>
      <c r="N287" s="155" t="s">
        <v>370</v>
      </c>
      <c r="O287" s="155" t="s">
        <v>434</v>
      </c>
      <c r="P287" s="155"/>
      <c r="Q287" s="155"/>
      <c r="R287" s="155"/>
      <c r="S287" s="156"/>
      <c r="T287" s="156"/>
      <c r="U287" s="150"/>
      <c r="V287" s="150"/>
      <c r="W287" s="150"/>
      <c r="X287" s="157" t="s">
        <v>438</v>
      </c>
      <c r="Y287" s="150"/>
      <c r="Z287" s="150"/>
      <c r="AA287" s="158"/>
      <c r="AB287" s="155"/>
      <c r="AC287" s="150"/>
      <c r="AD287" s="155"/>
      <c r="AE287" s="155"/>
      <c r="AF287" s="150"/>
      <c r="AG287" s="159">
        <v>15000</v>
      </c>
      <c r="AH287" s="211">
        <v>6.9192000000000009</v>
      </c>
      <c r="AI287" s="202">
        <v>0</v>
      </c>
      <c r="AJ287" s="161">
        <v>7.0000000000000007E-2</v>
      </c>
      <c r="AK287" s="162"/>
      <c r="AL287" s="163"/>
      <c r="AM287" s="164">
        <f>(((IF(L287=$L$101,1,IF(L287=$L$47,1,0))*(AH287*(1-AK287)))*AG287)*(1-AL287))</f>
        <v>0</v>
      </c>
      <c r="AN287" s="165">
        <f>IF(K287=$K$50,AM287,IF(K287=$K$53,AM287,IF(K287=$K$54,AM287,IF(K287=$K$55,AM287,IF(K287=$K$56,AM287,IF(K287=$K$57,AM287,IF(K287=$K$58,AM287,IF(K287=$K$65,AM287,IF(K287=$K$66,AM287,IF(K287=$K$67,AM287,IF(K287=$K$68,AM287,IF(K287=$K$69,AM287,IF(K287=$K$51,AM287,(AM287*(1+AI287)))))))))))))))</f>
        <v>0</v>
      </c>
      <c r="AO287" s="166">
        <v>1.4</v>
      </c>
      <c r="AP287" s="160">
        <f t="shared" si="47"/>
        <v>0</v>
      </c>
      <c r="AQ287" s="167">
        <f t="shared" si="53"/>
        <v>0</v>
      </c>
      <c r="AR287" s="160">
        <f t="shared" si="48"/>
        <v>0</v>
      </c>
      <c r="AS287" s="168">
        <f t="shared" si="49"/>
        <v>0</v>
      </c>
      <c r="AT287" s="169" t="str">
        <f>K287</f>
        <v>MI</v>
      </c>
      <c r="AU287" s="169" t="str">
        <f>I287</f>
        <v>Mercadorias</v>
      </c>
      <c r="AV287" s="170"/>
      <c r="AW287" s="171">
        <f>IF(K287=$K$50,0,IF(K287=$K$53,0,IF(K287=$K$54,0,IF(K287=$K$55,0,IF(K287=$K$56,0,IF(K287=$K$57,0,IF(K287=$K$58,0,IF(K287=$K$65,0,IF(K287=$K$66,0,IF(K287=$K$67,0,IF(K287=$K$68,0,IF(K287=$K$69,0,IF(K287=$K$51,0,1))))))))))))*AM287*AI287)</f>
        <v>0</v>
      </c>
      <c r="AX287" s="172">
        <f>IF(K287=$K$50,0,IF(K287=$K$53,0,IF(K287=$K$54,0,IF(K287=$K$55,0,IF(K287=$K$56,0,IF(K287=$K$57,0,IF(K287=$K$58,0,IF(K287=$K$65,0,IF(K287=$K$66,0,IF(K287=$K$67,0,IF(K287=$K$68,0,IF(K287=$K$69,0,IF(K287=$K$51,0,1))))))))))))*AM287*AJ287*$AX$94)</f>
        <v>0</v>
      </c>
      <c r="AY287" s="172">
        <f>IF(K287=$K$53,0,IF(K287=$K$54,0,IF(K287=$K$55,0,IF(K287=$K$56,0,IF(K287=$K$58,0,IF(K287=$K$50,0,IF(K287=$K$65,0,IF(K287=$K$57,0,IF(K287=$K$51,0,AM287*$AY$102)))))))))</f>
        <v>0</v>
      </c>
      <c r="AZ287" s="172">
        <f>IF(K287=$K$53,0,IF(K287=$K$54,0,IF(K287=$K$55,0,IF(K287=$K$56,0,IF(K287=$K$58,0,IF(K287=$K$50,0,IF(K287=$K$65,0,IF(K287=$K$57,0,IF(K287=$K$51,0,AM287*$AZ$102)))))))))</f>
        <v>0</v>
      </c>
      <c r="BA287" s="172">
        <f t="shared" si="50"/>
        <v>0</v>
      </c>
      <c r="BB287" s="173">
        <f>IF($BA$97=1,AQ287*$BB$102,IF(K287=$K$50,0,IF(K287=$K$53,0,IF(K287=$K$54,0,IF(K287=$K$55,0,IF(K287=$K$56,0,IF(K287=$K$57,0,IF(K287=$K$58,0,IF(K287=$K$65,0,IF(K287=$K$66,0,IF(K287=$K$67,0,IF(K287=$K$68,0,IF(K287=$K$69,0,IF(K287=$K$51,0,1)))))))))))*AQ287*$BB$102)))</f>
        <v>0</v>
      </c>
      <c r="BC287" s="172">
        <f t="shared" si="51"/>
        <v>0</v>
      </c>
      <c r="BD287" s="172">
        <f t="shared" si="52"/>
        <v>0</v>
      </c>
      <c r="BE287" s="172">
        <f>IF($BE$95=I287,$BE$97,IF(I287=$BE$96,$BE$97,1))*($BE$102*AQ287)*$AZ$97</f>
        <v>0</v>
      </c>
      <c r="BF287" s="172">
        <f>IF('[1]Cockpit Retorno'!$C$65=Sim,Mestre!BA287,SUM(BB287:BE287)+(IF(K287=$K$56,AQ287*MOE_IRRF_LR,0)))</f>
        <v>0</v>
      </c>
      <c r="BG287" s="174">
        <f>IF(AA287&gt;0,0,IF(Z287=$Z$82,AG287*1,(IF(Z287=$Z$81,AG287*1,0))))</f>
        <v>0</v>
      </c>
      <c r="BH287" s="174">
        <f>IF(AA287&gt;0,0,IF(Z287=$Z$83,AG287*1,IF(Z287=$Z$81,AG287*1,0)))</f>
        <v>0</v>
      </c>
      <c r="BI287" s="174">
        <f>IF(AA287&gt;0,0,IF(Z287=$Z$84,AG287*1,IF(Z287=$Z$93,AG287*2,IF(Z287=$Z$100,AG287,IF(Z287=$Z$81,AG287*2,IF(Z287=$Z$80,AG287*1,IF(Z287=$Z$79,AG287*3,IF(Z287=$Z$78,AG287*2,0))))))))</f>
        <v>0</v>
      </c>
      <c r="BJ287" s="174">
        <f>IF(AA287&gt;0,0,IF(Z287=$Z$85,AG287,IF(Z287=$Z$93,AG287,IF(Z287=$Z$100,AG287,IF(Z287=$Z$81,AG287*1,IF(Z287=$Z$80,AG287*2,IF(Z287=$Z$79,AG287*2,IF(Z287=$Z$78,AG287*2,0))))))))</f>
        <v>0</v>
      </c>
      <c r="BK287" s="174">
        <f>IF(AA287&gt;0,0,IF(Z287=$Z$92,AG287,0))</f>
        <v>0</v>
      </c>
      <c r="BL287" s="174">
        <f>IF(AA287&gt;0,0,IF(Z287=$Z$91,AG287,0))</f>
        <v>0</v>
      </c>
      <c r="BM287" s="174">
        <f>IF(AA287&gt;0,0,IF(Z287=$Z$86,AG287,0))</f>
        <v>0</v>
      </c>
      <c r="BN287" s="174">
        <f>IF(AA287&gt;0,0,IF(Z287=$Z$87,AG287,0))</f>
        <v>0</v>
      </c>
      <c r="BO287" s="174">
        <f>IF(AA287&gt;0,0,IF(Z287=$Z$88,AG287,0))</f>
        <v>0</v>
      </c>
      <c r="BP287" s="174">
        <f>IF(AA287&gt;0,0,IF(Z287=$Z$89,AG287,0))</f>
        <v>0</v>
      </c>
      <c r="BQ287" s="174">
        <f>IF(AA287&gt;0,0,IF(Z287=$Z$90,AG287,0))</f>
        <v>0</v>
      </c>
      <c r="BR287" s="174">
        <f>IF(Z287=$Z$82,AA287*AG287,0)</f>
        <v>0</v>
      </c>
      <c r="BS287" s="174">
        <f>IF(Z287=$Z$83,AA287*AG287,0)</f>
        <v>0</v>
      </c>
      <c r="BT287" s="174">
        <f>IF(AA287&lt;1,0,IF(Z287=$Z$84,AA287*AG287,IF(Z287=$Z$93,"ERRO",IF(Z287=$Z$100,"ERRO",0))))</f>
        <v>0</v>
      </c>
      <c r="BU287" s="174">
        <f>IF(AA287&lt;1,0,IF(Z287=$Z$85,AA287*AG287,IF(Z287=$Z$93,"ERRO",IF(Z287=$Z$100,"ERRO",0))))</f>
        <v>0</v>
      </c>
      <c r="BV287" s="174">
        <f>IF(Z287=$Z$92,AA287*AG287,0)</f>
        <v>0</v>
      </c>
      <c r="BW287" s="174">
        <f>IF(Z287=$Z$91,AA287*AG287,0)</f>
        <v>0</v>
      </c>
      <c r="BX287" s="174">
        <f>IF(Z287=$Z$86,AA287*AG287,0)</f>
        <v>0</v>
      </c>
      <c r="BY287" s="174">
        <f>IF(Z287=$Z$87,AA287*AG287,0)</f>
        <v>0</v>
      </c>
      <c r="BZ287" s="174">
        <f>IF(Z287=$Z$88,AA287*AG287,0)</f>
        <v>0</v>
      </c>
      <c r="CA287" s="174">
        <f>IF(Z287=$Z$89,AA287*AG287,0)</f>
        <v>0</v>
      </c>
      <c r="CB287" s="174">
        <f>IF(Z287=$Z$90,AA287*AG287,0)</f>
        <v>0</v>
      </c>
      <c r="CC287" s="175">
        <f>IFERROR(IF(L287=$L$49,AG287*AH287*(1+AI287)*(1-AK287)*(1-AL287),0),0)</f>
        <v>103788.00000000001</v>
      </c>
      <c r="CD287" s="203">
        <f>IF(I287=$CD$97,1,IF(I287=$CD$100,2,IF(K287=$K$66,1,IF(K287=$K$69,1,3))))</f>
        <v>1</v>
      </c>
      <c r="CE287" s="203">
        <f t="shared" si="14"/>
        <v>1.07</v>
      </c>
      <c r="CF287" s="204">
        <f t="shared" si="54"/>
        <v>1.2353999999999998</v>
      </c>
      <c r="CG287" s="203">
        <f t="shared" si="15"/>
        <v>1.42</v>
      </c>
      <c r="CH287" s="204">
        <f t="shared" si="55"/>
        <v>1.5478000000000001</v>
      </c>
      <c r="CI287" s="203">
        <f t="shared" si="16"/>
        <v>1.7</v>
      </c>
      <c r="CJ287" s="205">
        <f t="shared" si="56"/>
        <v>1.0486</v>
      </c>
      <c r="CK287" s="205">
        <f t="shared" si="57"/>
        <v>1.148922</v>
      </c>
      <c r="CL287" s="205">
        <f t="shared" si="58"/>
        <v>1.3915999999999999</v>
      </c>
      <c r="CM287" s="205">
        <f t="shared" si="59"/>
        <v>1.501366</v>
      </c>
      <c r="CN287" s="206">
        <f t="shared" si="60"/>
        <v>1.6319999999999999</v>
      </c>
      <c r="CO287" s="204">
        <f t="shared" si="61"/>
        <v>1.006656</v>
      </c>
      <c r="CP287" s="207">
        <f t="shared" si="62"/>
        <v>0</v>
      </c>
      <c r="CQ287" s="208">
        <f t="shared" si="63"/>
        <v>0</v>
      </c>
      <c r="CR287" s="209">
        <f t="shared" si="64"/>
        <v>0</v>
      </c>
      <c r="CS287" s="49"/>
      <c r="CT287" s="49"/>
      <c r="CU287" s="49"/>
      <c r="CV287" s="49"/>
      <c r="CW287" s="49"/>
      <c r="CX287" s="49"/>
      <c r="CY287" s="49"/>
      <c r="CZ287" s="49"/>
      <c r="DA287" s="49"/>
      <c r="DB287" s="49"/>
      <c r="DC287" s="49"/>
      <c r="DD287" s="49"/>
      <c r="DE287" s="49"/>
      <c r="DF287" s="49"/>
      <c r="DG287" s="49"/>
      <c r="DH287" s="49"/>
      <c r="DI287" s="49"/>
      <c r="DJ287" s="49"/>
      <c r="DK287" s="49"/>
      <c r="DL287" s="49"/>
      <c r="DM287" s="49"/>
      <c r="DN287" s="49"/>
      <c r="DO287" s="49"/>
      <c r="DP287" s="49"/>
      <c r="DQ287" s="49"/>
      <c r="DR287" s="49"/>
      <c r="DS287" s="49"/>
      <c r="DT287" s="49"/>
      <c r="DU287" s="49"/>
      <c r="DV287" s="49"/>
      <c r="DW287" s="49"/>
      <c r="DX287" s="49"/>
      <c r="DY287" s="49"/>
      <c r="DZ287" s="49"/>
      <c r="EA287" s="49"/>
      <c r="EB287" s="49"/>
      <c r="EC287" s="49"/>
      <c r="ED287" s="49"/>
      <c r="EE287" s="49"/>
      <c r="EF287" s="49"/>
      <c r="EG287" s="49"/>
      <c r="EH287" s="49"/>
      <c r="EI287" s="49"/>
      <c r="EJ287" s="49"/>
      <c r="EK287" s="49"/>
      <c r="EL287" s="49"/>
      <c r="EM287" s="49"/>
      <c r="EN287" s="49"/>
      <c r="EO287" s="49"/>
      <c r="EP287" s="49"/>
      <c r="EQ287" s="49"/>
      <c r="ER287" s="49"/>
      <c r="ES287" s="49"/>
      <c r="ET287" s="49"/>
      <c r="EU287" s="49"/>
      <c r="EV287" s="49"/>
      <c r="EW287" s="49"/>
      <c r="EX287" s="49"/>
      <c r="EY287" s="49"/>
      <c r="EZ287" s="49"/>
      <c r="FA287" s="49"/>
    </row>
    <row r="288" spans="1:157" s="210" customFormat="1" ht="63.75" x14ac:dyDescent="0.25">
      <c r="A288" s="113">
        <f>IF(AND('[1]Cockpit Retorno'!$E$67=Sim,Mestre!M288=Mestre!$M$98),0,1)</f>
        <v>1</v>
      </c>
      <c r="B288" s="113">
        <f>IF(AND('[1]Cockpit Retorno'!$E$67=Sim,Mestre!L288=Mestre!$L$48),0,1)</f>
        <v>1</v>
      </c>
      <c r="C288" s="113">
        <f>IF(AND('[1]Cockpit Retorno'!$E$67=Sim,Mestre!M288=Mestre!$M$97),0,1)</f>
        <v>1</v>
      </c>
      <c r="D288" s="148" t="s">
        <v>7</v>
      </c>
      <c r="E288" s="115"/>
      <c r="F288" s="116" t="s">
        <v>107</v>
      </c>
      <c r="G288" s="149">
        <v>32</v>
      </c>
      <c r="H288" s="150" t="s">
        <v>7</v>
      </c>
      <c r="I288" s="151" t="str">
        <f t="shared" si="46"/>
        <v>Mercadorias</v>
      </c>
      <c r="J288" s="150" t="s">
        <v>15</v>
      </c>
      <c r="K288" s="152" t="s">
        <v>7</v>
      </c>
      <c r="L288" s="153" t="s">
        <v>21</v>
      </c>
      <c r="M288" s="154" t="s">
        <v>439</v>
      </c>
      <c r="N288" s="155" t="s">
        <v>370</v>
      </c>
      <c r="O288" s="155" t="s">
        <v>434</v>
      </c>
      <c r="P288" s="155"/>
      <c r="Q288" s="155"/>
      <c r="R288" s="155"/>
      <c r="S288" s="156"/>
      <c r="T288" s="156"/>
      <c r="U288" s="150"/>
      <c r="V288" s="150"/>
      <c r="W288" s="150"/>
      <c r="X288" s="157" t="s">
        <v>440</v>
      </c>
      <c r="Y288" s="150"/>
      <c r="Z288" s="150"/>
      <c r="AA288" s="158"/>
      <c r="AB288" s="155"/>
      <c r="AC288" s="150"/>
      <c r="AD288" s="155"/>
      <c r="AE288" s="155"/>
      <c r="AF288" s="150"/>
      <c r="AG288" s="159">
        <v>3500</v>
      </c>
      <c r="AH288" s="211">
        <v>3.6828000000000003</v>
      </c>
      <c r="AI288" s="202">
        <v>0</v>
      </c>
      <c r="AJ288" s="161">
        <v>7.0000000000000007E-2</v>
      </c>
      <c r="AK288" s="162"/>
      <c r="AL288" s="163"/>
      <c r="AM288" s="164">
        <f>(((IF(L288=$L$101,1,IF(L288=$L$47,1,0))*(AH288*(1-AK288)))*AG288)*(1-AL288))</f>
        <v>0</v>
      </c>
      <c r="AN288" s="165">
        <f>IF(K288=$K$50,AM288,IF(K288=$K$53,AM288,IF(K288=$K$54,AM288,IF(K288=$K$55,AM288,IF(K288=$K$56,AM288,IF(K288=$K$57,AM288,IF(K288=$K$58,AM288,IF(K288=$K$65,AM288,IF(K288=$K$66,AM288,IF(K288=$K$67,AM288,IF(K288=$K$68,AM288,IF(K288=$K$69,AM288,IF(K288=$K$51,AM288,(AM288*(1+AI288)))))))))))))))</f>
        <v>0</v>
      </c>
      <c r="AO288" s="166">
        <v>1.4</v>
      </c>
      <c r="AP288" s="160">
        <f t="shared" si="47"/>
        <v>0</v>
      </c>
      <c r="AQ288" s="167">
        <f t="shared" si="53"/>
        <v>0</v>
      </c>
      <c r="AR288" s="160">
        <f t="shared" si="48"/>
        <v>0</v>
      </c>
      <c r="AS288" s="168">
        <f t="shared" si="49"/>
        <v>0</v>
      </c>
      <c r="AT288" s="169" t="str">
        <f>K288</f>
        <v>MI</v>
      </c>
      <c r="AU288" s="169" t="str">
        <f>I288</f>
        <v>Mercadorias</v>
      </c>
      <c r="AV288" s="170"/>
      <c r="AW288" s="171">
        <f>IF(K288=$K$50,0,IF(K288=$K$53,0,IF(K288=$K$54,0,IF(K288=$K$55,0,IF(K288=$K$56,0,IF(K288=$K$57,0,IF(K288=$K$58,0,IF(K288=$K$65,0,IF(K288=$K$66,0,IF(K288=$K$67,0,IF(K288=$K$68,0,IF(K288=$K$69,0,IF(K288=$K$51,0,1))))))))))))*AM288*AI288)</f>
        <v>0</v>
      </c>
      <c r="AX288" s="172">
        <f>IF(K288=$K$50,0,IF(K288=$K$53,0,IF(K288=$K$54,0,IF(K288=$K$55,0,IF(K288=$K$56,0,IF(K288=$K$57,0,IF(K288=$K$58,0,IF(K288=$K$65,0,IF(K288=$K$66,0,IF(K288=$K$67,0,IF(K288=$K$68,0,IF(K288=$K$69,0,IF(K288=$K$51,0,1))))))))))))*AM288*AJ288*$AX$94)</f>
        <v>0</v>
      </c>
      <c r="AY288" s="172">
        <f>IF(K288=$K$53,0,IF(K288=$K$54,0,IF(K288=$K$55,0,IF(K288=$K$56,0,IF(K288=$K$58,0,IF(K288=$K$50,0,IF(K288=$K$65,0,IF(K288=$K$57,0,IF(K288=$K$51,0,AM288*$AY$102)))))))))</f>
        <v>0</v>
      </c>
      <c r="AZ288" s="172">
        <f>IF(K288=$K$53,0,IF(K288=$K$54,0,IF(K288=$K$55,0,IF(K288=$K$56,0,IF(K288=$K$58,0,IF(K288=$K$50,0,IF(K288=$K$65,0,IF(K288=$K$57,0,IF(K288=$K$51,0,AM288*$AZ$102)))))))))</f>
        <v>0</v>
      </c>
      <c r="BA288" s="172">
        <f t="shared" si="50"/>
        <v>0</v>
      </c>
      <c r="BB288" s="173">
        <f>IF($BA$97=1,AQ288*$BB$102,IF(K288=$K$50,0,IF(K288=$K$53,0,IF(K288=$K$54,0,IF(K288=$K$55,0,IF(K288=$K$56,0,IF(K288=$K$57,0,IF(K288=$K$58,0,IF(K288=$K$65,0,IF(K288=$K$66,0,IF(K288=$K$67,0,IF(K288=$K$68,0,IF(K288=$K$69,0,IF(K288=$K$51,0,1)))))))))))*AQ288*$BB$102)))</f>
        <v>0</v>
      </c>
      <c r="BC288" s="172">
        <f t="shared" si="51"/>
        <v>0</v>
      </c>
      <c r="BD288" s="172">
        <f t="shared" si="52"/>
        <v>0</v>
      </c>
      <c r="BE288" s="172">
        <f>IF($BE$95=I288,$BE$97,IF(I288=$BE$96,$BE$97,1))*($BE$102*AQ288)*$AZ$97</f>
        <v>0</v>
      </c>
      <c r="BF288" s="172">
        <f>IF('[1]Cockpit Retorno'!$C$65=Sim,Mestre!BA288,SUM(BB288:BE288)+(IF(K288=$K$56,AQ288*MOE_IRRF_LR,0)))</f>
        <v>0</v>
      </c>
      <c r="BG288" s="174">
        <f>IF(AA288&gt;0,0,IF(Z288=$Z$82,AG288*1,(IF(Z288=$Z$81,AG288*1,0))))</f>
        <v>0</v>
      </c>
      <c r="BH288" s="174">
        <f>IF(AA288&gt;0,0,IF(Z288=$Z$83,AG288*1,IF(Z288=$Z$81,AG288*1,0)))</f>
        <v>0</v>
      </c>
      <c r="BI288" s="174">
        <f>IF(AA288&gt;0,0,IF(Z288=$Z$84,AG288*1,IF(Z288=$Z$93,AG288*2,IF(Z288=$Z$100,AG288,IF(Z288=$Z$81,AG288*2,IF(Z288=$Z$80,AG288*1,IF(Z288=$Z$79,AG288*3,IF(Z288=$Z$78,AG288*2,0))))))))</f>
        <v>0</v>
      </c>
      <c r="BJ288" s="174">
        <f>IF(AA288&gt;0,0,IF(Z288=$Z$85,AG288,IF(Z288=$Z$93,AG288,IF(Z288=$Z$100,AG288,IF(Z288=$Z$81,AG288*1,IF(Z288=$Z$80,AG288*2,IF(Z288=$Z$79,AG288*2,IF(Z288=$Z$78,AG288*2,0))))))))</f>
        <v>0</v>
      </c>
      <c r="BK288" s="174">
        <f>IF(AA288&gt;0,0,IF(Z288=$Z$92,AG288,0))</f>
        <v>0</v>
      </c>
      <c r="BL288" s="174">
        <f>IF(AA288&gt;0,0,IF(Z288=$Z$91,AG288,0))</f>
        <v>0</v>
      </c>
      <c r="BM288" s="174">
        <f>IF(AA288&gt;0,0,IF(Z288=$Z$86,AG288,0))</f>
        <v>0</v>
      </c>
      <c r="BN288" s="174">
        <f>IF(AA288&gt;0,0,IF(Z288=$Z$87,AG288,0))</f>
        <v>0</v>
      </c>
      <c r="BO288" s="174">
        <f>IF(AA288&gt;0,0,IF(Z288=$Z$88,AG288,0))</f>
        <v>0</v>
      </c>
      <c r="BP288" s="174">
        <f>IF(AA288&gt;0,0,IF(Z288=$Z$89,AG288,0))</f>
        <v>0</v>
      </c>
      <c r="BQ288" s="174">
        <f>IF(AA288&gt;0,0,IF(Z288=$Z$90,AG288,0))</f>
        <v>0</v>
      </c>
      <c r="BR288" s="174">
        <f>IF(Z288=$Z$82,AA288*AG288,0)</f>
        <v>0</v>
      </c>
      <c r="BS288" s="174">
        <f>IF(Z288=$Z$83,AA288*AG288,0)</f>
        <v>0</v>
      </c>
      <c r="BT288" s="174">
        <f>IF(AA288&lt;1,0,IF(Z288=$Z$84,AA288*AG288,IF(Z288=$Z$93,"ERRO",IF(Z288=$Z$100,"ERRO",0))))</f>
        <v>0</v>
      </c>
      <c r="BU288" s="174">
        <f>IF(AA288&lt;1,0,IF(Z288=$Z$85,AA288*AG288,IF(Z288=$Z$93,"ERRO",IF(Z288=$Z$100,"ERRO",0))))</f>
        <v>0</v>
      </c>
      <c r="BV288" s="174">
        <f>IF(Z288=$Z$92,AA288*AG288,0)</f>
        <v>0</v>
      </c>
      <c r="BW288" s="174">
        <f>IF(Z288=$Z$91,AA288*AG288,0)</f>
        <v>0</v>
      </c>
      <c r="BX288" s="174">
        <f>IF(Z288=$Z$86,AA288*AG288,0)</f>
        <v>0</v>
      </c>
      <c r="BY288" s="174">
        <f>IF(Z288=$Z$87,AA288*AG288,0)</f>
        <v>0</v>
      </c>
      <c r="BZ288" s="174">
        <f>IF(Z288=$Z$88,AA288*AG288,0)</f>
        <v>0</v>
      </c>
      <c r="CA288" s="174">
        <f>IF(Z288=$Z$89,AA288*AG288,0)</f>
        <v>0</v>
      </c>
      <c r="CB288" s="174">
        <f>IF(Z288=$Z$90,AA288*AG288,0)</f>
        <v>0</v>
      </c>
      <c r="CC288" s="175">
        <f>IFERROR(IF(L288=$L$49,AG288*AH288*(1+AI288)*(1-AK288)*(1-AL288),0),0)</f>
        <v>12889.800000000001</v>
      </c>
      <c r="CD288" s="203">
        <f>IF(I288=$CD$97,1,IF(I288=$CD$100,2,IF(K288=$K$66,1,IF(K288=$K$69,1,3))))</f>
        <v>1</v>
      </c>
      <c r="CE288" s="203">
        <f t="shared" si="14"/>
        <v>1.07</v>
      </c>
      <c r="CF288" s="204">
        <f t="shared" si="54"/>
        <v>1.2353999999999998</v>
      </c>
      <c r="CG288" s="203">
        <f t="shared" si="15"/>
        <v>1.42</v>
      </c>
      <c r="CH288" s="204">
        <f t="shared" si="55"/>
        <v>1.5478000000000001</v>
      </c>
      <c r="CI288" s="203">
        <f t="shared" si="16"/>
        <v>1.7</v>
      </c>
      <c r="CJ288" s="205">
        <f t="shared" si="56"/>
        <v>1.0486</v>
      </c>
      <c r="CK288" s="205">
        <f t="shared" si="57"/>
        <v>1.148922</v>
      </c>
      <c r="CL288" s="205">
        <f t="shared" si="58"/>
        <v>1.3915999999999999</v>
      </c>
      <c r="CM288" s="205">
        <f t="shared" si="59"/>
        <v>1.501366</v>
      </c>
      <c r="CN288" s="206">
        <f t="shared" si="60"/>
        <v>1.6319999999999999</v>
      </c>
      <c r="CO288" s="204">
        <f t="shared" si="61"/>
        <v>1.006656</v>
      </c>
      <c r="CP288" s="207">
        <f t="shared" si="62"/>
        <v>0</v>
      </c>
      <c r="CQ288" s="208">
        <f t="shared" si="63"/>
        <v>0</v>
      </c>
      <c r="CR288" s="209">
        <f t="shared" si="64"/>
        <v>0</v>
      </c>
      <c r="CS288" s="49"/>
      <c r="CT288" s="49"/>
      <c r="CU288" s="49"/>
      <c r="CV288" s="49"/>
      <c r="CW288" s="49"/>
      <c r="CX288" s="49"/>
      <c r="CY288" s="49"/>
      <c r="CZ288" s="49"/>
      <c r="DA288" s="49"/>
      <c r="DB288" s="49"/>
      <c r="DC288" s="49"/>
      <c r="DD288" s="49"/>
      <c r="DE288" s="49"/>
      <c r="DF288" s="49"/>
      <c r="DG288" s="49"/>
      <c r="DH288" s="49"/>
      <c r="DI288" s="49"/>
      <c r="DJ288" s="49"/>
      <c r="DK288" s="49"/>
      <c r="DL288" s="49"/>
      <c r="DM288" s="49"/>
      <c r="DN288" s="49"/>
      <c r="DO288" s="49"/>
      <c r="DP288" s="49"/>
      <c r="DQ288" s="49"/>
      <c r="DR288" s="49"/>
      <c r="DS288" s="49"/>
      <c r="DT288" s="49"/>
      <c r="DU288" s="49"/>
      <c r="DV288" s="49"/>
      <c r="DW288" s="49"/>
      <c r="DX288" s="49"/>
      <c r="DY288" s="49"/>
      <c r="DZ288" s="49"/>
      <c r="EA288" s="49"/>
      <c r="EB288" s="49"/>
      <c r="EC288" s="49"/>
      <c r="ED288" s="49"/>
      <c r="EE288" s="49"/>
      <c r="EF288" s="49"/>
      <c r="EG288" s="49"/>
      <c r="EH288" s="49"/>
      <c r="EI288" s="49"/>
      <c r="EJ288" s="49"/>
      <c r="EK288" s="49"/>
      <c r="EL288" s="49"/>
      <c r="EM288" s="49"/>
      <c r="EN288" s="49"/>
      <c r="EO288" s="49"/>
      <c r="EP288" s="49"/>
      <c r="EQ288" s="49"/>
      <c r="ER288" s="49"/>
      <c r="ES288" s="49"/>
      <c r="ET288" s="49"/>
      <c r="EU288" s="49"/>
      <c r="EV288" s="49"/>
      <c r="EW288" s="49"/>
      <c r="EX288" s="49"/>
      <c r="EY288" s="49"/>
      <c r="EZ288" s="49"/>
      <c r="FA288" s="49"/>
    </row>
    <row r="289" spans="1:157" s="210" customFormat="1" ht="63.75" x14ac:dyDescent="0.25">
      <c r="A289" s="113">
        <f>IF(AND('[1]Cockpit Retorno'!$E$67=Sim,Mestre!M289=Mestre!$M$98),0,1)</f>
        <v>1</v>
      </c>
      <c r="B289" s="113">
        <f>IF(AND('[1]Cockpit Retorno'!$E$67=Sim,Mestre!L289=Mestre!$L$48),0,1)</f>
        <v>1</v>
      </c>
      <c r="C289" s="113">
        <f>IF(AND('[1]Cockpit Retorno'!$E$67=Sim,Mestre!M289=Mestre!$M$97),0,1)</f>
        <v>1</v>
      </c>
      <c r="D289" s="148" t="s">
        <v>7</v>
      </c>
      <c r="E289" s="115"/>
      <c r="F289" s="116" t="s">
        <v>107</v>
      </c>
      <c r="G289" s="149">
        <v>32</v>
      </c>
      <c r="H289" s="150" t="s">
        <v>7</v>
      </c>
      <c r="I289" s="151" t="str">
        <f t="shared" si="46"/>
        <v>Mercadorias</v>
      </c>
      <c r="J289" s="150" t="s">
        <v>15</v>
      </c>
      <c r="K289" s="152" t="s">
        <v>7</v>
      </c>
      <c r="L289" s="153" t="s">
        <v>21</v>
      </c>
      <c r="M289" s="154" t="s">
        <v>439</v>
      </c>
      <c r="N289" s="155" t="s">
        <v>370</v>
      </c>
      <c r="O289" s="155" t="s">
        <v>434</v>
      </c>
      <c r="P289" s="155"/>
      <c r="Q289" s="155"/>
      <c r="R289" s="155"/>
      <c r="S289" s="156"/>
      <c r="T289" s="156"/>
      <c r="U289" s="150"/>
      <c r="V289" s="150"/>
      <c r="W289" s="150"/>
      <c r="X289" s="157" t="s">
        <v>441</v>
      </c>
      <c r="Y289" s="150"/>
      <c r="Z289" s="150"/>
      <c r="AA289" s="158"/>
      <c r="AB289" s="155"/>
      <c r="AC289" s="150"/>
      <c r="AD289" s="155"/>
      <c r="AE289" s="155"/>
      <c r="AF289" s="150"/>
      <c r="AG289" s="159">
        <v>2000</v>
      </c>
      <c r="AH289" s="211">
        <v>8.9187000000000012</v>
      </c>
      <c r="AI289" s="202">
        <v>0</v>
      </c>
      <c r="AJ289" s="161">
        <v>7.0000000000000007E-2</v>
      </c>
      <c r="AK289" s="162"/>
      <c r="AL289" s="163"/>
      <c r="AM289" s="164">
        <f>(((IF(L289=$L$101,1,IF(L289=$L$47,1,0))*(AH289*(1-AK289)))*AG289)*(1-AL289))</f>
        <v>0</v>
      </c>
      <c r="AN289" s="165">
        <f>IF(K289=$K$50,AM289,IF(K289=$K$53,AM289,IF(K289=$K$54,AM289,IF(K289=$K$55,AM289,IF(K289=$K$56,AM289,IF(K289=$K$57,AM289,IF(K289=$K$58,AM289,IF(K289=$K$65,AM289,IF(K289=$K$66,AM289,IF(K289=$K$67,AM289,IF(K289=$K$68,AM289,IF(K289=$K$69,AM289,IF(K289=$K$51,AM289,(AM289*(1+AI289)))))))))))))))</f>
        <v>0</v>
      </c>
      <c r="AO289" s="166">
        <v>1.4</v>
      </c>
      <c r="AP289" s="160">
        <f t="shared" si="47"/>
        <v>0</v>
      </c>
      <c r="AQ289" s="167">
        <f t="shared" si="53"/>
        <v>0</v>
      </c>
      <c r="AR289" s="160">
        <f t="shared" si="48"/>
        <v>0</v>
      </c>
      <c r="AS289" s="168">
        <f t="shared" si="49"/>
        <v>0</v>
      </c>
      <c r="AT289" s="169" t="str">
        <f>K289</f>
        <v>MI</v>
      </c>
      <c r="AU289" s="169" t="str">
        <f>I289</f>
        <v>Mercadorias</v>
      </c>
      <c r="AV289" s="170"/>
      <c r="AW289" s="171">
        <f>IF(K289=$K$50,0,IF(K289=$K$53,0,IF(K289=$K$54,0,IF(K289=$K$55,0,IF(K289=$K$56,0,IF(K289=$K$57,0,IF(K289=$K$58,0,IF(K289=$K$65,0,IF(K289=$K$66,0,IF(K289=$K$67,0,IF(K289=$K$68,0,IF(K289=$K$69,0,IF(K289=$K$51,0,1))))))))))))*AM289*AI289)</f>
        <v>0</v>
      </c>
      <c r="AX289" s="172">
        <f>IF(K289=$K$50,0,IF(K289=$K$53,0,IF(K289=$K$54,0,IF(K289=$K$55,0,IF(K289=$K$56,0,IF(K289=$K$57,0,IF(K289=$K$58,0,IF(K289=$K$65,0,IF(K289=$K$66,0,IF(K289=$K$67,0,IF(K289=$K$68,0,IF(K289=$K$69,0,IF(K289=$K$51,0,1))))))))))))*AM289*AJ289*$AX$94)</f>
        <v>0</v>
      </c>
      <c r="AY289" s="172">
        <f>IF(K289=$K$53,0,IF(K289=$K$54,0,IF(K289=$K$55,0,IF(K289=$K$56,0,IF(K289=$K$58,0,IF(K289=$K$50,0,IF(K289=$K$65,0,IF(K289=$K$57,0,IF(K289=$K$51,0,AM289*$AY$102)))))))))</f>
        <v>0</v>
      </c>
      <c r="AZ289" s="172">
        <f>IF(K289=$K$53,0,IF(K289=$K$54,0,IF(K289=$K$55,0,IF(K289=$K$56,0,IF(K289=$K$58,0,IF(K289=$K$50,0,IF(K289=$K$65,0,IF(K289=$K$57,0,IF(K289=$K$51,0,AM289*$AZ$102)))))))))</f>
        <v>0</v>
      </c>
      <c r="BA289" s="172">
        <f t="shared" si="50"/>
        <v>0</v>
      </c>
      <c r="BB289" s="173">
        <f>IF($BA$97=1,AQ289*$BB$102,IF(K289=$K$50,0,IF(K289=$K$53,0,IF(K289=$K$54,0,IF(K289=$K$55,0,IF(K289=$K$56,0,IF(K289=$K$57,0,IF(K289=$K$58,0,IF(K289=$K$65,0,IF(K289=$K$66,0,IF(K289=$K$67,0,IF(K289=$K$68,0,IF(K289=$K$69,0,IF(K289=$K$51,0,1)))))))))))*AQ289*$BB$102)))</f>
        <v>0</v>
      </c>
      <c r="BC289" s="172">
        <f t="shared" si="51"/>
        <v>0</v>
      </c>
      <c r="BD289" s="172">
        <f t="shared" si="52"/>
        <v>0</v>
      </c>
      <c r="BE289" s="172">
        <f>IF($BE$95=I289,$BE$97,IF(I289=$BE$96,$BE$97,1))*($BE$102*AQ289)*$AZ$97</f>
        <v>0</v>
      </c>
      <c r="BF289" s="172">
        <f>IF('[1]Cockpit Retorno'!$C$65=Sim,Mestre!BA289,SUM(BB289:BE289)+(IF(K289=$K$56,AQ289*MOE_IRRF_LR,0)))</f>
        <v>0</v>
      </c>
      <c r="BG289" s="174">
        <f>IF(AA289&gt;0,0,IF(Z289=$Z$82,AG289*1,(IF(Z289=$Z$81,AG289*1,0))))</f>
        <v>0</v>
      </c>
      <c r="BH289" s="174">
        <f>IF(AA289&gt;0,0,IF(Z289=$Z$83,AG289*1,IF(Z289=$Z$81,AG289*1,0)))</f>
        <v>0</v>
      </c>
      <c r="BI289" s="174">
        <f>IF(AA289&gt;0,0,IF(Z289=$Z$84,AG289*1,IF(Z289=$Z$93,AG289*2,IF(Z289=$Z$100,AG289,IF(Z289=$Z$81,AG289*2,IF(Z289=$Z$80,AG289*1,IF(Z289=$Z$79,AG289*3,IF(Z289=$Z$78,AG289*2,0))))))))</f>
        <v>0</v>
      </c>
      <c r="BJ289" s="174">
        <f>IF(AA289&gt;0,0,IF(Z289=$Z$85,AG289,IF(Z289=$Z$93,AG289,IF(Z289=$Z$100,AG289,IF(Z289=$Z$81,AG289*1,IF(Z289=$Z$80,AG289*2,IF(Z289=$Z$79,AG289*2,IF(Z289=$Z$78,AG289*2,0))))))))</f>
        <v>0</v>
      </c>
      <c r="BK289" s="174">
        <f>IF(AA289&gt;0,0,IF(Z289=$Z$92,AG289,0))</f>
        <v>0</v>
      </c>
      <c r="BL289" s="174">
        <f>IF(AA289&gt;0,0,IF(Z289=$Z$91,AG289,0))</f>
        <v>0</v>
      </c>
      <c r="BM289" s="174">
        <f>IF(AA289&gt;0,0,IF(Z289=$Z$86,AG289,0))</f>
        <v>0</v>
      </c>
      <c r="BN289" s="174">
        <f>IF(AA289&gt;0,0,IF(Z289=$Z$87,AG289,0))</f>
        <v>0</v>
      </c>
      <c r="BO289" s="174">
        <f>IF(AA289&gt;0,0,IF(Z289=$Z$88,AG289,0))</f>
        <v>0</v>
      </c>
      <c r="BP289" s="174">
        <f>IF(AA289&gt;0,0,IF(Z289=$Z$89,AG289,0))</f>
        <v>0</v>
      </c>
      <c r="BQ289" s="174">
        <f>IF(AA289&gt;0,0,IF(Z289=$Z$90,AG289,0))</f>
        <v>0</v>
      </c>
      <c r="BR289" s="174">
        <f>IF(Z289=$Z$82,AA289*AG289,0)</f>
        <v>0</v>
      </c>
      <c r="BS289" s="174">
        <f>IF(Z289=$Z$83,AA289*AG289,0)</f>
        <v>0</v>
      </c>
      <c r="BT289" s="174">
        <f>IF(AA289&lt;1,0,IF(Z289=$Z$84,AA289*AG289,IF(Z289=$Z$93,"ERRO",IF(Z289=$Z$100,"ERRO",0))))</f>
        <v>0</v>
      </c>
      <c r="BU289" s="174">
        <f>IF(AA289&lt;1,0,IF(Z289=$Z$85,AA289*AG289,IF(Z289=$Z$93,"ERRO",IF(Z289=$Z$100,"ERRO",0))))</f>
        <v>0</v>
      </c>
      <c r="BV289" s="174">
        <f>IF(Z289=$Z$92,AA289*AG289,0)</f>
        <v>0</v>
      </c>
      <c r="BW289" s="174">
        <f>IF(Z289=$Z$91,AA289*AG289,0)</f>
        <v>0</v>
      </c>
      <c r="BX289" s="174">
        <f>IF(Z289=$Z$86,AA289*AG289,0)</f>
        <v>0</v>
      </c>
      <c r="BY289" s="174">
        <f>IF(Z289=$Z$87,AA289*AG289,0)</f>
        <v>0</v>
      </c>
      <c r="BZ289" s="174">
        <f>IF(Z289=$Z$88,AA289*AG289,0)</f>
        <v>0</v>
      </c>
      <c r="CA289" s="174">
        <f>IF(Z289=$Z$89,AA289*AG289,0)</f>
        <v>0</v>
      </c>
      <c r="CB289" s="174">
        <f>IF(Z289=$Z$90,AA289*AG289,0)</f>
        <v>0</v>
      </c>
      <c r="CC289" s="175">
        <f>IFERROR(IF(L289=$L$49,AG289*AH289*(1+AI289)*(1-AK289)*(1-AL289),0),0)</f>
        <v>17837.400000000001</v>
      </c>
      <c r="CD289" s="203">
        <f>IF(I289=$CD$97,1,IF(I289=$CD$100,2,IF(K289=$K$66,1,IF(K289=$K$69,1,3))))</f>
        <v>1</v>
      </c>
      <c r="CE289" s="203">
        <f t="shared" si="14"/>
        <v>1.07</v>
      </c>
      <c r="CF289" s="204">
        <f t="shared" si="54"/>
        <v>1.2353999999999998</v>
      </c>
      <c r="CG289" s="203">
        <f t="shared" si="15"/>
        <v>1.42</v>
      </c>
      <c r="CH289" s="204">
        <f t="shared" si="55"/>
        <v>1.5478000000000001</v>
      </c>
      <c r="CI289" s="203">
        <f t="shared" si="16"/>
        <v>1.7</v>
      </c>
      <c r="CJ289" s="205">
        <f t="shared" si="56"/>
        <v>1.0486</v>
      </c>
      <c r="CK289" s="205">
        <f t="shared" si="57"/>
        <v>1.148922</v>
      </c>
      <c r="CL289" s="205">
        <f t="shared" si="58"/>
        <v>1.3915999999999999</v>
      </c>
      <c r="CM289" s="205">
        <f t="shared" si="59"/>
        <v>1.501366</v>
      </c>
      <c r="CN289" s="206">
        <f t="shared" si="60"/>
        <v>1.6319999999999999</v>
      </c>
      <c r="CO289" s="204">
        <f t="shared" si="61"/>
        <v>1.006656</v>
      </c>
      <c r="CP289" s="207">
        <f t="shared" si="62"/>
        <v>0</v>
      </c>
      <c r="CQ289" s="208">
        <f t="shared" si="63"/>
        <v>0</v>
      </c>
      <c r="CR289" s="209">
        <f t="shared" si="64"/>
        <v>0</v>
      </c>
      <c r="CS289" s="49"/>
      <c r="CT289" s="49"/>
      <c r="CU289" s="49"/>
      <c r="CV289" s="49"/>
      <c r="CW289" s="49"/>
      <c r="CX289" s="49"/>
      <c r="CY289" s="49"/>
      <c r="CZ289" s="49"/>
      <c r="DA289" s="49"/>
      <c r="DB289" s="49"/>
      <c r="DC289" s="49"/>
      <c r="DD289" s="49"/>
      <c r="DE289" s="49"/>
      <c r="DF289" s="49"/>
      <c r="DG289" s="49"/>
      <c r="DH289" s="49"/>
      <c r="DI289" s="49"/>
      <c r="DJ289" s="49"/>
      <c r="DK289" s="49"/>
      <c r="DL289" s="49"/>
      <c r="DM289" s="49"/>
      <c r="DN289" s="49"/>
      <c r="DO289" s="49"/>
      <c r="DP289" s="49"/>
      <c r="DQ289" s="49"/>
      <c r="DR289" s="49"/>
      <c r="DS289" s="49"/>
      <c r="DT289" s="49"/>
      <c r="DU289" s="49"/>
      <c r="DV289" s="49"/>
      <c r="DW289" s="49"/>
      <c r="DX289" s="49"/>
      <c r="DY289" s="49"/>
      <c r="DZ289" s="49"/>
      <c r="EA289" s="49"/>
      <c r="EB289" s="49"/>
      <c r="EC289" s="49"/>
      <c r="ED289" s="49"/>
      <c r="EE289" s="49"/>
      <c r="EF289" s="49"/>
      <c r="EG289" s="49"/>
      <c r="EH289" s="49"/>
      <c r="EI289" s="49"/>
      <c r="EJ289" s="49"/>
      <c r="EK289" s="49"/>
      <c r="EL289" s="49"/>
      <c r="EM289" s="49"/>
      <c r="EN289" s="49"/>
      <c r="EO289" s="49"/>
      <c r="EP289" s="49"/>
      <c r="EQ289" s="49"/>
      <c r="ER289" s="49"/>
      <c r="ES289" s="49"/>
      <c r="ET289" s="49"/>
      <c r="EU289" s="49"/>
      <c r="EV289" s="49"/>
      <c r="EW289" s="49"/>
      <c r="EX289" s="49"/>
      <c r="EY289" s="49"/>
      <c r="EZ289" s="49"/>
      <c r="FA289" s="49"/>
    </row>
    <row r="290" spans="1:157" s="210" customFormat="1" ht="51" x14ac:dyDescent="0.25">
      <c r="A290" s="113">
        <f>IF(AND('[1]Cockpit Retorno'!$E$67=Sim,Mestre!M290=Mestre!$M$98),0,1)</f>
        <v>1</v>
      </c>
      <c r="B290" s="113">
        <f>IF(AND('[1]Cockpit Retorno'!$E$67=Sim,Mestre!L290=Mestre!$L$48),0,1)</f>
        <v>1</v>
      </c>
      <c r="C290" s="113">
        <f>IF(AND('[1]Cockpit Retorno'!$E$67=Sim,Mestre!M290=Mestre!$M$97),0,1)</f>
        <v>1</v>
      </c>
      <c r="D290" s="148" t="s">
        <v>7</v>
      </c>
      <c r="E290" s="115"/>
      <c r="F290" s="116" t="s">
        <v>107</v>
      </c>
      <c r="G290" s="149"/>
      <c r="H290" s="150" t="s">
        <v>7</v>
      </c>
      <c r="I290" s="151" t="str">
        <f t="shared" si="46"/>
        <v>Mercadorias</v>
      </c>
      <c r="J290" s="150" t="s">
        <v>15</v>
      </c>
      <c r="K290" s="152" t="s">
        <v>7</v>
      </c>
      <c r="L290" s="153" t="s">
        <v>12</v>
      </c>
      <c r="M290" s="154" t="s">
        <v>442</v>
      </c>
      <c r="N290" s="155" t="s">
        <v>370</v>
      </c>
      <c r="O290" s="155" t="s">
        <v>412</v>
      </c>
      <c r="P290" s="155"/>
      <c r="Q290" s="155"/>
      <c r="R290" s="155"/>
      <c r="S290" s="156"/>
      <c r="T290" s="156"/>
      <c r="U290" s="150"/>
      <c r="V290" s="150"/>
      <c r="W290" s="150"/>
      <c r="X290" s="157" t="s">
        <v>443</v>
      </c>
      <c r="Y290" s="150"/>
      <c r="Z290" s="150"/>
      <c r="AA290" s="158"/>
      <c r="AB290" s="155"/>
      <c r="AC290" s="150"/>
      <c r="AD290" s="155"/>
      <c r="AE290" s="155"/>
      <c r="AF290" s="150"/>
      <c r="AG290" s="159">
        <v>200</v>
      </c>
      <c r="AH290" s="211">
        <v>26.867700000000003</v>
      </c>
      <c r="AI290" s="202"/>
      <c r="AJ290" s="161"/>
      <c r="AK290" s="162"/>
      <c r="AL290" s="163"/>
      <c r="AM290" s="164">
        <f>(((IF(L290=$L$101,1,IF(L290=$L$47,1,0))*(AH290*(1-AK290)))*AG290)*(1-AL290))</f>
        <v>5373.5400000000009</v>
      </c>
      <c r="AN290" s="165">
        <f>IF(K290=$K$50,AM290,IF(K290=$K$53,AM290,IF(K290=$K$54,AM290,IF(K290=$K$55,AM290,IF(K290=$K$56,AM290,IF(K290=$K$57,AM290,IF(K290=$K$58,AM290,IF(K290=$K$65,AM290,IF(K290=$K$66,AM290,IF(K290=$K$67,AM290,IF(K290=$K$68,AM290,IF(K290=$K$69,AM290,IF(K290=$K$51,AM290,(AM290*(1+AI290)))))))))))))))</f>
        <v>5373.5400000000009</v>
      </c>
      <c r="AO290" s="166">
        <v>1.4</v>
      </c>
      <c r="AP290" s="160">
        <f t="shared" si="47"/>
        <v>7522.956000000001</v>
      </c>
      <c r="AQ290" s="167">
        <f t="shared" si="53"/>
        <v>6518.3804426837332</v>
      </c>
      <c r="AR290" s="160">
        <f t="shared" si="48"/>
        <v>7522.956000000001</v>
      </c>
      <c r="AS290" s="168">
        <f t="shared" si="49"/>
        <v>1.2612750638360886</v>
      </c>
      <c r="AT290" s="169" t="str">
        <f>K290</f>
        <v>MI</v>
      </c>
      <c r="AU290" s="169" t="str">
        <f>I290</f>
        <v>Mercadorias</v>
      </c>
      <c r="AV290" s="170"/>
      <c r="AW290" s="171">
        <f>IF(K290=$K$50,0,IF(K290=$K$53,0,IF(K290=$K$54,0,IF(K290=$K$55,0,IF(K290=$K$56,0,IF(K290=$K$57,0,IF(K290=$K$58,0,IF(K290=$K$65,0,IF(K290=$K$66,0,IF(K290=$K$67,0,IF(K290=$K$68,0,IF(K290=$K$69,0,IF(K290=$K$51,0,1))))))))))))*AM290*AI290)</f>
        <v>0</v>
      </c>
      <c r="AX290" s="172">
        <f>IF(K290=$K$50,0,IF(K290=$K$53,0,IF(K290=$K$54,0,IF(K290=$K$55,0,IF(K290=$K$56,0,IF(K290=$K$57,0,IF(K290=$K$58,0,IF(K290=$K$65,0,IF(K290=$K$66,0,IF(K290=$K$67,0,IF(K290=$K$68,0,IF(K290=$K$69,0,IF(K290=$K$51,0,1))))))))))))*AM290*AJ290*$AX$94)</f>
        <v>0</v>
      </c>
      <c r="AY290" s="172">
        <f>IF(K290=$K$53,0,IF(K290=$K$54,0,IF(K290=$K$55,0,IF(K290=$K$56,0,IF(K290=$K$58,0,IF(K290=$K$50,0,IF(K290=$K$65,0,IF(K290=$K$57,0,IF(K290=$K$51,0,AM290*$AY$102)))))))))</f>
        <v>88.663410000000013</v>
      </c>
      <c r="AZ290" s="172">
        <f>IF(K290=$K$53,0,IF(K290=$K$54,0,IF(K290=$K$55,0,IF(K290=$K$56,0,IF(K290=$K$58,0,IF(K290=$K$50,0,IF(K290=$K$65,0,IF(K290=$K$57,0,IF(K290=$K$51,0,AM290*$AZ$102)))))))))</f>
        <v>408.38904000000008</v>
      </c>
      <c r="BA290" s="172">
        <f t="shared" si="50"/>
        <v>497.05245000000008</v>
      </c>
      <c r="BB290" s="173">
        <f>IF($BA$97=1,AQ290*$BB$102,IF(K290=$K$50,0,IF(K290=$K$53,0,IF(K290=$K$54,0,IF(K290=$K$55,0,IF(K290=$K$56,0,IF(K290=$K$57,0,IF(K290=$K$58,0,IF(K290=$K$65,0,IF(K290=$K$66,0,IF(K290=$K$67,0,IF(K290=$K$68,0,IF(K290=$K$69,0,IF(K290=$K$51,0,1)))))))))))*AQ290*$BB$102)))</f>
        <v>0</v>
      </c>
      <c r="BC290" s="172">
        <f t="shared" si="51"/>
        <v>42.369472877444267</v>
      </c>
      <c r="BD290" s="172">
        <f t="shared" si="52"/>
        <v>195.55141328051198</v>
      </c>
      <c r="BE290" s="172">
        <f>IF($BE$95=I290,$BE$97,IF(I290=$BE$96,$BE$97,1))*($BE$102*AQ290)*$AZ$97</f>
        <v>0</v>
      </c>
      <c r="BF290" s="172">
        <f>IF('[1]Cockpit Retorno'!$C$65=Sim,Mestre!BA290,SUM(BB290:BE290)+(IF(K290=$K$56,AQ290*MOE_IRRF_LR,0)))</f>
        <v>237.92088615795626</v>
      </c>
      <c r="BG290" s="174">
        <f>IF(AA290&gt;0,0,IF(Z290=$Z$82,AG290*1,(IF(Z290=$Z$81,AG290*1,0))))</f>
        <v>0</v>
      </c>
      <c r="BH290" s="174">
        <f>IF(AA290&gt;0,0,IF(Z290=$Z$83,AG290*1,IF(Z290=$Z$81,AG290*1,0)))</f>
        <v>0</v>
      </c>
      <c r="BI290" s="174">
        <f>IF(AA290&gt;0,0,IF(Z290=$Z$84,AG290*1,IF(Z290=$Z$93,AG290*2,IF(Z290=$Z$100,AG290,IF(Z290=$Z$81,AG290*2,IF(Z290=$Z$80,AG290*1,IF(Z290=$Z$79,AG290*3,IF(Z290=$Z$78,AG290*2,0))))))))</f>
        <v>0</v>
      </c>
      <c r="BJ290" s="174">
        <f>IF(AA290&gt;0,0,IF(Z290=$Z$85,AG290,IF(Z290=$Z$93,AG290,IF(Z290=$Z$100,AG290,IF(Z290=$Z$81,AG290*1,IF(Z290=$Z$80,AG290*2,IF(Z290=$Z$79,AG290*2,IF(Z290=$Z$78,AG290*2,0))))))))</f>
        <v>0</v>
      </c>
      <c r="BK290" s="174">
        <f>IF(AA290&gt;0,0,IF(Z290=$Z$92,AG290,0))</f>
        <v>0</v>
      </c>
      <c r="BL290" s="174">
        <f>IF(AA290&gt;0,0,IF(Z290=$Z$91,AG290,0))</f>
        <v>0</v>
      </c>
      <c r="BM290" s="174">
        <f>IF(AA290&gt;0,0,IF(Z290=$Z$86,AG290,0))</f>
        <v>0</v>
      </c>
      <c r="BN290" s="174">
        <f>IF(AA290&gt;0,0,IF(Z290=$Z$87,AG290,0))</f>
        <v>0</v>
      </c>
      <c r="BO290" s="174">
        <f>IF(AA290&gt;0,0,IF(Z290=$Z$88,AG290,0))</f>
        <v>0</v>
      </c>
      <c r="BP290" s="174">
        <f>IF(AA290&gt;0,0,IF(Z290=$Z$89,AG290,0))</f>
        <v>0</v>
      </c>
      <c r="BQ290" s="174">
        <f>IF(AA290&gt;0,0,IF(Z290=$Z$90,AG290,0))</f>
        <v>0</v>
      </c>
      <c r="BR290" s="174">
        <f>IF(Z290=$Z$82,AA290*AG290,0)</f>
        <v>0</v>
      </c>
      <c r="BS290" s="174">
        <f>IF(Z290=$Z$83,AA290*AG290,0)</f>
        <v>0</v>
      </c>
      <c r="BT290" s="174">
        <f>IF(AA290&lt;1,0,IF(Z290=$Z$84,AA290*AG290,IF(Z290=$Z$93,"ERRO",IF(Z290=$Z$100,"ERRO",0))))</f>
        <v>0</v>
      </c>
      <c r="BU290" s="174">
        <f>IF(AA290&lt;1,0,IF(Z290=$Z$85,AA290*AG290,IF(Z290=$Z$93,"ERRO",IF(Z290=$Z$100,"ERRO",0))))</f>
        <v>0</v>
      </c>
      <c r="BV290" s="174">
        <f>IF(Z290=$Z$92,AA290*AG290,0)</f>
        <v>0</v>
      </c>
      <c r="BW290" s="174">
        <f>IF(Z290=$Z$91,AA290*AG290,0)</f>
        <v>0</v>
      </c>
      <c r="BX290" s="174">
        <f>IF(Z290=$Z$86,AA290*AG290,0)</f>
        <v>0</v>
      </c>
      <c r="BY290" s="174">
        <f>IF(Z290=$Z$87,AA290*AG290,0)</f>
        <v>0</v>
      </c>
      <c r="BZ290" s="174">
        <f>IF(Z290=$Z$88,AA290*AG290,0)</f>
        <v>0</v>
      </c>
      <c r="CA290" s="174">
        <f>IF(Z290=$Z$89,AA290*AG290,0)</f>
        <v>0</v>
      </c>
      <c r="CB290" s="174">
        <f>IF(Z290=$Z$90,AA290*AG290,0)</f>
        <v>0</v>
      </c>
      <c r="CC290" s="175">
        <f>IFERROR(IF(L290=$L$49,AG290*AH290*(1+AI290)*(1-AK290)*(1-AL290),0),0)</f>
        <v>0</v>
      </c>
      <c r="CD290" s="203">
        <f>IF(I290=$CD$97,1,IF(I290=$CD$100,2,IF(K290=$K$66,1,IF(K290=$K$69,1,3))))</f>
        <v>1</v>
      </c>
      <c r="CE290" s="203">
        <f t="shared" si="14"/>
        <v>1.07</v>
      </c>
      <c r="CF290" s="204">
        <f t="shared" si="54"/>
        <v>1.2353999999999998</v>
      </c>
      <c r="CG290" s="203">
        <f t="shared" si="15"/>
        <v>1.42</v>
      </c>
      <c r="CH290" s="204">
        <f t="shared" si="55"/>
        <v>1.5478000000000001</v>
      </c>
      <c r="CI290" s="203">
        <f t="shared" si="16"/>
        <v>1.7</v>
      </c>
      <c r="CJ290" s="205">
        <f t="shared" si="56"/>
        <v>1.0486</v>
      </c>
      <c r="CK290" s="205">
        <f t="shared" si="57"/>
        <v>1.148922</v>
      </c>
      <c r="CL290" s="205">
        <f t="shared" si="58"/>
        <v>1.3915999999999999</v>
      </c>
      <c r="CM290" s="205">
        <f t="shared" si="59"/>
        <v>1.501366</v>
      </c>
      <c r="CN290" s="206">
        <f t="shared" si="60"/>
        <v>1.6319999999999999</v>
      </c>
      <c r="CO290" s="204">
        <f t="shared" si="61"/>
        <v>1.006656</v>
      </c>
      <c r="CP290" s="207">
        <f t="shared" si="62"/>
        <v>-259.13156384204382</v>
      </c>
      <c r="CQ290" s="208">
        <f t="shared" si="63"/>
        <v>6777.512006525777</v>
      </c>
      <c r="CR290" s="209">
        <f t="shared" si="64"/>
        <v>237.92088615795626</v>
      </c>
      <c r="CS290" s="49"/>
      <c r="CT290" s="49"/>
      <c r="CU290" s="49"/>
      <c r="CV290" s="49"/>
      <c r="CW290" s="49"/>
      <c r="CX290" s="49"/>
      <c r="CY290" s="49"/>
      <c r="CZ290" s="49"/>
      <c r="DA290" s="49"/>
      <c r="DB290" s="49"/>
      <c r="DC290" s="49"/>
      <c r="DD290" s="49"/>
      <c r="DE290" s="49"/>
      <c r="DF290" s="49"/>
      <c r="DG290" s="49"/>
      <c r="DH290" s="49"/>
      <c r="DI290" s="49"/>
      <c r="DJ290" s="49"/>
      <c r="DK290" s="49"/>
      <c r="DL290" s="49"/>
      <c r="DM290" s="49"/>
      <c r="DN290" s="49"/>
      <c r="DO290" s="49"/>
      <c r="DP290" s="49"/>
      <c r="DQ290" s="49"/>
      <c r="DR290" s="49"/>
      <c r="DS290" s="49"/>
      <c r="DT290" s="49"/>
      <c r="DU290" s="49"/>
      <c r="DV290" s="49"/>
      <c r="DW290" s="49"/>
      <c r="DX290" s="49"/>
      <c r="DY290" s="49"/>
      <c r="DZ290" s="49"/>
      <c r="EA290" s="49"/>
      <c r="EB290" s="49"/>
      <c r="EC290" s="49"/>
      <c r="ED290" s="49"/>
      <c r="EE290" s="49"/>
      <c r="EF290" s="49"/>
      <c r="EG290" s="49"/>
      <c r="EH290" s="49"/>
      <c r="EI290" s="49"/>
      <c r="EJ290" s="49"/>
      <c r="EK290" s="49"/>
      <c r="EL290" s="49"/>
      <c r="EM290" s="49"/>
      <c r="EN290" s="49"/>
      <c r="EO290" s="49"/>
      <c r="EP290" s="49"/>
      <c r="EQ290" s="49"/>
      <c r="ER290" s="49"/>
      <c r="ES290" s="49"/>
      <c r="ET290" s="49"/>
      <c r="EU290" s="49"/>
      <c r="EV290" s="49"/>
      <c r="EW290" s="49"/>
      <c r="EX290" s="49"/>
      <c r="EY290" s="49"/>
      <c r="EZ290" s="49"/>
      <c r="FA290" s="49"/>
    </row>
    <row r="291" spans="1:157" s="210" customFormat="1" ht="51" x14ac:dyDescent="0.25">
      <c r="A291" s="113">
        <f>IF(AND('[1]Cockpit Retorno'!$E$67=Sim,Mestre!M291=Mestre!$M$98),0,1)</f>
        <v>1</v>
      </c>
      <c r="B291" s="113">
        <f>IF(AND('[1]Cockpit Retorno'!$E$67=Sim,Mestre!L291=Mestre!$L$48),0,1)</f>
        <v>1</v>
      </c>
      <c r="C291" s="113">
        <f>IF(AND('[1]Cockpit Retorno'!$E$67=Sim,Mestre!M291=Mestre!$M$97),0,1)</f>
        <v>1</v>
      </c>
      <c r="D291" s="148" t="s">
        <v>7</v>
      </c>
      <c r="E291" s="115"/>
      <c r="F291" s="116" t="s">
        <v>107</v>
      </c>
      <c r="G291" s="149"/>
      <c r="H291" s="150" t="s">
        <v>7</v>
      </c>
      <c r="I291" s="151" t="str">
        <f t="shared" si="46"/>
        <v>Mercadorias</v>
      </c>
      <c r="J291" s="150" t="s">
        <v>15</v>
      </c>
      <c r="K291" s="152" t="s">
        <v>7</v>
      </c>
      <c r="L291" s="153" t="s">
        <v>12</v>
      </c>
      <c r="M291" s="154" t="s">
        <v>442</v>
      </c>
      <c r="N291" s="155" t="s">
        <v>370</v>
      </c>
      <c r="O291" s="155" t="s">
        <v>412</v>
      </c>
      <c r="P291" s="155"/>
      <c r="Q291" s="155"/>
      <c r="R291" s="155"/>
      <c r="S291" s="156"/>
      <c r="T291" s="156"/>
      <c r="U291" s="150"/>
      <c r="V291" s="150"/>
      <c r="W291" s="150"/>
      <c r="X291" s="157" t="s">
        <v>444</v>
      </c>
      <c r="Y291" s="150"/>
      <c r="Z291" s="150"/>
      <c r="AA291" s="158"/>
      <c r="AB291" s="155"/>
      <c r="AC291" s="150"/>
      <c r="AD291" s="155"/>
      <c r="AE291" s="155"/>
      <c r="AF291" s="150"/>
      <c r="AG291" s="159">
        <v>200</v>
      </c>
      <c r="AH291" s="211">
        <v>14.787000000000001</v>
      </c>
      <c r="AI291" s="202"/>
      <c r="AJ291" s="161"/>
      <c r="AK291" s="162"/>
      <c r="AL291" s="163"/>
      <c r="AM291" s="164">
        <f>(((IF(L291=$L$101,1,IF(L291=$L$47,1,0))*(AH291*(1-AK291)))*AG291)*(1-AL291))</f>
        <v>2957.4</v>
      </c>
      <c r="AN291" s="165">
        <f>IF(K291=$K$50,AM291,IF(K291=$K$53,AM291,IF(K291=$K$54,AM291,IF(K291=$K$55,AM291,IF(K291=$K$56,AM291,IF(K291=$K$57,AM291,IF(K291=$K$58,AM291,IF(K291=$K$65,AM291,IF(K291=$K$66,AM291,IF(K291=$K$67,AM291,IF(K291=$K$68,AM291,IF(K291=$K$69,AM291,IF(K291=$K$51,AM291,(AM291*(1+AI291)))))))))))))))</f>
        <v>2957.4</v>
      </c>
      <c r="AO291" s="166">
        <v>1.4</v>
      </c>
      <c r="AP291" s="160">
        <f t="shared" si="47"/>
        <v>4140.3599999999997</v>
      </c>
      <c r="AQ291" s="167">
        <f t="shared" si="53"/>
        <v>3587.4783329412021</v>
      </c>
      <c r="AR291" s="160">
        <f t="shared" si="48"/>
        <v>4140.3599999999997</v>
      </c>
      <c r="AS291" s="168">
        <f t="shared" si="49"/>
        <v>1.2612750638360886</v>
      </c>
      <c r="AT291" s="169" t="str">
        <f>K291</f>
        <v>MI</v>
      </c>
      <c r="AU291" s="169" t="str">
        <f>I291</f>
        <v>Mercadorias</v>
      </c>
      <c r="AV291" s="170"/>
      <c r="AW291" s="171">
        <f>IF(K291=$K$50,0,IF(K291=$K$53,0,IF(K291=$K$54,0,IF(K291=$K$55,0,IF(K291=$K$56,0,IF(K291=$K$57,0,IF(K291=$K$58,0,IF(K291=$K$65,0,IF(K291=$K$66,0,IF(K291=$K$67,0,IF(K291=$K$68,0,IF(K291=$K$69,0,IF(K291=$K$51,0,1))))))))))))*AM291*AI291)</f>
        <v>0</v>
      </c>
      <c r="AX291" s="172">
        <f>IF(K291=$K$50,0,IF(K291=$K$53,0,IF(K291=$K$54,0,IF(K291=$K$55,0,IF(K291=$K$56,0,IF(K291=$K$57,0,IF(K291=$K$58,0,IF(K291=$K$65,0,IF(K291=$K$66,0,IF(K291=$K$67,0,IF(K291=$K$68,0,IF(K291=$K$69,0,IF(K291=$K$51,0,1))))))))))))*AM291*AJ291*$AX$94)</f>
        <v>0</v>
      </c>
      <c r="AY291" s="172">
        <f>IF(K291=$K$53,0,IF(K291=$K$54,0,IF(K291=$K$55,0,IF(K291=$K$56,0,IF(K291=$K$58,0,IF(K291=$K$50,0,IF(K291=$K$65,0,IF(K291=$K$57,0,IF(K291=$K$51,0,AM291*$AY$102)))))))))</f>
        <v>48.7971</v>
      </c>
      <c r="AZ291" s="172">
        <f>IF(K291=$K$53,0,IF(K291=$K$54,0,IF(K291=$K$55,0,IF(K291=$K$56,0,IF(K291=$K$58,0,IF(K291=$K$50,0,IF(K291=$K$65,0,IF(K291=$K$57,0,IF(K291=$K$51,0,AM291*$AZ$102)))))))))</f>
        <v>224.76240000000001</v>
      </c>
      <c r="BA291" s="172">
        <f t="shared" si="50"/>
        <v>273.55950000000001</v>
      </c>
      <c r="BB291" s="173">
        <f>IF($BA$97=1,AQ291*$BB$102,IF(K291=$K$50,0,IF(K291=$K$53,0,IF(K291=$K$54,0,IF(K291=$K$55,0,IF(K291=$K$56,0,IF(K291=$K$57,0,IF(K291=$K$58,0,IF(K291=$K$65,0,IF(K291=$K$66,0,IF(K291=$K$67,0,IF(K291=$K$68,0,IF(K291=$K$69,0,IF(K291=$K$51,0,1)))))))))))*AQ291*$BB$102)))</f>
        <v>0</v>
      </c>
      <c r="BC291" s="172">
        <f t="shared" si="51"/>
        <v>23.318609164117817</v>
      </c>
      <c r="BD291" s="172">
        <f t="shared" si="52"/>
        <v>107.62434998823606</v>
      </c>
      <c r="BE291" s="172">
        <f>IF($BE$95=I291,$BE$97,IF(I291=$BE$96,$BE$97,1))*($BE$102*AQ291)*$AZ$97</f>
        <v>0</v>
      </c>
      <c r="BF291" s="172">
        <f>IF('[1]Cockpit Retorno'!$C$65=Sim,Mestre!BA291,SUM(BB291:BE291)+(IF(K291=$K$56,AQ291*MOE_IRRF_LR,0)))</f>
        <v>130.94295915235386</v>
      </c>
      <c r="BG291" s="174">
        <f>IF(AA291&gt;0,0,IF(Z291=$Z$82,AG291*1,(IF(Z291=$Z$81,AG291*1,0))))</f>
        <v>0</v>
      </c>
      <c r="BH291" s="174">
        <f>IF(AA291&gt;0,0,IF(Z291=$Z$83,AG291*1,IF(Z291=$Z$81,AG291*1,0)))</f>
        <v>0</v>
      </c>
      <c r="BI291" s="174">
        <f>IF(AA291&gt;0,0,IF(Z291=$Z$84,AG291*1,IF(Z291=$Z$93,AG291*2,IF(Z291=$Z$100,AG291,IF(Z291=$Z$81,AG291*2,IF(Z291=$Z$80,AG291*1,IF(Z291=$Z$79,AG291*3,IF(Z291=$Z$78,AG291*2,0))))))))</f>
        <v>0</v>
      </c>
      <c r="BJ291" s="174">
        <f>IF(AA291&gt;0,0,IF(Z291=$Z$85,AG291,IF(Z291=$Z$93,AG291,IF(Z291=$Z$100,AG291,IF(Z291=$Z$81,AG291*1,IF(Z291=$Z$80,AG291*2,IF(Z291=$Z$79,AG291*2,IF(Z291=$Z$78,AG291*2,0))))))))</f>
        <v>0</v>
      </c>
      <c r="BK291" s="174">
        <f>IF(AA291&gt;0,0,IF(Z291=$Z$92,AG291,0))</f>
        <v>0</v>
      </c>
      <c r="BL291" s="174">
        <f>IF(AA291&gt;0,0,IF(Z291=$Z$91,AG291,0))</f>
        <v>0</v>
      </c>
      <c r="BM291" s="174">
        <f>IF(AA291&gt;0,0,IF(Z291=$Z$86,AG291,0))</f>
        <v>0</v>
      </c>
      <c r="BN291" s="174">
        <f>IF(AA291&gt;0,0,IF(Z291=$Z$87,AG291,0))</f>
        <v>0</v>
      </c>
      <c r="BO291" s="174">
        <f>IF(AA291&gt;0,0,IF(Z291=$Z$88,AG291,0))</f>
        <v>0</v>
      </c>
      <c r="BP291" s="174">
        <f>IF(AA291&gt;0,0,IF(Z291=$Z$89,AG291,0))</f>
        <v>0</v>
      </c>
      <c r="BQ291" s="174">
        <f>IF(AA291&gt;0,0,IF(Z291=$Z$90,AG291,0))</f>
        <v>0</v>
      </c>
      <c r="BR291" s="174">
        <f>IF(Z291=$Z$82,AA291*AG291,0)</f>
        <v>0</v>
      </c>
      <c r="BS291" s="174">
        <f>IF(Z291=$Z$83,AA291*AG291,0)</f>
        <v>0</v>
      </c>
      <c r="BT291" s="174">
        <f>IF(AA291&lt;1,0,IF(Z291=$Z$84,AA291*AG291,IF(Z291=$Z$93,"ERRO",IF(Z291=$Z$100,"ERRO",0))))</f>
        <v>0</v>
      </c>
      <c r="BU291" s="174">
        <f>IF(AA291&lt;1,0,IF(Z291=$Z$85,AA291*AG291,IF(Z291=$Z$93,"ERRO",IF(Z291=$Z$100,"ERRO",0))))</f>
        <v>0</v>
      </c>
      <c r="BV291" s="174">
        <f>IF(Z291=$Z$92,AA291*AG291,0)</f>
        <v>0</v>
      </c>
      <c r="BW291" s="174">
        <f>IF(Z291=$Z$91,AA291*AG291,0)</f>
        <v>0</v>
      </c>
      <c r="BX291" s="174">
        <f>IF(Z291=$Z$86,AA291*AG291,0)</f>
        <v>0</v>
      </c>
      <c r="BY291" s="174">
        <f>IF(Z291=$Z$87,AA291*AG291,0)</f>
        <v>0</v>
      </c>
      <c r="BZ291" s="174">
        <f>IF(Z291=$Z$88,AA291*AG291,0)</f>
        <v>0</v>
      </c>
      <c r="CA291" s="174">
        <f>IF(Z291=$Z$89,AA291*AG291,0)</f>
        <v>0</v>
      </c>
      <c r="CB291" s="174">
        <f>IF(Z291=$Z$90,AA291*AG291,0)</f>
        <v>0</v>
      </c>
      <c r="CC291" s="175">
        <f>IFERROR(IF(L291=$L$49,AG291*AH291*(1+AI291)*(1-AK291)*(1-AL291),0),0)</f>
        <v>0</v>
      </c>
      <c r="CD291" s="203">
        <f>IF(I291=$CD$97,1,IF(I291=$CD$100,2,IF(K291=$K$66,1,IF(K291=$K$69,1,3))))</f>
        <v>1</v>
      </c>
      <c r="CE291" s="203">
        <f t="shared" si="14"/>
        <v>1.07</v>
      </c>
      <c r="CF291" s="204">
        <f t="shared" si="54"/>
        <v>1.2353999999999998</v>
      </c>
      <c r="CG291" s="203">
        <f t="shared" si="15"/>
        <v>1.42</v>
      </c>
      <c r="CH291" s="204">
        <f t="shared" si="55"/>
        <v>1.5478000000000001</v>
      </c>
      <c r="CI291" s="203">
        <f t="shared" si="16"/>
        <v>1.7</v>
      </c>
      <c r="CJ291" s="205">
        <f t="shared" si="56"/>
        <v>1.0486</v>
      </c>
      <c r="CK291" s="205">
        <f t="shared" si="57"/>
        <v>1.148922</v>
      </c>
      <c r="CL291" s="205">
        <f t="shared" si="58"/>
        <v>1.3915999999999999</v>
      </c>
      <c r="CM291" s="205">
        <f t="shared" si="59"/>
        <v>1.501366</v>
      </c>
      <c r="CN291" s="206">
        <f t="shared" si="60"/>
        <v>1.6319999999999999</v>
      </c>
      <c r="CO291" s="204">
        <f t="shared" si="61"/>
        <v>1.006656</v>
      </c>
      <c r="CP291" s="207">
        <f t="shared" si="62"/>
        <v>-142.61654084764615</v>
      </c>
      <c r="CQ291" s="208">
        <f t="shared" si="63"/>
        <v>3730.0948737888484</v>
      </c>
      <c r="CR291" s="209">
        <f t="shared" si="64"/>
        <v>130.94295915235386</v>
      </c>
      <c r="CS291" s="49"/>
      <c r="CT291" s="49"/>
      <c r="CU291" s="49"/>
      <c r="CV291" s="49"/>
      <c r="CW291" s="49"/>
      <c r="CX291" s="49"/>
      <c r="CY291" s="49"/>
      <c r="CZ291" s="49"/>
      <c r="DA291" s="49"/>
      <c r="DB291" s="49"/>
      <c r="DC291" s="49"/>
      <c r="DD291" s="49"/>
      <c r="DE291" s="49"/>
      <c r="DF291" s="49"/>
      <c r="DG291" s="49"/>
      <c r="DH291" s="49"/>
      <c r="DI291" s="49"/>
      <c r="DJ291" s="49"/>
      <c r="DK291" s="49"/>
      <c r="DL291" s="49"/>
      <c r="DM291" s="49"/>
      <c r="DN291" s="49"/>
      <c r="DO291" s="49"/>
      <c r="DP291" s="49"/>
      <c r="DQ291" s="49"/>
      <c r="DR291" s="49"/>
      <c r="DS291" s="49"/>
      <c r="DT291" s="49"/>
      <c r="DU291" s="49"/>
      <c r="DV291" s="49"/>
      <c r="DW291" s="49"/>
      <c r="DX291" s="49"/>
      <c r="DY291" s="49"/>
      <c r="DZ291" s="49"/>
      <c r="EA291" s="49"/>
      <c r="EB291" s="49"/>
      <c r="EC291" s="49"/>
      <c r="ED291" s="49"/>
      <c r="EE291" s="49"/>
      <c r="EF291" s="49"/>
      <c r="EG291" s="49"/>
      <c r="EH291" s="49"/>
      <c r="EI291" s="49"/>
      <c r="EJ291" s="49"/>
      <c r="EK291" s="49"/>
      <c r="EL291" s="49"/>
      <c r="EM291" s="49"/>
      <c r="EN291" s="49"/>
      <c r="EO291" s="49"/>
      <c r="EP291" s="49"/>
      <c r="EQ291" s="49"/>
      <c r="ER291" s="49"/>
      <c r="ES291" s="49"/>
      <c r="ET291" s="49"/>
      <c r="EU291" s="49"/>
      <c r="EV291" s="49"/>
      <c r="EW291" s="49"/>
      <c r="EX291" s="49"/>
      <c r="EY291" s="49"/>
      <c r="EZ291" s="49"/>
      <c r="FA291" s="49"/>
    </row>
    <row r="292" spans="1:157" s="210" customFormat="1" ht="38.25" x14ac:dyDescent="0.25">
      <c r="A292" s="113">
        <f>IF(AND('[1]Cockpit Retorno'!$E$67=Sim,Mestre!M292=Mestre!$M$98),0,1)</f>
        <v>1</v>
      </c>
      <c r="B292" s="113">
        <f>IF(AND('[1]Cockpit Retorno'!$E$67=Sim,Mestre!L292=Mestre!$L$48),0,1)</f>
        <v>1</v>
      </c>
      <c r="C292" s="113">
        <f>IF(AND('[1]Cockpit Retorno'!$E$67=Sim,Mestre!M292=Mestre!$M$97),0,1)</f>
        <v>1</v>
      </c>
      <c r="D292" s="148" t="s">
        <v>7</v>
      </c>
      <c r="E292" s="115"/>
      <c r="F292" s="116" t="s">
        <v>107</v>
      </c>
      <c r="G292" s="149"/>
      <c r="H292" s="150" t="s">
        <v>7</v>
      </c>
      <c r="I292" s="151" t="str">
        <f t="shared" si="46"/>
        <v>Mercadorias</v>
      </c>
      <c r="J292" s="150" t="s">
        <v>15</v>
      </c>
      <c r="K292" s="152" t="s">
        <v>7</v>
      </c>
      <c r="L292" s="153" t="s">
        <v>12</v>
      </c>
      <c r="M292" s="154" t="s">
        <v>442</v>
      </c>
      <c r="N292" s="155" t="s">
        <v>370</v>
      </c>
      <c r="O292" s="155" t="s">
        <v>412</v>
      </c>
      <c r="P292" s="155"/>
      <c r="Q292" s="155"/>
      <c r="R292" s="155"/>
      <c r="S292" s="156"/>
      <c r="T292" s="156"/>
      <c r="U292" s="150"/>
      <c r="V292" s="150"/>
      <c r="W292" s="150"/>
      <c r="X292" s="157" t="s">
        <v>445</v>
      </c>
      <c r="Y292" s="150"/>
      <c r="Z292" s="150"/>
      <c r="AA292" s="158"/>
      <c r="AB292" s="155"/>
      <c r="AC292" s="150"/>
      <c r="AD292" s="155"/>
      <c r="AE292" s="155"/>
      <c r="AF292" s="150"/>
      <c r="AG292" s="159">
        <v>300</v>
      </c>
      <c r="AH292" s="211">
        <v>2.6505000000000001</v>
      </c>
      <c r="AI292" s="202"/>
      <c r="AJ292" s="161"/>
      <c r="AK292" s="162"/>
      <c r="AL292" s="163"/>
      <c r="AM292" s="164">
        <f>(((IF(L292=$L$101,1,IF(L292=$L$47,1,0))*(AH292*(1-AK292)))*AG292)*(1-AL292))</f>
        <v>795.15</v>
      </c>
      <c r="AN292" s="165">
        <f>IF(K292=$K$50,AM292,IF(K292=$K$53,AM292,IF(K292=$K$54,AM292,IF(K292=$K$55,AM292,IF(K292=$K$56,AM292,IF(K292=$K$57,AM292,IF(K292=$K$58,AM292,IF(K292=$K$65,AM292,IF(K292=$K$66,AM292,IF(K292=$K$67,AM292,IF(K292=$K$68,AM292,IF(K292=$K$69,AM292,IF(K292=$K$51,AM292,(AM292*(1+AI292)))))))))))))))</f>
        <v>795.15</v>
      </c>
      <c r="AO292" s="166">
        <v>1.4</v>
      </c>
      <c r="AP292" s="160">
        <f t="shared" si="47"/>
        <v>1113.2099999999998</v>
      </c>
      <c r="AQ292" s="167">
        <f t="shared" si="53"/>
        <v>964.55785366815337</v>
      </c>
      <c r="AR292" s="160">
        <f t="shared" si="48"/>
        <v>1113.2099999999998</v>
      </c>
      <c r="AS292" s="168">
        <f t="shared" si="49"/>
        <v>1.2612750638360886</v>
      </c>
      <c r="AT292" s="169" t="str">
        <f>K292</f>
        <v>MI</v>
      </c>
      <c r="AU292" s="169" t="str">
        <f>I292</f>
        <v>Mercadorias</v>
      </c>
      <c r="AV292" s="170"/>
      <c r="AW292" s="171">
        <f>IF(K292=$K$50,0,IF(K292=$K$53,0,IF(K292=$K$54,0,IF(K292=$K$55,0,IF(K292=$K$56,0,IF(K292=$K$57,0,IF(K292=$K$58,0,IF(K292=$K$65,0,IF(K292=$K$66,0,IF(K292=$K$67,0,IF(K292=$K$68,0,IF(K292=$K$69,0,IF(K292=$K$51,0,1))))))))))))*AM292*AI292)</f>
        <v>0</v>
      </c>
      <c r="AX292" s="172">
        <f>IF(K292=$K$50,0,IF(K292=$K$53,0,IF(K292=$K$54,0,IF(K292=$K$55,0,IF(K292=$K$56,0,IF(K292=$K$57,0,IF(K292=$K$58,0,IF(K292=$K$65,0,IF(K292=$K$66,0,IF(K292=$K$67,0,IF(K292=$K$68,0,IF(K292=$K$69,0,IF(K292=$K$51,0,1))))))))))))*AM292*AJ292*$AX$94)</f>
        <v>0</v>
      </c>
      <c r="AY292" s="172">
        <f>IF(K292=$K$53,0,IF(K292=$K$54,0,IF(K292=$K$55,0,IF(K292=$K$56,0,IF(K292=$K$58,0,IF(K292=$K$50,0,IF(K292=$K$65,0,IF(K292=$K$57,0,IF(K292=$K$51,0,AM292*$AY$102)))))))))</f>
        <v>13.119975</v>
      </c>
      <c r="AZ292" s="172">
        <f>IF(K292=$K$53,0,IF(K292=$K$54,0,IF(K292=$K$55,0,IF(K292=$K$56,0,IF(K292=$K$58,0,IF(K292=$K$50,0,IF(K292=$K$65,0,IF(K292=$K$57,0,IF(K292=$K$51,0,AM292*$AZ$102)))))))))</f>
        <v>60.431399999999996</v>
      </c>
      <c r="BA292" s="172">
        <f t="shared" si="50"/>
        <v>73.551374999999993</v>
      </c>
      <c r="BB292" s="173">
        <f>IF($BA$97=1,AQ292*$BB$102,IF(K292=$K$50,0,IF(K292=$K$53,0,IF(K292=$K$54,0,IF(K292=$K$55,0,IF(K292=$K$56,0,IF(K292=$K$57,0,IF(K292=$K$58,0,IF(K292=$K$65,0,IF(K292=$K$66,0,IF(K292=$K$67,0,IF(K292=$K$68,0,IF(K292=$K$69,0,IF(K292=$K$51,0,1)))))))))))*AQ292*$BB$102)))</f>
        <v>0</v>
      </c>
      <c r="BC292" s="172">
        <f t="shared" si="51"/>
        <v>6.2696260488429978</v>
      </c>
      <c r="BD292" s="172">
        <f t="shared" si="52"/>
        <v>28.9367356100446</v>
      </c>
      <c r="BE292" s="172">
        <f>IF($BE$95=I292,$BE$97,IF(I292=$BE$96,$BE$97,1))*($BE$102*AQ292)*$AZ$97</f>
        <v>0</v>
      </c>
      <c r="BF292" s="172">
        <f>IF('[1]Cockpit Retorno'!$C$65=Sim,Mestre!BA292,SUM(BB292:BE292)+(IF(K292=$K$56,AQ292*MOE_IRRF_LR,0)))</f>
        <v>35.206361658887602</v>
      </c>
      <c r="BG292" s="174">
        <f>IF(AA292&gt;0,0,IF(Z292=$Z$82,AG292*1,(IF(Z292=$Z$81,AG292*1,0))))</f>
        <v>0</v>
      </c>
      <c r="BH292" s="174">
        <f>IF(AA292&gt;0,0,IF(Z292=$Z$83,AG292*1,IF(Z292=$Z$81,AG292*1,0)))</f>
        <v>0</v>
      </c>
      <c r="BI292" s="174">
        <f>IF(AA292&gt;0,0,IF(Z292=$Z$84,AG292*1,IF(Z292=$Z$93,AG292*2,IF(Z292=$Z$100,AG292,IF(Z292=$Z$81,AG292*2,IF(Z292=$Z$80,AG292*1,IF(Z292=$Z$79,AG292*3,IF(Z292=$Z$78,AG292*2,0))))))))</f>
        <v>0</v>
      </c>
      <c r="BJ292" s="174">
        <f>IF(AA292&gt;0,0,IF(Z292=$Z$85,AG292,IF(Z292=$Z$93,AG292,IF(Z292=$Z$100,AG292,IF(Z292=$Z$81,AG292*1,IF(Z292=$Z$80,AG292*2,IF(Z292=$Z$79,AG292*2,IF(Z292=$Z$78,AG292*2,0))))))))</f>
        <v>0</v>
      </c>
      <c r="BK292" s="174">
        <f>IF(AA292&gt;0,0,IF(Z292=$Z$92,AG292,0))</f>
        <v>0</v>
      </c>
      <c r="BL292" s="174">
        <f>IF(AA292&gt;0,0,IF(Z292=$Z$91,AG292,0))</f>
        <v>0</v>
      </c>
      <c r="BM292" s="174">
        <f>IF(AA292&gt;0,0,IF(Z292=$Z$86,AG292,0))</f>
        <v>0</v>
      </c>
      <c r="BN292" s="174">
        <f>IF(AA292&gt;0,0,IF(Z292=$Z$87,AG292,0))</f>
        <v>0</v>
      </c>
      <c r="BO292" s="174">
        <f>IF(AA292&gt;0,0,IF(Z292=$Z$88,AG292,0))</f>
        <v>0</v>
      </c>
      <c r="BP292" s="174">
        <f>IF(AA292&gt;0,0,IF(Z292=$Z$89,AG292,0))</f>
        <v>0</v>
      </c>
      <c r="BQ292" s="174">
        <f>IF(AA292&gt;0,0,IF(Z292=$Z$90,AG292,0))</f>
        <v>0</v>
      </c>
      <c r="BR292" s="174">
        <f>IF(Z292=$Z$82,AA292*AG292,0)</f>
        <v>0</v>
      </c>
      <c r="BS292" s="174">
        <f>IF(Z292=$Z$83,AA292*AG292,0)</f>
        <v>0</v>
      </c>
      <c r="BT292" s="174">
        <f>IF(AA292&lt;1,0,IF(Z292=$Z$84,AA292*AG292,IF(Z292=$Z$93,"ERRO",IF(Z292=$Z$100,"ERRO",0))))</f>
        <v>0</v>
      </c>
      <c r="BU292" s="174">
        <f>IF(AA292&lt;1,0,IF(Z292=$Z$85,AA292*AG292,IF(Z292=$Z$93,"ERRO",IF(Z292=$Z$100,"ERRO",0))))</f>
        <v>0</v>
      </c>
      <c r="BV292" s="174">
        <f>IF(Z292=$Z$92,AA292*AG292,0)</f>
        <v>0</v>
      </c>
      <c r="BW292" s="174">
        <f>IF(Z292=$Z$91,AA292*AG292,0)</f>
        <v>0</v>
      </c>
      <c r="BX292" s="174">
        <f>IF(Z292=$Z$86,AA292*AG292,0)</f>
        <v>0</v>
      </c>
      <c r="BY292" s="174">
        <f>IF(Z292=$Z$87,AA292*AG292,0)</f>
        <v>0</v>
      </c>
      <c r="BZ292" s="174">
        <f>IF(Z292=$Z$88,AA292*AG292,0)</f>
        <v>0</v>
      </c>
      <c r="CA292" s="174">
        <f>IF(Z292=$Z$89,AA292*AG292,0)</f>
        <v>0</v>
      </c>
      <c r="CB292" s="174">
        <f>IF(Z292=$Z$90,AA292*AG292,0)</f>
        <v>0</v>
      </c>
      <c r="CC292" s="175">
        <f>IFERROR(IF(L292=$L$49,AG292*AH292*(1+AI292)*(1-AK292)*(1-AL292),0),0)</f>
        <v>0</v>
      </c>
      <c r="CD292" s="203">
        <f>IF(I292=$CD$97,1,IF(I292=$CD$100,2,IF(K292=$K$66,1,IF(K292=$K$69,1,3))))</f>
        <v>1</v>
      </c>
      <c r="CE292" s="203">
        <f t="shared" si="14"/>
        <v>1.07</v>
      </c>
      <c r="CF292" s="204">
        <f t="shared" si="54"/>
        <v>1.2353999999999998</v>
      </c>
      <c r="CG292" s="203">
        <f t="shared" si="15"/>
        <v>1.42</v>
      </c>
      <c r="CH292" s="204">
        <f t="shared" si="55"/>
        <v>1.5478000000000001</v>
      </c>
      <c r="CI292" s="203">
        <f t="shared" si="16"/>
        <v>1.7</v>
      </c>
      <c r="CJ292" s="205">
        <f t="shared" si="56"/>
        <v>1.0486</v>
      </c>
      <c r="CK292" s="205">
        <f t="shared" si="57"/>
        <v>1.148922</v>
      </c>
      <c r="CL292" s="205">
        <f t="shared" si="58"/>
        <v>1.3915999999999999</v>
      </c>
      <c r="CM292" s="205">
        <f t="shared" si="59"/>
        <v>1.501366</v>
      </c>
      <c r="CN292" s="206">
        <f t="shared" si="60"/>
        <v>1.6319999999999999</v>
      </c>
      <c r="CO292" s="204">
        <f t="shared" si="61"/>
        <v>1.006656</v>
      </c>
      <c r="CP292" s="207">
        <f t="shared" si="62"/>
        <v>-38.345013341112391</v>
      </c>
      <c r="CQ292" s="208">
        <f t="shared" si="63"/>
        <v>1002.9028670092657</v>
      </c>
      <c r="CR292" s="209">
        <f t="shared" si="64"/>
        <v>35.206361658887602</v>
      </c>
      <c r="CS292" s="49"/>
      <c r="CT292" s="49"/>
      <c r="CU292" s="49"/>
      <c r="CV292" s="49"/>
      <c r="CW292" s="49"/>
      <c r="CX292" s="49"/>
      <c r="CY292" s="49"/>
      <c r="CZ292" s="49"/>
      <c r="DA292" s="49"/>
      <c r="DB292" s="49"/>
      <c r="DC292" s="49"/>
      <c r="DD292" s="49"/>
      <c r="DE292" s="49"/>
      <c r="DF292" s="49"/>
      <c r="DG292" s="49"/>
      <c r="DH292" s="49"/>
      <c r="DI292" s="49"/>
      <c r="DJ292" s="49"/>
      <c r="DK292" s="49"/>
      <c r="DL292" s="49"/>
      <c r="DM292" s="49"/>
      <c r="DN292" s="49"/>
      <c r="DO292" s="49"/>
      <c r="DP292" s="49"/>
      <c r="DQ292" s="49"/>
      <c r="DR292" s="49"/>
      <c r="DS292" s="49"/>
      <c r="DT292" s="49"/>
      <c r="DU292" s="49"/>
      <c r="DV292" s="49"/>
      <c r="DW292" s="49"/>
      <c r="DX292" s="49"/>
      <c r="DY292" s="49"/>
      <c r="DZ292" s="49"/>
      <c r="EA292" s="49"/>
      <c r="EB292" s="49"/>
      <c r="EC292" s="49"/>
      <c r="ED292" s="49"/>
      <c r="EE292" s="49"/>
      <c r="EF292" s="49"/>
      <c r="EG292" s="49"/>
      <c r="EH292" s="49"/>
      <c r="EI292" s="49"/>
      <c r="EJ292" s="49"/>
      <c r="EK292" s="49"/>
      <c r="EL292" s="49"/>
      <c r="EM292" s="49"/>
      <c r="EN292" s="49"/>
      <c r="EO292" s="49"/>
      <c r="EP292" s="49"/>
      <c r="EQ292" s="49"/>
      <c r="ER292" s="49"/>
      <c r="ES292" s="49"/>
      <c r="ET292" s="49"/>
      <c r="EU292" s="49"/>
      <c r="EV292" s="49"/>
      <c r="EW292" s="49"/>
      <c r="EX292" s="49"/>
      <c r="EY292" s="49"/>
      <c r="EZ292" s="49"/>
      <c r="FA292" s="49"/>
    </row>
    <row r="293" spans="1:157" s="210" customFormat="1" ht="38.25" x14ac:dyDescent="0.25">
      <c r="A293" s="113">
        <f>IF(AND('[1]Cockpit Retorno'!$E$67=Sim,Mestre!M293=Mestre!$M$98),0,1)</f>
        <v>1</v>
      </c>
      <c r="B293" s="113">
        <f>IF(AND('[1]Cockpit Retorno'!$E$67=Sim,Mestre!L293=Mestre!$L$48),0,1)</f>
        <v>1</v>
      </c>
      <c r="C293" s="113">
        <f>IF(AND('[1]Cockpit Retorno'!$E$67=Sim,Mestre!M293=Mestre!$M$97),0,1)</f>
        <v>1</v>
      </c>
      <c r="D293" s="148" t="s">
        <v>7</v>
      </c>
      <c r="E293" s="115"/>
      <c r="F293" s="116" t="s">
        <v>107</v>
      </c>
      <c r="G293" s="149"/>
      <c r="H293" s="150" t="s">
        <v>7</v>
      </c>
      <c r="I293" s="151" t="str">
        <f t="shared" si="46"/>
        <v>Mercadorias</v>
      </c>
      <c r="J293" s="150" t="s">
        <v>15</v>
      </c>
      <c r="K293" s="152" t="s">
        <v>7</v>
      </c>
      <c r="L293" s="153" t="s">
        <v>12</v>
      </c>
      <c r="M293" s="154" t="s">
        <v>442</v>
      </c>
      <c r="N293" s="155" t="s">
        <v>370</v>
      </c>
      <c r="O293" s="155" t="s">
        <v>412</v>
      </c>
      <c r="P293" s="155"/>
      <c r="Q293" s="155"/>
      <c r="R293" s="155"/>
      <c r="S293" s="156"/>
      <c r="T293" s="156"/>
      <c r="U293" s="150"/>
      <c r="V293" s="150"/>
      <c r="W293" s="150"/>
      <c r="X293" s="157" t="s">
        <v>445</v>
      </c>
      <c r="Y293" s="150"/>
      <c r="Z293" s="150"/>
      <c r="AA293" s="158"/>
      <c r="AB293" s="155"/>
      <c r="AC293" s="150"/>
      <c r="AD293" s="155"/>
      <c r="AE293" s="155"/>
      <c r="AF293" s="150"/>
      <c r="AG293" s="159">
        <v>300</v>
      </c>
      <c r="AH293" s="211">
        <v>2.6505000000000001</v>
      </c>
      <c r="AI293" s="202"/>
      <c r="AJ293" s="161"/>
      <c r="AK293" s="162"/>
      <c r="AL293" s="163"/>
      <c r="AM293" s="164">
        <f>(((IF(L293=$L$101,1,IF(L293=$L$47,1,0))*(AH293*(1-AK293)))*AG293)*(1-AL293))</f>
        <v>795.15</v>
      </c>
      <c r="AN293" s="165">
        <f>IF(K293=$K$50,AM293,IF(K293=$K$53,AM293,IF(K293=$K$54,AM293,IF(K293=$K$55,AM293,IF(K293=$K$56,AM293,IF(K293=$K$57,AM293,IF(K293=$K$58,AM293,IF(K293=$K$65,AM293,IF(K293=$K$66,AM293,IF(K293=$K$67,AM293,IF(K293=$K$68,AM293,IF(K293=$K$69,AM293,IF(K293=$K$51,AM293,(AM293*(1+AI293)))))))))))))))</f>
        <v>795.15</v>
      </c>
      <c r="AO293" s="166">
        <v>1.4</v>
      </c>
      <c r="AP293" s="160">
        <f t="shared" si="47"/>
        <v>1113.2099999999998</v>
      </c>
      <c r="AQ293" s="167">
        <f t="shared" si="53"/>
        <v>964.55785366815337</v>
      </c>
      <c r="AR293" s="160">
        <f t="shared" si="48"/>
        <v>1113.2099999999998</v>
      </c>
      <c r="AS293" s="168">
        <f t="shared" si="49"/>
        <v>1.2612750638360886</v>
      </c>
      <c r="AT293" s="169" t="str">
        <f>K293</f>
        <v>MI</v>
      </c>
      <c r="AU293" s="169" t="str">
        <f>I293</f>
        <v>Mercadorias</v>
      </c>
      <c r="AV293" s="170"/>
      <c r="AW293" s="171">
        <f>IF(K293=$K$50,0,IF(K293=$K$53,0,IF(K293=$K$54,0,IF(K293=$K$55,0,IF(K293=$K$56,0,IF(K293=$K$57,0,IF(K293=$K$58,0,IF(K293=$K$65,0,IF(K293=$K$66,0,IF(K293=$K$67,0,IF(K293=$K$68,0,IF(K293=$K$69,0,IF(K293=$K$51,0,1))))))))))))*AM293*AI293)</f>
        <v>0</v>
      </c>
      <c r="AX293" s="172">
        <f>IF(K293=$K$50,0,IF(K293=$K$53,0,IF(K293=$K$54,0,IF(K293=$K$55,0,IF(K293=$K$56,0,IF(K293=$K$57,0,IF(K293=$K$58,0,IF(K293=$K$65,0,IF(K293=$K$66,0,IF(K293=$K$67,0,IF(K293=$K$68,0,IF(K293=$K$69,0,IF(K293=$K$51,0,1))))))))))))*AM293*AJ293*$AX$94)</f>
        <v>0</v>
      </c>
      <c r="AY293" s="172">
        <f>IF(K293=$K$53,0,IF(K293=$K$54,0,IF(K293=$K$55,0,IF(K293=$K$56,0,IF(K293=$K$58,0,IF(K293=$K$50,0,IF(K293=$K$65,0,IF(K293=$K$57,0,IF(K293=$K$51,0,AM293*$AY$102)))))))))</f>
        <v>13.119975</v>
      </c>
      <c r="AZ293" s="172">
        <f>IF(K293=$K$53,0,IF(K293=$K$54,0,IF(K293=$K$55,0,IF(K293=$K$56,0,IF(K293=$K$58,0,IF(K293=$K$50,0,IF(K293=$K$65,0,IF(K293=$K$57,0,IF(K293=$K$51,0,AM293*$AZ$102)))))))))</f>
        <v>60.431399999999996</v>
      </c>
      <c r="BA293" s="172">
        <f t="shared" si="50"/>
        <v>73.551374999999993</v>
      </c>
      <c r="BB293" s="173">
        <f>IF($BA$97=1,AQ293*$BB$102,IF(K293=$K$50,0,IF(K293=$K$53,0,IF(K293=$K$54,0,IF(K293=$K$55,0,IF(K293=$K$56,0,IF(K293=$K$57,0,IF(K293=$K$58,0,IF(K293=$K$65,0,IF(K293=$K$66,0,IF(K293=$K$67,0,IF(K293=$K$68,0,IF(K293=$K$69,0,IF(K293=$K$51,0,1)))))))))))*AQ293*$BB$102)))</f>
        <v>0</v>
      </c>
      <c r="BC293" s="172">
        <f t="shared" si="51"/>
        <v>6.2696260488429978</v>
      </c>
      <c r="BD293" s="172">
        <f t="shared" si="52"/>
        <v>28.9367356100446</v>
      </c>
      <c r="BE293" s="172">
        <f>IF($BE$95=I293,$BE$97,IF(I293=$BE$96,$BE$97,1))*($BE$102*AQ293)*$AZ$97</f>
        <v>0</v>
      </c>
      <c r="BF293" s="172">
        <f>IF('[1]Cockpit Retorno'!$C$65=Sim,Mestre!BA293,SUM(BB293:BE293)+(IF(K293=$K$56,AQ293*MOE_IRRF_LR,0)))</f>
        <v>35.206361658887602</v>
      </c>
      <c r="BG293" s="174">
        <f>IF(AA293&gt;0,0,IF(Z293=$Z$82,AG293*1,(IF(Z293=$Z$81,AG293*1,0))))</f>
        <v>0</v>
      </c>
      <c r="BH293" s="174">
        <f>IF(AA293&gt;0,0,IF(Z293=$Z$83,AG293*1,IF(Z293=$Z$81,AG293*1,0)))</f>
        <v>0</v>
      </c>
      <c r="BI293" s="174">
        <f>IF(AA293&gt;0,0,IF(Z293=$Z$84,AG293*1,IF(Z293=$Z$93,AG293*2,IF(Z293=$Z$100,AG293,IF(Z293=$Z$81,AG293*2,IF(Z293=$Z$80,AG293*1,IF(Z293=$Z$79,AG293*3,IF(Z293=$Z$78,AG293*2,0))))))))</f>
        <v>0</v>
      </c>
      <c r="BJ293" s="174">
        <f>IF(AA293&gt;0,0,IF(Z293=$Z$85,AG293,IF(Z293=$Z$93,AG293,IF(Z293=$Z$100,AG293,IF(Z293=$Z$81,AG293*1,IF(Z293=$Z$80,AG293*2,IF(Z293=$Z$79,AG293*2,IF(Z293=$Z$78,AG293*2,0))))))))</f>
        <v>0</v>
      </c>
      <c r="BK293" s="174">
        <f>IF(AA293&gt;0,0,IF(Z293=$Z$92,AG293,0))</f>
        <v>0</v>
      </c>
      <c r="BL293" s="174">
        <f>IF(AA293&gt;0,0,IF(Z293=$Z$91,AG293,0))</f>
        <v>0</v>
      </c>
      <c r="BM293" s="174">
        <f>IF(AA293&gt;0,0,IF(Z293=$Z$86,AG293,0))</f>
        <v>0</v>
      </c>
      <c r="BN293" s="174">
        <f>IF(AA293&gt;0,0,IF(Z293=$Z$87,AG293,0))</f>
        <v>0</v>
      </c>
      <c r="BO293" s="174">
        <f>IF(AA293&gt;0,0,IF(Z293=$Z$88,AG293,0))</f>
        <v>0</v>
      </c>
      <c r="BP293" s="174">
        <f>IF(AA293&gt;0,0,IF(Z293=$Z$89,AG293,0))</f>
        <v>0</v>
      </c>
      <c r="BQ293" s="174">
        <f>IF(AA293&gt;0,0,IF(Z293=$Z$90,AG293,0))</f>
        <v>0</v>
      </c>
      <c r="BR293" s="174">
        <f>IF(Z293=$Z$82,AA293*AG293,0)</f>
        <v>0</v>
      </c>
      <c r="BS293" s="174">
        <f>IF(Z293=$Z$83,AA293*AG293,0)</f>
        <v>0</v>
      </c>
      <c r="BT293" s="174">
        <f>IF(AA293&lt;1,0,IF(Z293=$Z$84,AA293*AG293,IF(Z293=$Z$93,"ERRO",IF(Z293=$Z$100,"ERRO",0))))</f>
        <v>0</v>
      </c>
      <c r="BU293" s="174">
        <f>IF(AA293&lt;1,0,IF(Z293=$Z$85,AA293*AG293,IF(Z293=$Z$93,"ERRO",IF(Z293=$Z$100,"ERRO",0))))</f>
        <v>0</v>
      </c>
      <c r="BV293" s="174">
        <f>IF(Z293=$Z$92,AA293*AG293,0)</f>
        <v>0</v>
      </c>
      <c r="BW293" s="174">
        <f>IF(Z293=$Z$91,AA293*AG293,0)</f>
        <v>0</v>
      </c>
      <c r="BX293" s="174">
        <f>IF(Z293=$Z$86,AA293*AG293,0)</f>
        <v>0</v>
      </c>
      <c r="BY293" s="174">
        <f>IF(Z293=$Z$87,AA293*AG293,0)</f>
        <v>0</v>
      </c>
      <c r="BZ293" s="174">
        <f>IF(Z293=$Z$88,AA293*AG293,0)</f>
        <v>0</v>
      </c>
      <c r="CA293" s="174">
        <f>IF(Z293=$Z$89,AA293*AG293,0)</f>
        <v>0</v>
      </c>
      <c r="CB293" s="174">
        <f>IF(Z293=$Z$90,AA293*AG293,0)</f>
        <v>0</v>
      </c>
      <c r="CC293" s="175">
        <f>IFERROR(IF(L293=$L$49,AG293*AH293*(1+AI293)*(1-AK293)*(1-AL293),0),0)</f>
        <v>0</v>
      </c>
      <c r="CD293" s="203">
        <f>IF(I293=$CD$97,1,IF(I293=$CD$100,2,IF(K293=$K$66,1,IF(K293=$K$69,1,3))))</f>
        <v>1</v>
      </c>
      <c r="CE293" s="203">
        <f t="shared" si="14"/>
        <v>1.07</v>
      </c>
      <c r="CF293" s="204">
        <f t="shared" si="54"/>
        <v>1.2353999999999998</v>
      </c>
      <c r="CG293" s="203">
        <f t="shared" si="15"/>
        <v>1.42</v>
      </c>
      <c r="CH293" s="204">
        <f t="shared" si="55"/>
        <v>1.5478000000000001</v>
      </c>
      <c r="CI293" s="203">
        <f t="shared" si="16"/>
        <v>1.7</v>
      </c>
      <c r="CJ293" s="205">
        <f t="shared" si="56"/>
        <v>1.0486</v>
      </c>
      <c r="CK293" s="205">
        <f t="shared" si="57"/>
        <v>1.148922</v>
      </c>
      <c r="CL293" s="205">
        <f t="shared" si="58"/>
        <v>1.3915999999999999</v>
      </c>
      <c r="CM293" s="205">
        <f t="shared" si="59"/>
        <v>1.501366</v>
      </c>
      <c r="CN293" s="206">
        <f t="shared" si="60"/>
        <v>1.6319999999999999</v>
      </c>
      <c r="CO293" s="204">
        <f t="shared" si="61"/>
        <v>1.006656</v>
      </c>
      <c r="CP293" s="207">
        <f t="shared" si="62"/>
        <v>-38.345013341112391</v>
      </c>
      <c r="CQ293" s="208">
        <f t="shared" si="63"/>
        <v>1002.9028670092657</v>
      </c>
      <c r="CR293" s="209">
        <f t="shared" si="64"/>
        <v>35.206361658887602</v>
      </c>
      <c r="CS293" s="49"/>
      <c r="CT293" s="49"/>
      <c r="CU293" s="49"/>
      <c r="CV293" s="49"/>
      <c r="CW293" s="49"/>
      <c r="CX293" s="49"/>
      <c r="CY293" s="49"/>
      <c r="CZ293" s="49"/>
      <c r="DA293" s="49"/>
      <c r="DB293" s="49"/>
      <c r="DC293" s="49"/>
      <c r="DD293" s="49"/>
      <c r="DE293" s="49"/>
      <c r="DF293" s="49"/>
      <c r="DG293" s="49"/>
      <c r="DH293" s="49"/>
      <c r="DI293" s="49"/>
      <c r="DJ293" s="49"/>
      <c r="DK293" s="49"/>
      <c r="DL293" s="49"/>
      <c r="DM293" s="49"/>
      <c r="DN293" s="49"/>
      <c r="DO293" s="49"/>
      <c r="DP293" s="49"/>
      <c r="DQ293" s="49"/>
      <c r="DR293" s="49"/>
      <c r="DS293" s="49"/>
      <c r="DT293" s="49"/>
      <c r="DU293" s="49"/>
      <c r="DV293" s="49"/>
      <c r="DW293" s="49"/>
      <c r="DX293" s="49"/>
      <c r="DY293" s="49"/>
      <c r="DZ293" s="49"/>
      <c r="EA293" s="49"/>
      <c r="EB293" s="49"/>
      <c r="EC293" s="49"/>
      <c r="ED293" s="49"/>
      <c r="EE293" s="49"/>
      <c r="EF293" s="49"/>
      <c r="EG293" s="49"/>
      <c r="EH293" s="49"/>
      <c r="EI293" s="49"/>
      <c r="EJ293" s="49"/>
      <c r="EK293" s="49"/>
      <c r="EL293" s="49"/>
      <c r="EM293" s="49"/>
      <c r="EN293" s="49"/>
      <c r="EO293" s="49"/>
      <c r="EP293" s="49"/>
      <c r="EQ293" s="49"/>
      <c r="ER293" s="49"/>
      <c r="ES293" s="49"/>
      <c r="ET293" s="49"/>
      <c r="EU293" s="49"/>
      <c r="EV293" s="49"/>
      <c r="EW293" s="49"/>
      <c r="EX293" s="49"/>
      <c r="EY293" s="49"/>
      <c r="EZ293" s="49"/>
      <c r="FA293" s="49"/>
    </row>
    <row r="294" spans="1:157" s="210" customFormat="1" ht="25.5" x14ac:dyDescent="0.25">
      <c r="A294" s="113">
        <f>IF(AND('[1]Cockpit Retorno'!$E$67=Sim,Mestre!M294=Mestre!$M$98),0,1)</f>
        <v>1</v>
      </c>
      <c r="B294" s="113">
        <f>IF(AND('[1]Cockpit Retorno'!$E$67=Sim,Mestre!L294=Mestre!$L$48),0,1)</f>
        <v>1</v>
      </c>
      <c r="C294" s="113">
        <f>IF(AND('[1]Cockpit Retorno'!$E$67=Sim,Mestre!M294=Mestre!$M$97),0,1)</f>
        <v>1</v>
      </c>
      <c r="D294" s="148" t="s">
        <v>7</v>
      </c>
      <c r="E294" s="115"/>
      <c r="F294" s="116" t="s">
        <v>107</v>
      </c>
      <c r="G294" s="149"/>
      <c r="H294" s="150" t="s">
        <v>7</v>
      </c>
      <c r="I294" s="151" t="str">
        <f t="shared" si="46"/>
        <v>Mercadorias</v>
      </c>
      <c r="J294" s="150" t="s">
        <v>15</v>
      </c>
      <c r="K294" s="152" t="s">
        <v>7</v>
      </c>
      <c r="L294" s="153" t="s">
        <v>12</v>
      </c>
      <c r="M294" s="154" t="s">
        <v>446</v>
      </c>
      <c r="N294" s="155" t="s">
        <v>370</v>
      </c>
      <c r="O294" s="155" t="s">
        <v>412</v>
      </c>
      <c r="P294" s="155"/>
      <c r="Q294" s="155"/>
      <c r="R294" s="155"/>
      <c r="S294" s="156"/>
      <c r="T294" s="156"/>
      <c r="U294" s="150"/>
      <c r="V294" s="150"/>
      <c r="W294" s="150"/>
      <c r="X294" s="157" t="s">
        <v>447</v>
      </c>
      <c r="Y294" s="150"/>
      <c r="Z294" s="150"/>
      <c r="AA294" s="158"/>
      <c r="AB294" s="155"/>
      <c r="AC294" s="150"/>
      <c r="AD294" s="155"/>
      <c r="AE294" s="155"/>
      <c r="AF294" s="150"/>
      <c r="AG294" s="159">
        <v>1000</v>
      </c>
      <c r="AH294" s="211">
        <v>4.6035000000000004</v>
      </c>
      <c r="AI294" s="202">
        <v>0</v>
      </c>
      <c r="AJ294" s="161">
        <v>0.12</v>
      </c>
      <c r="AK294" s="162"/>
      <c r="AL294" s="163"/>
      <c r="AM294" s="164">
        <f>(((IF(L294=$L$101,1,IF(L294=$L$47,1,0))*(AH294*(1-AK294)))*AG294)*(1-AL294))</f>
        <v>4603.5</v>
      </c>
      <c r="AN294" s="165">
        <f>IF(K294=$K$50,AM294,IF(K294=$K$53,AM294,IF(K294=$K$54,AM294,IF(K294=$K$55,AM294,IF(K294=$K$56,AM294,IF(K294=$K$57,AM294,IF(K294=$K$58,AM294,IF(K294=$K$65,AM294,IF(K294=$K$66,AM294,IF(K294=$K$67,AM294,IF(K294=$K$68,AM294,IF(K294=$K$69,AM294,IF(K294=$K$51,AM294,(AM294*(1+AI294)))))))))))))))</f>
        <v>4603.5</v>
      </c>
      <c r="AO294" s="166">
        <v>1.4</v>
      </c>
      <c r="AP294" s="160">
        <f t="shared" si="47"/>
        <v>6444.9</v>
      </c>
      <c r="AQ294" s="167">
        <f t="shared" si="53"/>
        <v>5584.2823107103623</v>
      </c>
      <c r="AR294" s="160">
        <f t="shared" si="48"/>
        <v>6444.9</v>
      </c>
      <c r="AS294" s="168">
        <f t="shared" si="49"/>
        <v>1.2612750638360886</v>
      </c>
      <c r="AT294" s="169" t="str">
        <f>K294</f>
        <v>MI</v>
      </c>
      <c r="AU294" s="169" t="str">
        <f>I294</f>
        <v>Mercadorias</v>
      </c>
      <c r="AV294" s="170"/>
      <c r="AW294" s="171">
        <f>IF(K294=$K$50,0,IF(K294=$K$53,0,IF(K294=$K$54,0,IF(K294=$K$55,0,IF(K294=$K$56,0,IF(K294=$K$57,0,IF(K294=$K$58,0,IF(K294=$K$65,0,IF(K294=$K$66,0,IF(K294=$K$67,0,IF(K294=$K$68,0,IF(K294=$K$69,0,IF(K294=$K$51,0,1))))))))))))*AM294*AI294)</f>
        <v>0</v>
      </c>
      <c r="AX294" s="172">
        <f>IF(K294=$K$50,0,IF(K294=$K$53,0,IF(K294=$K$54,0,IF(K294=$K$55,0,IF(K294=$K$56,0,IF(K294=$K$57,0,IF(K294=$K$58,0,IF(K294=$K$65,0,IF(K294=$K$66,0,IF(K294=$K$67,0,IF(K294=$K$68,0,IF(K294=$K$69,0,IF(K294=$K$51,0,1))))))))))))*AM294*AJ294*$AX$94)</f>
        <v>0</v>
      </c>
      <c r="AY294" s="172">
        <f>IF(K294=$K$53,0,IF(K294=$K$54,0,IF(K294=$K$55,0,IF(K294=$K$56,0,IF(K294=$K$58,0,IF(K294=$K$50,0,IF(K294=$K$65,0,IF(K294=$K$57,0,IF(K294=$K$51,0,AM294*$AY$102)))))))))</f>
        <v>75.957750000000004</v>
      </c>
      <c r="AZ294" s="172">
        <f>IF(K294=$K$53,0,IF(K294=$K$54,0,IF(K294=$K$55,0,IF(K294=$K$56,0,IF(K294=$K$58,0,IF(K294=$K$50,0,IF(K294=$K$65,0,IF(K294=$K$57,0,IF(K294=$K$51,0,AM294*$AZ$102)))))))))</f>
        <v>349.86599999999999</v>
      </c>
      <c r="BA294" s="172">
        <f t="shared" si="50"/>
        <v>425.82375000000002</v>
      </c>
      <c r="BB294" s="173">
        <f>IF($BA$97=1,AQ294*$BB$102,IF(K294=$K$50,0,IF(K294=$K$53,0,IF(K294=$K$54,0,IF(K294=$K$55,0,IF(K294=$K$56,0,IF(K294=$K$57,0,IF(K294=$K$58,0,IF(K294=$K$65,0,IF(K294=$K$66,0,IF(K294=$K$67,0,IF(K294=$K$68,0,IF(K294=$K$69,0,IF(K294=$K$51,0,1)))))))))))*AQ294*$BB$102)))</f>
        <v>0</v>
      </c>
      <c r="BC294" s="172">
        <f t="shared" si="51"/>
        <v>36.297835019617359</v>
      </c>
      <c r="BD294" s="172">
        <f t="shared" si="52"/>
        <v>167.52846932131087</v>
      </c>
      <c r="BE294" s="172">
        <f>IF($BE$95=I294,$BE$97,IF(I294=$BE$96,$BE$97,1))*($BE$102*AQ294)*$AZ$97</f>
        <v>0</v>
      </c>
      <c r="BF294" s="172">
        <f>IF('[1]Cockpit Retorno'!$C$65=Sim,Mestre!BA294,SUM(BB294:BE294)+(IF(K294=$K$56,AQ294*MOE_IRRF_LR,0)))</f>
        <v>203.82630434092823</v>
      </c>
      <c r="BG294" s="174">
        <f>IF(AA294&gt;0,0,IF(Z294=$Z$82,AG294*1,(IF(Z294=$Z$81,AG294*1,0))))</f>
        <v>0</v>
      </c>
      <c r="BH294" s="174">
        <f>IF(AA294&gt;0,0,IF(Z294=$Z$83,AG294*1,IF(Z294=$Z$81,AG294*1,0)))</f>
        <v>0</v>
      </c>
      <c r="BI294" s="174">
        <f>IF(AA294&gt;0,0,IF(Z294=$Z$84,AG294*1,IF(Z294=$Z$93,AG294*2,IF(Z294=$Z$100,AG294,IF(Z294=$Z$81,AG294*2,IF(Z294=$Z$80,AG294*1,IF(Z294=$Z$79,AG294*3,IF(Z294=$Z$78,AG294*2,0))))))))</f>
        <v>0</v>
      </c>
      <c r="BJ294" s="174">
        <f>IF(AA294&gt;0,0,IF(Z294=$Z$85,AG294,IF(Z294=$Z$93,AG294,IF(Z294=$Z$100,AG294,IF(Z294=$Z$81,AG294*1,IF(Z294=$Z$80,AG294*2,IF(Z294=$Z$79,AG294*2,IF(Z294=$Z$78,AG294*2,0))))))))</f>
        <v>0</v>
      </c>
      <c r="BK294" s="174">
        <f>IF(AA294&gt;0,0,IF(Z294=$Z$92,AG294,0))</f>
        <v>0</v>
      </c>
      <c r="BL294" s="174">
        <f>IF(AA294&gt;0,0,IF(Z294=$Z$91,AG294,0))</f>
        <v>0</v>
      </c>
      <c r="BM294" s="174">
        <f>IF(AA294&gt;0,0,IF(Z294=$Z$86,AG294,0))</f>
        <v>0</v>
      </c>
      <c r="BN294" s="174">
        <f>IF(AA294&gt;0,0,IF(Z294=$Z$87,AG294,0))</f>
        <v>0</v>
      </c>
      <c r="BO294" s="174">
        <f>IF(AA294&gt;0,0,IF(Z294=$Z$88,AG294,0))</f>
        <v>0</v>
      </c>
      <c r="BP294" s="174">
        <f>IF(AA294&gt;0,0,IF(Z294=$Z$89,AG294,0))</f>
        <v>0</v>
      </c>
      <c r="BQ294" s="174">
        <f>IF(AA294&gt;0,0,IF(Z294=$Z$90,AG294,0))</f>
        <v>0</v>
      </c>
      <c r="BR294" s="174">
        <f>IF(Z294=$Z$82,AA294*AG294,0)</f>
        <v>0</v>
      </c>
      <c r="BS294" s="174">
        <f>IF(Z294=$Z$83,AA294*AG294,0)</f>
        <v>0</v>
      </c>
      <c r="BT294" s="174">
        <f>IF(AA294&lt;1,0,IF(Z294=$Z$84,AA294*AG294,IF(Z294=$Z$93,"ERRO",IF(Z294=$Z$100,"ERRO",0))))</f>
        <v>0</v>
      </c>
      <c r="BU294" s="174">
        <f>IF(AA294&lt;1,0,IF(Z294=$Z$85,AA294*AG294,IF(Z294=$Z$93,"ERRO",IF(Z294=$Z$100,"ERRO",0))))</f>
        <v>0</v>
      </c>
      <c r="BV294" s="174">
        <f>IF(Z294=$Z$92,AA294*AG294,0)</f>
        <v>0</v>
      </c>
      <c r="BW294" s="174">
        <f>IF(Z294=$Z$91,AA294*AG294,0)</f>
        <v>0</v>
      </c>
      <c r="BX294" s="174">
        <f>IF(Z294=$Z$86,AA294*AG294,0)</f>
        <v>0</v>
      </c>
      <c r="BY294" s="174">
        <f>IF(Z294=$Z$87,AA294*AG294,0)</f>
        <v>0</v>
      </c>
      <c r="BZ294" s="174">
        <f>IF(Z294=$Z$88,AA294*AG294,0)</f>
        <v>0</v>
      </c>
      <c r="CA294" s="174">
        <f>IF(Z294=$Z$89,AA294*AG294,0)</f>
        <v>0</v>
      </c>
      <c r="CB294" s="174">
        <f>IF(Z294=$Z$90,AA294*AG294,0)</f>
        <v>0</v>
      </c>
      <c r="CC294" s="175">
        <f>IFERROR(IF(L294=$L$49,AG294*AH294*(1+AI294)*(1-AK294)*(1-AL294),0),0)</f>
        <v>0</v>
      </c>
      <c r="CD294" s="203">
        <f>IF(I294=$CD$97,1,IF(I294=$CD$100,2,IF(K294=$K$66,1,IF(K294=$K$69,1,3))))</f>
        <v>1</v>
      </c>
      <c r="CE294" s="203">
        <f t="shared" si="14"/>
        <v>1.07</v>
      </c>
      <c r="CF294" s="204">
        <f t="shared" si="54"/>
        <v>1.2353999999999998</v>
      </c>
      <c r="CG294" s="203">
        <f t="shared" si="15"/>
        <v>1.42</v>
      </c>
      <c r="CH294" s="204">
        <f t="shared" si="55"/>
        <v>1.5478000000000001</v>
      </c>
      <c r="CI294" s="203">
        <f t="shared" si="16"/>
        <v>1.7</v>
      </c>
      <c r="CJ294" s="205">
        <f t="shared" si="56"/>
        <v>1.0486</v>
      </c>
      <c r="CK294" s="205">
        <f t="shared" si="57"/>
        <v>1.148922</v>
      </c>
      <c r="CL294" s="205">
        <f t="shared" si="58"/>
        <v>1.3915999999999999</v>
      </c>
      <c r="CM294" s="205">
        <f t="shared" si="59"/>
        <v>1.501366</v>
      </c>
      <c r="CN294" s="206">
        <f t="shared" si="60"/>
        <v>1.6319999999999999</v>
      </c>
      <c r="CO294" s="204">
        <f t="shared" si="61"/>
        <v>1.006656</v>
      </c>
      <c r="CP294" s="207">
        <f t="shared" si="62"/>
        <v>-221.99744565907179</v>
      </c>
      <c r="CQ294" s="208">
        <f t="shared" si="63"/>
        <v>5806.2797563694339</v>
      </c>
      <c r="CR294" s="209">
        <f>BC294+BD294</f>
        <v>203.82630434092823</v>
      </c>
      <c r="CS294" s="49"/>
      <c r="CT294" s="49"/>
      <c r="CU294" s="49"/>
      <c r="CV294" s="49"/>
      <c r="CW294" s="49"/>
      <c r="CX294" s="49"/>
      <c r="CY294" s="49"/>
      <c r="CZ294" s="49"/>
      <c r="DA294" s="49"/>
      <c r="DB294" s="49"/>
      <c r="DC294" s="49"/>
      <c r="DD294" s="49"/>
      <c r="DE294" s="49"/>
      <c r="DF294" s="49"/>
      <c r="DG294" s="49"/>
      <c r="DH294" s="49"/>
      <c r="DI294" s="49"/>
      <c r="DJ294" s="49"/>
      <c r="DK294" s="49"/>
      <c r="DL294" s="49"/>
      <c r="DM294" s="49"/>
      <c r="DN294" s="49"/>
      <c r="DO294" s="49"/>
      <c r="DP294" s="49"/>
      <c r="DQ294" s="49"/>
      <c r="DR294" s="49"/>
      <c r="DS294" s="49"/>
      <c r="DT294" s="49"/>
      <c r="DU294" s="49"/>
      <c r="DV294" s="49"/>
      <c r="DW294" s="49"/>
      <c r="DX294" s="49"/>
      <c r="DY294" s="49"/>
      <c r="DZ294" s="49"/>
      <c r="EA294" s="49"/>
      <c r="EB294" s="49"/>
      <c r="EC294" s="49"/>
      <c r="ED294" s="49"/>
      <c r="EE294" s="49"/>
      <c r="EF294" s="49"/>
      <c r="EG294" s="49"/>
      <c r="EH294" s="49"/>
      <c r="EI294" s="49"/>
      <c r="EJ294" s="49"/>
      <c r="EK294" s="49"/>
      <c r="EL294" s="49"/>
      <c r="EM294" s="49"/>
      <c r="EN294" s="49"/>
      <c r="EO294" s="49"/>
      <c r="EP294" s="49"/>
      <c r="EQ294" s="49"/>
      <c r="ER294" s="49"/>
      <c r="ES294" s="49"/>
      <c r="ET294" s="49"/>
      <c r="EU294" s="49"/>
      <c r="EV294" s="49"/>
      <c r="EW294" s="49"/>
      <c r="EX294" s="49"/>
      <c r="EY294" s="49"/>
      <c r="EZ294" s="49"/>
      <c r="FA294" s="49"/>
    </row>
    <row r="295" spans="1:157" s="210" customFormat="1" x14ac:dyDescent="0.25">
      <c r="A295" s="113">
        <f>IF(AND('[1]Cockpit Retorno'!$E$67=Sim,Mestre!M295=Mestre!$M$98),0,1)</f>
        <v>1</v>
      </c>
      <c r="B295" s="113">
        <f>IF(AND('[1]Cockpit Retorno'!$E$67=Sim,Mestre!L295=Mestre!$L$48),0,1)</f>
        <v>1</v>
      </c>
      <c r="C295" s="113">
        <f>IF(AND('[1]Cockpit Retorno'!$E$67=Sim,Mestre!M295=Mestre!$M$97),0,1)</f>
        <v>1</v>
      </c>
      <c r="D295" s="148" t="s">
        <v>7</v>
      </c>
      <c r="E295" s="115"/>
      <c r="F295" s="116" t="s">
        <v>107</v>
      </c>
      <c r="G295" s="149"/>
      <c r="H295" s="150" t="s">
        <v>7</v>
      </c>
      <c r="I295" s="151" t="str">
        <f t="shared" si="46"/>
        <v>Mercadorias</v>
      </c>
      <c r="J295" s="150" t="s">
        <v>15</v>
      </c>
      <c r="K295" s="152" t="s">
        <v>7</v>
      </c>
      <c r="L295" s="153" t="s">
        <v>12</v>
      </c>
      <c r="M295" s="154" t="s">
        <v>446</v>
      </c>
      <c r="N295" s="155" t="s">
        <v>370</v>
      </c>
      <c r="O295" s="155" t="s">
        <v>412</v>
      </c>
      <c r="P295" s="155"/>
      <c r="Q295" s="155"/>
      <c r="R295" s="155"/>
      <c r="S295" s="156"/>
      <c r="T295" s="156"/>
      <c r="U295" s="150"/>
      <c r="V295" s="150"/>
      <c r="W295" s="150"/>
      <c r="X295" s="157" t="s">
        <v>448</v>
      </c>
      <c r="Y295" s="150"/>
      <c r="Z295" s="150"/>
      <c r="AA295" s="158"/>
      <c r="AB295" s="155"/>
      <c r="AC295" s="150"/>
      <c r="AD295" s="155"/>
      <c r="AE295" s="155"/>
      <c r="AF295" s="150"/>
      <c r="AG295" s="159">
        <v>800</v>
      </c>
      <c r="AH295" s="211">
        <v>3.6921000000000004</v>
      </c>
      <c r="AI295" s="202">
        <v>0</v>
      </c>
      <c r="AJ295" s="161">
        <v>0.12</v>
      </c>
      <c r="AK295" s="162"/>
      <c r="AL295" s="163"/>
      <c r="AM295" s="164">
        <f>(((IF(L295=$L$101,1,IF(L295=$L$47,1,0))*(AH295*(1-AK295)))*AG295)*(1-AL295))</f>
        <v>2953.6800000000003</v>
      </c>
      <c r="AN295" s="165">
        <f>IF(K295=$K$50,AM295,IF(K295=$K$53,AM295,IF(K295=$K$54,AM295,IF(K295=$K$55,AM295,IF(K295=$K$56,AM295,IF(K295=$K$57,AM295,IF(K295=$K$58,AM295,IF(K295=$K$65,AM295,IF(K295=$K$66,AM295,IF(K295=$K$67,AM295,IF(K295=$K$68,AM295,IF(K295=$K$69,AM295,IF(K295=$K$51,AM295,(AM295*(1+AI295)))))))))))))))</f>
        <v>2953.6800000000003</v>
      </c>
      <c r="AO295" s="166">
        <v>1.4</v>
      </c>
      <c r="AP295" s="160">
        <f t="shared" si="47"/>
        <v>4135.152</v>
      </c>
      <c r="AQ295" s="167">
        <f t="shared" si="53"/>
        <v>3582.9657815790124</v>
      </c>
      <c r="AR295" s="160">
        <f t="shared" si="48"/>
        <v>4135.152</v>
      </c>
      <c r="AS295" s="168">
        <f t="shared" si="49"/>
        <v>1.2612750638360886</v>
      </c>
      <c r="AT295" s="169" t="str">
        <f>K295</f>
        <v>MI</v>
      </c>
      <c r="AU295" s="169" t="str">
        <f>I295</f>
        <v>Mercadorias</v>
      </c>
      <c r="AV295" s="170"/>
      <c r="AW295" s="171">
        <f>IF(K295=$K$50,0,IF(K295=$K$53,0,IF(K295=$K$54,0,IF(K295=$K$55,0,IF(K295=$K$56,0,IF(K295=$K$57,0,IF(K295=$K$58,0,IF(K295=$K$65,0,IF(K295=$K$66,0,IF(K295=$K$67,0,IF(K295=$K$68,0,IF(K295=$K$69,0,IF(K295=$K$51,0,1))))))))))))*AM295*AI295)</f>
        <v>0</v>
      </c>
      <c r="AX295" s="172">
        <f>IF(K295=$K$50,0,IF(K295=$K$53,0,IF(K295=$K$54,0,IF(K295=$K$55,0,IF(K295=$K$56,0,IF(K295=$K$57,0,IF(K295=$K$58,0,IF(K295=$K$65,0,IF(K295=$K$66,0,IF(K295=$K$67,0,IF(K295=$K$68,0,IF(K295=$K$69,0,IF(K295=$K$51,0,1))))))))))))*AM295*AJ295*$AX$94)</f>
        <v>0</v>
      </c>
      <c r="AY295" s="172">
        <f>IF(K295=$K$53,0,IF(K295=$K$54,0,IF(K295=$K$55,0,IF(K295=$K$56,0,IF(K295=$K$58,0,IF(K295=$K$50,0,IF(K295=$K$65,0,IF(K295=$K$57,0,IF(K295=$K$51,0,AM295*$AY$102)))))))))</f>
        <v>48.735720000000008</v>
      </c>
      <c r="AZ295" s="172">
        <f>IF(K295=$K$53,0,IF(K295=$K$54,0,IF(K295=$K$55,0,IF(K295=$K$56,0,IF(K295=$K$58,0,IF(K295=$K$50,0,IF(K295=$K$65,0,IF(K295=$K$57,0,IF(K295=$K$51,0,AM295*$AZ$102)))))))))</f>
        <v>224.47968000000003</v>
      </c>
      <c r="BA295" s="172">
        <f t="shared" si="50"/>
        <v>273.21540000000005</v>
      </c>
      <c r="BB295" s="173">
        <f>IF($BA$97=1,AQ295*$BB$102,IF(K295=$K$50,0,IF(K295=$K$53,0,IF(K295=$K$54,0,IF(K295=$K$55,0,IF(K295=$K$56,0,IF(K295=$K$57,0,IF(K295=$K$58,0,IF(K295=$K$65,0,IF(K295=$K$66,0,IF(K295=$K$67,0,IF(K295=$K$68,0,IF(K295=$K$69,0,IF(K295=$K$51,0,1)))))))))))*AQ295*$BB$102)))</f>
        <v>0</v>
      </c>
      <c r="BC295" s="172">
        <f t="shared" si="51"/>
        <v>23.289277580263583</v>
      </c>
      <c r="BD295" s="172">
        <f t="shared" si="52"/>
        <v>107.48897344737037</v>
      </c>
      <c r="BE295" s="172">
        <f>IF($BE$95=I295,$BE$97,IF(I295=$BE$96,$BE$97,1))*($BE$102*AQ295)*$AZ$97</f>
        <v>0</v>
      </c>
      <c r="BF295" s="172">
        <f>IF('[1]Cockpit Retorno'!$C$65=Sim,Mestre!BA295,SUM(BB295:BE295)+(IF(K295=$K$56,AQ295*MOE_IRRF_LR,0)))</f>
        <v>130.77825102763396</v>
      </c>
      <c r="BG295" s="174">
        <f>IF(AA295&gt;0,0,IF(Z295=$Z$82,AG295*1,(IF(Z295=$Z$81,AG295*1,0))))</f>
        <v>0</v>
      </c>
      <c r="BH295" s="174">
        <f>IF(AA295&gt;0,0,IF(Z295=$Z$83,AG295*1,IF(Z295=$Z$81,AG295*1,0)))</f>
        <v>0</v>
      </c>
      <c r="BI295" s="174">
        <f>IF(AA295&gt;0,0,IF(Z295=$Z$84,AG295*1,IF(Z295=$Z$93,AG295*2,IF(Z295=$Z$100,AG295,IF(Z295=$Z$81,AG295*2,IF(Z295=$Z$80,AG295*1,IF(Z295=$Z$79,AG295*3,IF(Z295=$Z$78,AG295*2,0))))))))</f>
        <v>0</v>
      </c>
      <c r="BJ295" s="174">
        <f>IF(AA295&gt;0,0,IF(Z295=$Z$85,AG295,IF(Z295=$Z$93,AG295,IF(Z295=$Z$100,AG295,IF(Z295=$Z$81,AG295*1,IF(Z295=$Z$80,AG295*2,IF(Z295=$Z$79,AG295*2,IF(Z295=$Z$78,AG295*2,0))))))))</f>
        <v>0</v>
      </c>
      <c r="BK295" s="174">
        <f>IF(AA295&gt;0,0,IF(Z295=$Z$92,AG295,0))</f>
        <v>0</v>
      </c>
      <c r="BL295" s="174">
        <f>IF(AA295&gt;0,0,IF(Z295=$Z$91,AG295,0))</f>
        <v>0</v>
      </c>
      <c r="BM295" s="174">
        <f>IF(AA295&gt;0,0,IF(Z295=$Z$86,AG295,0))</f>
        <v>0</v>
      </c>
      <c r="BN295" s="174">
        <f>IF(AA295&gt;0,0,IF(Z295=$Z$87,AG295,0))</f>
        <v>0</v>
      </c>
      <c r="BO295" s="174">
        <f>IF(AA295&gt;0,0,IF(Z295=$Z$88,AG295,0))</f>
        <v>0</v>
      </c>
      <c r="BP295" s="174">
        <f>IF(AA295&gt;0,0,IF(Z295=$Z$89,AG295,0))</f>
        <v>0</v>
      </c>
      <c r="BQ295" s="174">
        <f>IF(AA295&gt;0,0,IF(Z295=$Z$90,AG295,0))</f>
        <v>0</v>
      </c>
      <c r="BR295" s="174">
        <f>IF(Z295=$Z$82,AA295*AG295,0)</f>
        <v>0</v>
      </c>
      <c r="BS295" s="174">
        <f>IF(Z295=$Z$83,AA295*AG295,0)</f>
        <v>0</v>
      </c>
      <c r="BT295" s="174">
        <f>IF(AA295&lt;1,0,IF(Z295=$Z$84,AA295*AG295,IF(Z295=$Z$93,"ERRO",IF(Z295=$Z$100,"ERRO",0))))</f>
        <v>0</v>
      </c>
      <c r="BU295" s="174">
        <f>IF(AA295&lt;1,0,IF(Z295=$Z$85,AA295*AG295,IF(Z295=$Z$93,"ERRO",IF(Z295=$Z$100,"ERRO",0))))</f>
        <v>0</v>
      </c>
      <c r="BV295" s="174">
        <f>IF(Z295=$Z$92,AA295*AG295,0)</f>
        <v>0</v>
      </c>
      <c r="BW295" s="174">
        <f>IF(Z295=$Z$91,AA295*AG295,0)</f>
        <v>0</v>
      </c>
      <c r="BX295" s="174">
        <f>IF(Z295=$Z$86,AA295*AG295,0)</f>
        <v>0</v>
      </c>
      <c r="BY295" s="174">
        <f>IF(Z295=$Z$87,AA295*AG295,0)</f>
        <v>0</v>
      </c>
      <c r="BZ295" s="174">
        <f>IF(Z295=$Z$88,AA295*AG295,0)</f>
        <v>0</v>
      </c>
      <c r="CA295" s="174">
        <f>IF(Z295=$Z$89,AA295*AG295,0)</f>
        <v>0</v>
      </c>
      <c r="CB295" s="174">
        <f>IF(Z295=$Z$90,AA295*AG295,0)</f>
        <v>0</v>
      </c>
      <c r="CC295" s="175">
        <f>IFERROR(IF(L295=$L$49,AG295*AH295*(1+AI295)*(1-AK295)*(1-AL295),0),0)</f>
        <v>0</v>
      </c>
      <c r="CD295" s="203">
        <f>IF(I295=$CD$97,1,IF(I295=$CD$100,2,IF(K295=$K$66,1,IF(K295=$K$69,1,3))))</f>
        <v>1</v>
      </c>
      <c r="CE295" s="203">
        <f t="shared" si="14"/>
        <v>1.07</v>
      </c>
      <c r="CF295" s="204">
        <f t="shared" si="54"/>
        <v>1.2353999999999998</v>
      </c>
      <c r="CG295" s="203">
        <f t="shared" si="15"/>
        <v>1.42</v>
      </c>
      <c r="CH295" s="204">
        <f t="shared" si="55"/>
        <v>1.5478000000000001</v>
      </c>
      <c r="CI295" s="203">
        <f t="shared" si="16"/>
        <v>1.7</v>
      </c>
      <c r="CJ295" s="205">
        <f t="shared" si="56"/>
        <v>1.0486</v>
      </c>
      <c r="CK295" s="205">
        <f t="shared" si="57"/>
        <v>1.148922</v>
      </c>
      <c r="CL295" s="205">
        <f t="shared" si="58"/>
        <v>1.3915999999999999</v>
      </c>
      <c r="CM295" s="205">
        <f t="shared" si="59"/>
        <v>1.501366</v>
      </c>
      <c r="CN295" s="206">
        <f t="shared" si="60"/>
        <v>1.6319999999999999</v>
      </c>
      <c r="CO295" s="204">
        <f t="shared" si="61"/>
        <v>1.006656</v>
      </c>
      <c r="CP295" s="207">
        <f t="shared" si="62"/>
        <v>-142.43714897236609</v>
      </c>
      <c r="CQ295" s="208">
        <f t="shared" si="63"/>
        <v>3725.4029305513786</v>
      </c>
      <c r="CR295" s="209">
        <f>BC295+BD295</f>
        <v>130.77825102763396</v>
      </c>
      <c r="CS295" s="49"/>
      <c r="CT295" s="49"/>
      <c r="CU295" s="49"/>
      <c r="CV295" s="49"/>
      <c r="CW295" s="49"/>
      <c r="CX295" s="49"/>
      <c r="CY295" s="49"/>
      <c r="CZ295" s="49"/>
      <c r="DA295" s="49"/>
      <c r="DB295" s="49"/>
      <c r="DC295" s="49"/>
      <c r="DD295" s="49"/>
      <c r="DE295" s="49"/>
      <c r="DF295" s="49"/>
      <c r="DG295" s="49"/>
      <c r="DH295" s="49"/>
      <c r="DI295" s="49"/>
      <c r="DJ295" s="49"/>
      <c r="DK295" s="49"/>
      <c r="DL295" s="49"/>
      <c r="DM295" s="49"/>
      <c r="DN295" s="49"/>
      <c r="DO295" s="49"/>
      <c r="DP295" s="49"/>
      <c r="DQ295" s="49"/>
      <c r="DR295" s="49"/>
      <c r="DS295" s="49"/>
      <c r="DT295" s="49"/>
      <c r="DU295" s="49"/>
      <c r="DV295" s="49"/>
      <c r="DW295" s="49"/>
      <c r="DX295" s="49"/>
      <c r="DY295" s="49"/>
      <c r="DZ295" s="49"/>
      <c r="EA295" s="49"/>
      <c r="EB295" s="49"/>
      <c r="EC295" s="49"/>
      <c r="ED295" s="49"/>
      <c r="EE295" s="49"/>
      <c r="EF295" s="49"/>
      <c r="EG295" s="49"/>
      <c r="EH295" s="49"/>
      <c r="EI295" s="49"/>
      <c r="EJ295" s="49"/>
      <c r="EK295" s="49"/>
      <c r="EL295" s="49"/>
      <c r="EM295" s="49"/>
      <c r="EN295" s="49"/>
      <c r="EO295" s="49"/>
      <c r="EP295" s="49"/>
      <c r="EQ295" s="49"/>
      <c r="ER295" s="49"/>
      <c r="ES295" s="49"/>
      <c r="ET295" s="49"/>
      <c r="EU295" s="49"/>
      <c r="EV295" s="49"/>
      <c r="EW295" s="49"/>
      <c r="EX295" s="49"/>
      <c r="EY295" s="49"/>
      <c r="EZ295" s="49"/>
      <c r="FA295" s="49"/>
    </row>
    <row r="296" spans="1:157" s="210" customFormat="1" x14ac:dyDescent="0.25">
      <c r="A296" s="113">
        <f>IF(AND('[1]Cockpit Retorno'!$E$67=Sim,Mestre!M296=Mestre!$M$98),0,1)</f>
        <v>1</v>
      </c>
      <c r="B296" s="113">
        <f>IF(AND('[1]Cockpit Retorno'!$E$67=Sim,Mestre!L296=Mestre!$L$48),0,1)</f>
        <v>1</v>
      </c>
      <c r="C296" s="113">
        <f>IF(AND('[1]Cockpit Retorno'!$E$67=Sim,Mestre!M296=Mestre!$M$97),0,1)</f>
        <v>1</v>
      </c>
      <c r="D296" s="148" t="s">
        <v>7</v>
      </c>
      <c r="E296" s="115"/>
      <c r="F296" s="116" t="s">
        <v>107</v>
      </c>
      <c r="G296" s="149"/>
      <c r="H296" s="150" t="s">
        <v>7</v>
      </c>
      <c r="I296" s="151" t="str">
        <f t="shared" si="46"/>
        <v>Mercadorias</v>
      </c>
      <c r="J296" s="150" t="s">
        <v>15</v>
      </c>
      <c r="K296" s="152" t="s">
        <v>7</v>
      </c>
      <c r="L296" s="153" t="s">
        <v>12</v>
      </c>
      <c r="M296" s="154" t="s">
        <v>446</v>
      </c>
      <c r="N296" s="155" t="s">
        <v>370</v>
      </c>
      <c r="O296" s="155" t="s">
        <v>412</v>
      </c>
      <c r="P296" s="155"/>
      <c r="Q296" s="155"/>
      <c r="R296" s="155"/>
      <c r="S296" s="156"/>
      <c r="T296" s="156"/>
      <c r="U296" s="150"/>
      <c r="V296" s="150"/>
      <c r="W296" s="150"/>
      <c r="X296" s="157" t="s">
        <v>449</v>
      </c>
      <c r="Y296" s="150"/>
      <c r="Z296" s="150"/>
      <c r="AA296" s="158"/>
      <c r="AB296" s="155"/>
      <c r="AC296" s="150"/>
      <c r="AD296" s="155"/>
      <c r="AE296" s="155"/>
      <c r="AF296" s="150"/>
      <c r="AG296" s="159">
        <v>255</v>
      </c>
      <c r="AH296" s="211">
        <v>4.6220999999999997</v>
      </c>
      <c r="AI296" s="202">
        <v>0</v>
      </c>
      <c r="AJ296" s="161">
        <v>0.12</v>
      </c>
      <c r="AK296" s="162"/>
      <c r="AL296" s="163"/>
      <c r="AM296" s="164">
        <f>(((IF(L296=$L$101,1,IF(L296=$L$47,1,0))*(AH296*(1-AK296)))*AG296)*(1-AL296))</f>
        <v>1178.6354999999999</v>
      </c>
      <c r="AN296" s="165">
        <f>IF(K296=$K$50,AM296,IF(K296=$K$53,AM296,IF(K296=$K$54,AM296,IF(K296=$K$55,AM296,IF(K296=$K$56,AM296,IF(K296=$K$57,AM296,IF(K296=$K$58,AM296,IF(K296=$K$65,AM296,IF(K296=$K$66,AM296,IF(K296=$K$67,AM296,IF(K296=$K$68,AM296,IF(K296=$K$69,AM296,IF(K296=$K$51,AM296,(AM296*(1+AI296)))))))))))))))</f>
        <v>1178.6354999999999</v>
      </c>
      <c r="AO296" s="166">
        <v>1.4</v>
      </c>
      <c r="AP296" s="160">
        <f t="shared" si="47"/>
        <v>1650.0896999999998</v>
      </c>
      <c r="AQ296" s="167">
        <f t="shared" si="53"/>
        <v>1429.7454922179347</v>
      </c>
      <c r="AR296" s="160">
        <f t="shared" si="48"/>
        <v>1650.0896999999998</v>
      </c>
      <c r="AS296" s="168">
        <f t="shared" si="49"/>
        <v>1.2612750638360886</v>
      </c>
      <c r="AT296" s="169" t="str">
        <f>K296</f>
        <v>MI</v>
      </c>
      <c r="AU296" s="169" t="str">
        <f>I296</f>
        <v>Mercadorias</v>
      </c>
      <c r="AV296" s="170"/>
      <c r="AW296" s="171">
        <f>IF(K296=$K$50,0,IF(K296=$K$53,0,IF(K296=$K$54,0,IF(K296=$K$55,0,IF(K296=$K$56,0,IF(K296=$K$57,0,IF(K296=$K$58,0,IF(K296=$K$65,0,IF(K296=$K$66,0,IF(K296=$K$67,0,IF(K296=$K$68,0,IF(K296=$K$69,0,IF(K296=$K$51,0,1))))))))))))*AM296*AI296)</f>
        <v>0</v>
      </c>
      <c r="AX296" s="172">
        <f>IF(K296=$K$50,0,IF(K296=$K$53,0,IF(K296=$K$54,0,IF(K296=$K$55,0,IF(K296=$K$56,0,IF(K296=$K$57,0,IF(K296=$K$58,0,IF(K296=$K$65,0,IF(K296=$K$66,0,IF(K296=$K$67,0,IF(K296=$K$68,0,IF(K296=$K$69,0,IF(K296=$K$51,0,1))))))))))))*AM296*AJ296*$AX$94)</f>
        <v>0</v>
      </c>
      <c r="AY296" s="172">
        <f>IF(K296=$K$53,0,IF(K296=$K$54,0,IF(K296=$K$55,0,IF(K296=$K$56,0,IF(K296=$K$58,0,IF(K296=$K$50,0,IF(K296=$K$65,0,IF(K296=$K$57,0,IF(K296=$K$51,0,AM296*$AY$102)))))))))</f>
        <v>19.447485749999998</v>
      </c>
      <c r="AZ296" s="172">
        <f>IF(K296=$K$53,0,IF(K296=$K$54,0,IF(K296=$K$55,0,IF(K296=$K$56,0,IF(K296=$K$58,0,IF(K296=$K$50,0,IF(K296=$K$65,0,IF(K296=$K$57,0,IF(K296=$K$51,0,AM296*$AZ$102)))))))))</f>
        <v>89.576297999999994</v>
      </c>
      <c r="BA296" s="172">
        <f t="shared" si="50"/>
        <v>109.02378374999999</v>
      </c>
      <c r="BB296" s="173">
        <f>IF($BA$97=1,AQ296*$BB$102,IF(K296=$K$50,0,IF(K296=$K$53,0,IF(K296=$K$54,0,IF(K296=$K$55,0,IF(K296=$K$56,0,IF(K296=$K$57,0,IF(K296=$K$58,0,IF(K296=$K$65,0,IF(K296=$K$66,0,IF(K296=$K$67,0,IF(K296=$K$68,0,IF(K296=$K$69,0,IF(K296=$K$51,0,1)))))))))))*AQ296*$BB$102)))</f>
        <v>0</v>
      </c>
      <c r="BC296" s="172">
        <f t="shared" si="51"/>
        <v>9.2933456994165766</v>
      </c>
      <c r="BD296" s="172">
        <f t="shared" si="52"/>
        <v>42.892364766538037</v>
      </c>
      <c r="BE296" s="172">
        <f>IF($BE$95=I296,$BE$97,IF(I296=$BE$96,$BE$97,1))*($BE$102*AQ296)*$AZ$97</f>
        <v>0</v>
      </c>
      <c r="BF296" s="172">
        <f>IF('[1]Cockpit Retorno'!$C$65=Sim,Mestre!BA296,SUM(BB296:BE296)+(IF(K296=$K$56,AQ296*MOE_IRRF_LR,0)))</f>
        <v>52.185710465954614</v>
      </c>
      <c r="BG296" s="174">
        <f>IF(AA296&gt;0,0,IF(Z296=$Z$82,AG296*1,(IF(Z296=$Z$81,AG296*1,0))))</f>
        <v>0</v>
      </c>
      <c r="BH296" s="174">
        <f>IF(AA296&gt;0,0,IF(Z296=$Z$83,AG296*1,IF(Z296=$Z$81,AG296*1,0)))</f>
        <v>0</v>
      </c>
      <c r="BI296" s="174">
        <f>IF(AA296&gt;0,0,IF(Z296=$Z$84,AG296*1,IF(Z296=$Z$93,AG296*2,IF(Z296=$Z$100,AG296,IF(Z296=$Z$81,AG296*2,IF(Z296=$Z$80,AG296*1,IF(Z296=$Z$79,AG296*3,IF(Z296=$Z$78,AG296*2,0))))))))</f>
        <v>0</v>
      </c>
      <c r="BJ296" s="174">
        <f>IF(AA296&gt;0,0,IF(Z296=$Z$85,AG296,IF(Z296=$Z$93,AG296,IF(Z296=$Z$100,AG296,IF(Z296=$Z$81,AG296*1,IF(Z296=$Z$80,AG296*2,IF(Z296=$Z$79,AG296*2,IF(Z296=$Z$78,AG296*2,0))))))))</f>
        <v>0</v>
      </c>
      <c r="BK296" s="174">
        <f>IF(AA296&gt;0,0,IF(Z296=$Z$92,AG296,0))</f>
        <v>0</v>
      </c>
      <c r="BL296" s="174">
        <f>IF(AA296&gt;0,0,IF(Z296=$Z$91,AG296,0))</f>
        <v>0</v>
      </c>
      <c r="BM296" s="174">
        <f>IF(AA296&gt;0,0,IF(Z296=$Z$86,AG296,0))</f>
        <v>0</v>
      </c>
      <c r="BN296" s="174">
        <f>IF(AA296&gt;0,0,IF(Z296=$Z$87,AG296,0))</f>
        <v>0</v>
      </c>
      <c r="BO296" s="174">
        <f>IF(AA296&gt;0,0,IF(Z296=$Z$88,AG296,0))</f>
        <v>0</v>
      </c>
      <c r="BP296" s="174">
        <f>IF(AA296&gt;0,0,IF(Z296=$Z$89,AG296,0))</f>
        <v>0</v>
      </c>
      <c r="BQ296" s="174">
        <f>IF(AA296&gt;0,0,IF(Z296=$Z$90,AG296,0))</f>
        <v>0</v>
      </c>
      <c r="BR296" s="174">
        <f>IF(Z296=$Z$82,AA296*AG296,0)</f>
        <v>0</v>
      </c>
      <c r="BS296" s="174">
        <f>IF(Z296=$Z$83,AA296*AG296,0)</f>
        <v>0</v>
      </c>
      <c r="BT296" s="174">
        <f>IF(AA296&lt;1,0,IF(Z296=$Z$84,AA296*AG296,IF(Z296=$Z$93,"ERRO",IF(Z296=$Z$100,"ERRO",0))))</f>
        <v>0</v>
      </c>
      <c r="BU296" s="174">
        <f>IF(AA296&lt;1,0,IF(Z296=$Z$85,AA296*AG296,IF(Z296=$Z$93,"ERRO",IF(Z296=$Z$100,"ERRO",0))))</f>
        <v>0</v>
      </c>
      <c r="BV296" s="174">
        <f>IF(Z296=$Z$92,AA296*AG296,0)</f>
        <v>0</v>
      </c>
      <c r="BW296" s="174">
        <f>IF(Z296=$Z$91,AA296*AG296,0)</f>
        <v>0</v>
      </c>
      <c r="BX296" s="174">
        <f>IF(Z296=$Z$86,AA296*AG296,0)</f>
        <v>0</v>
      </c>
      <c r="BY296" s="174">
        <f>IF(Z296=$Z$87,AA296*AG296,0)</f>
        <v>0</v>
      </c>
      <c r="BZ296" s="174">
        <f>IF(Z296=$Z$88,AA296*AG296,0)</f>
        <v>0</v>
      </c>
      <c r="CA296" s="174">
        <f>IF(Z296=$Z$89,AA296*AG296,0)</f>
        <v>0</v>
      </c>
      <c r="CB296" s="174">
        <f>IF(Z296=$Z$90,AA296*AG296,0)</f>
        <v>0</v>
      </c>
      <c r="CC296" s="175">
        <f>IFERROR(IF(L296=$L$49,AG296*AH296*(1+AI296)*(1-AK296)*(1-AL296),0),0)</f>
        <v>0</v>
      </c>
      <c r="CD296" s="203">
        <f>IF(I296=$CD$97,1,IF(I296=$CD$100,2,IF(K296=$K$66,1,IF(K296=$K$69,1,3))))</f>
        <v>1</v>
      </c>
      <c r="CE296" s="203">
        <f t="shared" si="14"/>
        <v>1.07</v>
      </c>
      <c r="CF296" s="204">
        <f t="shared" si="54"/>
        <v>1.2353999999999998</v>
      </c>
      <c r="CG296" s="203">
        <f t="shared" si="15"/>
        <v>1.42</v>
      </c>
      <c r="CH296" s="204">
        <f t="shared" si="55"/>
        <v>1.5478000000000001</v>
      </c>
      <c r="CI296" s="203">
        <f t="shared" si="16"/>
        <v>1.7</v>
      </c>
      <c r="CJ296" s="205">
        <f t="shared" si="56"/>
        <v>1.0486</v>
      </c>
      <c r="CK296" s="205">
        <f t="shared" si="57"/>
        <v>1.148922</v>
      </c>
      <c r="CL296" s="205">
        <f t="shared" si="58"/>
        <v>1.3915999999999999</v>
      </c>
      <c r="CM296" s="205">
        <f t="shared" si="59"/>
        <v>1.501366</v>
      </c>
      <c r="CN296" s="206">
        <f t="shared" si="60"/>
        <v>1.6319999999999999</v>
      </c>
      <c r="CO296" s="204">
        <f t="shared" si="61"/>
        <v>1.006656</v>
      </c>
      <c r="CP296" s="207">
        <f t="shared" si="62"/>
        <v>-56.838073284045379</v>
      </c>
      <c r="CQ296" s="208">
        <f t="shared" si="63"/>
        <v>1486.58356550198</v>
      </c>
      <c r="CR296" s="209">
        <f>BC296+BD296</f>
        <v>52.185710465954614</v>
      </c>
      <c r="CS296" s="49"/>
      <c r="CT296" s="49"/>
      <c r="CU296" s="49"/>
      <c r="CV296" s="49"/>
      <c r="CW296" s="49"/>
      <c r="CX296" s="49"/>
      <c r="CY296" s="49"/>
      <c r="CZ296" s="49"/>
      <c r="DA296" s="49"/>
      <c r="DB296" s="49"/>
      <c r="DC296" s="49"/>
      <c r="DD296" s="49"/>
      <c r="DE296" s="49"/>
      <c r="DF296" s="49"/>
      <c r="DG296" s="49"/>
      <c r="DH296" s="49"/>
      <c r="DI296" s="49"/>
      <c r="DJ296" s="49"/>
      <c r="DK296" s="49"/>
      <c r="DL296" s="49"/>
      <c r="DM296" s="49"/>
      <c r="DN296" s="49"/>
      <c r="DO296" s="49"/>
      <c r="DP296" s="49"/>
      <c r="DQ296" s="49"/>
      <c r="DR296" s="49"/>
      <c r="DS296" s="49"/>
      <c r="DT296" s="49"/>
      <c r="DU296" s="49"/>
      <c r="DV296" s="49"/>
      <c r="DW296" s="49"/>
      <c r="DX296" s="49"/>
      <c r="DY296" s="49"/>
      <c r="DZ296" s="49"/>
      <c r="EA296" s="49"/>
      <c r="EB296" s="49"/>
      <c r="EC296" s="49"/>
      <c r="ED296" s="49"/>
      <c r="EE296" s="49"/>
      <c r="EF296" s="49"/>
      <c r="EG296" s="49"/>
      <c r="EH296" s="49"/>
      <c r="EI296" s="49"/>
      <c r="EJ296" s="49"/>
      <c r="EK296" s="49"/>
      <c r="EL296" s="49"/>
      <c r="EM296" s="49"/>
      <c r="EN296" s="49"/>
      <c r="EO296" s="49"/>
      <c r="EP296" s="49"/>
      <c r="EQ296" s="49"/>
      <c r="ER296" s="49"/>
      <c r="ES296" s="49"/>
      <c r="ET296" s="49"/>
      <c r="EU296" s="49"/>
      <c r="EV296" s="49"/>
      <c r="EW296" s="49"/>
      <c r="EX296" s="49"/>
      <c r="EY296" s="49"/>
      <c r="EZ296" s="49"/>
      <c r="FA296" s="49"/>
    </row>
    <row r="297" spans="1:157" s="210" customFormat="1" ht="51" x14ac:dyDescent="0.25">
      <c r="A297" s="113">
        <f>IF(AND('[1]Cockpit Retorno'!$E$67=Sim,Mestre!M297=Mestre!$M$98),0,1)</f>
        <v>1</v>
      </c>
      <c r="B297" s="113">
        <f>IF(AND('[1]Cockpit Retorno'!$E$67=Sim,Mestre!L297=Mestre!$L$48),0,1)</f>
        <v>1</v>
      </c>
      <c r="C297" s="113">
        <f>IF(AND('[1]Cockpit Retorno'!$E$67=Sim,Mestre!M297=Mestre!$M$97),0,1)</f>
        <v>1</v>
      </c>
      <c r="D297" s="148" t="s">
        <v>7</v>
      </c>
      <c r="E297" s="115"/>
      <c r="F297" s="116" t="s">
        <v>107</v>
      </c>
      <c r="G297" s="149">
        <v>12</v>
      </c>
      <c r="H297" s="150" t="s">
        <v>7</v>
      </c>
      <c r="I297" s="151" t="str">
        <f t="shared" ref="I297:I360" si="65">VLOOKUP(K297,$N$74:$O$95,2)</f>
        <v>Mercadorias</v>
      </c>
      <c r="J297" s="150" t="s">
        <v>15</v>
      </c>
      <c r="K297" s="152" t="s">
        <v>7</v>
      </c>
      <c r="L297" s="153" t="s">
        <v>21</v>
      </c>
      <c r="M297" s="154" t="s">
        <v>414</v>
      </c>
      <c r="N297" s="155" t="s">
        <v>450</v>
      </c>
      <c r="O297" s="155" t="s">
        <v>412</v>
      </c>
      <c r="P297" s="155" t="s">
        <v>43</v>
      </c>
      <c r="Q297" s="155" t="s">
        <v>43</v>
      </c>
      <c r="R297" s="155" t="s">
        <v>43</v>
      </c>
      <c r="S297" s="156" t="s">
        <v>43</v>
      </c>
      <c r="T297" s="156" t="s">
        <v>43</v>
      </c>
      <c r="U297" s="150" t="s">
        <v>43</v>
      </c>
      <c r="V297" s="150" t="s">
        <v>43</v>
      </c>
      <c r="W297" s="150" t="s">
        <v>43</v>
      </c>
      <c r="X297" s="157" t="s">
        <v>451</v>
      </c>
      <c r="Y297" s="150" t="s">
        <v>43</v>
      </c>
      <c r="Z297" s="150" t="s">
        <v>43</v>
      </c>
      <c r="AA297" s="158">
        <v>0</v>
      </c>
      <c r="AB297" s="155" t="s">
        <v>43</v>
      </c>
      <c r="AC297" s="150" t="s">
        <v>43</v>
      </c>
      <c r="AD297" s="155" t="s">
        <v>43</v>
      </c>
      <c r="AE297" s="155"/>
      <c r="AF297" s="150" t="s">
        <v>43</v>
      </c>
      <c r="AG297" s="159">
        <v>690</v>
      </c>
      <c r="AH297" s="211">
        <v>132.04140000000001</v>
      </c>
      <c r="AI297" s="202">
        <v>0</v>
      </c>
      <c r="AJ297" s="161">
        <v>0.12</v>
      </c>
      <c r="AK297" s="162"/>
      <c r="AL297" s="163"/>
      <c r="AM297" s="164">
        <f>(((IF(L297=$L$101,1,IF(L297=$L$47,1,0))*(AH297*(1-AK297)))*AG297)*(1-AL297))</f>
        <v>0</v>
      </c>
      <c r="AN297" s="165">
        <f>IF(K297=$K$50,AM297,IF(K297=$K$53,AM297,IF(K297=$K$54,AM297,IF(K297=$K$55,AM297,IF(K297=$K$56,AM297,IF(K297=$K$57,AM297,IF(K297=$K$58,AM297,IF(K297=$K$65,AM297,IF(K297=$K$66,AM297,IF(K297=$K$67,AM297,IF(K297=$K$68,AM297,IF(K297=$K$69,AM297,IF(K297=$K$51,AM297,(AM297*(1+AI297)))))))))))))))</f>
        <v>0</v>
      </c>
      <c r="AO297" s="166">
        <v>1.4</v>
      </c>
      <c r="AP297" s="160">
        <f t="shared" ref="AP297:AP360" si="66">AM297*AO297</f>
        <v>0</v>
      </c>
      <c r="AQ297" s="167">
        <f t="shared" si="53"/>
        <v>0</v>
      </c>
      <c r="AR297" s="160">
        <f t="shared" ref="AR297:AR360" si="67">AO297*AN297</f>
        <v>0</v>
      </c>
      <c r="AS297" s="168">
        <f t="shared" ref="AS297:AS360" si="68">IFERROR(IF($AX$94=0,(CQ297/AN297),CQ297/AM297),0)</f>
        <v>0</v>
      </c>
      <c r="AT297" s="169" t="str">
        <f>K297</f>
        <v>MI</v>
      </c>
      <c r="AU297" s="169" t="str">
        <f>I297</f>
        <v>Mercadorias</v>
      </c>
      <c r="AV297" s="170"/>
      <c r="AW297" s="171">
        <f>IF(K297=$K$50,0,IF(K297=$K$53,0,IF(K297=$K$54,0,IF(K297=$K$55,0,IF(K297=$K$56,0,IF(K297=$K$57,0,IF(K297=$K$58,0,IF(K297=$K$65,0,IF(K297=$K$66,0,IF(K297=$K$67,0,IF(K297=$K$68,0,IF(K297=$K$69,0,IF(K297=$K$51,0,1))))))))))))*AM297*AI297)</f>
        <v>0</v>
      </c>
      <c r="AX297" s="172">
        <f>IF(K297=$K$50,0,IF(K297=$K$53,0,IF(K297=$K$54,0,IF(K297=$K$55,0,IF(K297=$K$56,0,IF(K297=$K$57,0,IF(K297=$K$58,0,IF(K297=$K$65,0,IF(K297=$K$66,0,IF(K297=$K$67,0,IF(K297=$K$68,0,IF(K297=$K$69,0,IF(K297=$K$51,0,1))))))))))))*AM297*AJ297*$AX$94)</f>
        <v>0</v>
      </c>
      <c r="AY297" s="172">
        <f>IF(K297=$K$53,0,IF(K297=$K$54,0,IF(K297=$K$55,0,IF(K297=$K$56,0,IF(K297=$K$58,0,IF(K297=$K$50,0,IF(K297=$K$65,0,IF(K297=$K$57,0,IF(K297=$K$51,0,AM297*$AY$102)))))))))</f>
        <v>0</v>
      </c>
      <c r="AZ297" s="172">
        <f>IF(K297=$K$53,0,IF(K297=$K$54,0,IF(K297=$K$55,0,IF(K297=$K$56,0,IF(K297=$K$58,0,IF(K297=$K$50,0,IF(K297=$K$65,0,IF(K297=$K$57,0,IF(K297=$K$51,0,AM297*$AZ$102)))))))))</f>
        <v>0</v>
      </c>
      <c r="BA297" s="172">
        <f t="shared" ref="BA297:BA360" si="69">AZ297+AY297+AX297</f>
        <v>0</v>
      </c>
      <c r="BB297" s="173">
        <f>IF($BA$97=1,AQ297*$BB$102,IF(K297=$K$50,0,IF(K297=$K$53,0,IF(K297=$K$54,0,IF(K297=$K$55,0,IF(K297=$K$56,0,IF(K297=$K$57,0,IF(K297=$K$58,0,IF(K297=$K$65,0,IF(K297=$K$66,0,IF(K297=$K$67,0,IF(K297=$K$68,0,IF(K297=$K$69,0,IF(K297=$K$51,0,1)))))))))))*AQ297*$BB$102)))</f>
        <v>0</v>
      </c>
      <c r="BC297" s="172">
        <f t="shared" ref="BC297:BC360" si="70">AQ297*$BC$102</f>
        <v>0</v>
      </c>
      <c r="BD297" s="172">
        <f t="shared" ref="BD297:BD360" si="71">$BD$102*AQ297</f>
        <v>0</v>
      </c>
      <c r="BE297" s="172">
        <f>IF($BE$95=I297,$BE$97,IF(I297=$BE$96,$BE$97,1))*($BE$102*AQ297)*$AZ$97</f>
        <v>0</v>
      </c>
      <c r="BF297" s="172">
        <f>IF('[1]Cockpit Retorno'!$C$65=Sim,Mestre!BA297,SUM(BB297:BE297)+(IF(K297=$K$56,AQ297*MOE_IRRF_LR,0)))</f>
        <v>0</v>
      </c>
      <c r="BG297" s="174">
        <f>IF(AA297&gt;0,0,IF(Z297=$Z$82,AG297*1,(IF(Z297=$Z$81,AG297*1,0))))</f>
        <v>0</v>
      </c>
      <c r="BH297" s="174">
        <f>IF(AA297&gt;0,0,IF(Z297=$Z$83,AG297*1,IF(Z297=$Z$81,AG297*1,0)))</f>
        <v>0</v>
      </c>
      <c r="BI297" s="174">
        <f>IF(AA297&gt;0,0,IF(Z297=$Z$84,AG297*1,IF(Z297=$Z$93,AG297*2,IF(Z297=$Z$100,AG297,IF(Z297=$Z$81,AG297*2,IF(Z297=$Z$80,AG297*1,IF(Z297=$Z$79,AG297*3,IF(Z297=$Z$78,AG297*2,0))))))))</f>
        <v>0</v>
      </c>
      <c r="BJ297" s="174">
        <f>IF(AA297&gt;0,0,IF(Z297=$Z$85,AG297,IF(Z297=$Z$93,AG297,IF(Z297=$Z$100,AG297,IF(Z297=$Z$81,AG297*1,IF(Z297=$Z$80,AG297*2,IF(Z297=$Z$79,AG297*2,IF(Z297=$Z$78,AG297*2,0))))))))</f>
        <v>0</v>
      </c>
      <c r="BK297" s="174">
        <f>IF(AA297&gt;0,0,IF(Z297=$Z$92,AG297,0))</f>
        <v>0</v>
      </c>
      <c r="BL297" s="174">
        <f>IF(AA297&gt;0,0,IF(Z297=$Z$91,AG297,0))</f>
        <v>0</v>
      </c>
      <c r="BM297" s="174">
        <f>IF(AA297&gt;0,0,IF(Z297=$Z$86,AG297,0))</f>
        <v>0</v>
      </c>
      <c r="BN297" s="174">
        <f>IF(AA297&gt;0,0,IF(Z297=$Z$87,AG297,0))</f>
        <v>0</v>
      </c>
      <c r="BO297" s="174">
        <f>IF(AA297&gt;0,0,IF(Z297=$Z$88,AG297,0))</f>
        <v>0</v>
      </c>
      <c r="BP297" s="174">
        <f>IF(AA297&gt;0,0,IF(Z297=$Z$89,AG297,0))</f>
        <v>0</v>
      </c>
      <c r="BQ297" s="174">
        <f>IF(AA297&gt;0,0,IF(Z297=$Z$90,AG297,0))</f>
        <v>0</v>
      </c>
      <c r="BR297" s="174">
        <f>IF(Z297=$Z$82,AA297*AG297,0)</f>
        <v>0</v>
      </c>
      <c r="BS297" s="174">
        <f>IF(Z297=$Z$83,AA297*AG297,0)</f>
        <v>0</v>
      </c>
      <c r="BT297" s="174">
        <f>IF(AA297&lt;1,0,IF(Z297=$Z$84,AA297*AG297,IF(Z297=$Z$93,"ERRO",IF(Z297=$Z$100,"ERRO",0))))</f>
        <v>0</v>
      </c>
      <c r="BU297" s="174">
        <f>IF(AA297&lt;1,0,IF(Z297=$Z$85,AA297*AG297,IF(Z297=$Z$93,"ERRO",IF(Z297=$Z$100,"ERRO",0))))</f>
        <v>0</v>
      </c>
      <c r="BV297" s="174">
        <f>IF(Z297=$Z$92,AA297*AG297,0)</f>
        <v>0</v>
      </c>
      <c r="BW297" s="174">
        <f>IF(Z297=$Z$91,AA297*AG297,0)</f>
        <v>0</v>
      </c>
      <c r="BX297" s="174">
        <f>IF(Z297=$Z$86,AA297*AG297,0)</f>
        <v>0</v>
      </c>
      <c r="BY297" s="174">
        <f>IF(Z297=$Z$87,AA297*AG297,0)</f>
        <v>0</v>
      </c>
      <c r="BZ297" s="174">
        <f>IF(Z297=$Z$88,AA297*AG297,0)</f>
        <v>0</v>
      </c>
      <c r="CA297" s="174">
        <f>IF(Z297=$Z$89,AA297*AG297,0)</f>
        <v>0</v>
      </c>
      <c r="CB297" s="174">
        <f>IF(Z297=$Z$90,AA297*AG297,0)</f>
        <v>0</v>
      </c>
      <c r="CC297" s="175">
        <f>IFERROR(IF(L297=$L$49,AG297*AH297*(1+AI297)*(1-AK297)*(1-AL297),0),0)</f>
        <v>91108.566000000006</v>
      </c>
      <c r="CD297" s="203">
        <f>IF(I297=$CD$97,1,IF(I297=$CD$100,2,IF(K297=$K$66,1,IF(K297=$K$69,1,3))))</f>
        <v>1</v>
      </c>
      <c r="CE297" s="203">
        <f t="shared" si="14"/>
        <v>1.07</v>
      </c>
      <c r="CF297" s="204">
        <f t="shared" si="54"/>
        <v>1.2353999999999998</v>
      </c>
      <c r="CG297" s="203">
        <f t="shared" si="15"/>
        <v>1.42</v>
      </c>
      <c r="CH297" s="204">
        <f t="shared" si="55"/>
        <v>1.5478000000000001</v>
      </c>
      <c r="CI297" s="203">
        <f t="shared" si="16"/>
        <v>1.7</v>
      </c>
      <c r="CJ297" s="205">
        <f t="shared" si="56"/>
        <v>1.0486</v>
      </c>
      <c r="CK297" s="205">
        <f t="shared" si="57"/>
        <v>1.148922</v>
      </c>
      <c r="CL297" s="205">
        <f t="shared" si="58"/>
        <v>1.3915999999999999</v>
      </c>
      <c r="CM297" s="205">
        <f t="shared" si="59"/>
        <v>1.501366</v>
      </c>
      <c r="CN297" s="206">
        <f t="shared" si="60"/>
        <v>1.6319999999999999</v>
      </c>
      <c r="CO297" s="204">
        <f t="shared" si="61"/>
        <v>1.006656</v>
      </c>
      <c r="CP297" s="207">
        <f t="shared" si="62"/>
        <v>0</v>
      </c>
      <c r="CQ297" s="208">
        <f t="shared" si="63"/>
        <v>0</v>
      </c>
      <c r="CR297" s="209">
        <f t="shared" ref="CR297:CR360" si="72">BC297+BD297</f>
        <v>0</v>
      </c>
      <c r="CS297" s="49"/>
      <c r="CT297" s="49"/>
      <c r="CU297" s="49"/>
      <c r="CV297" s="49"/>
      <c r="CW297" s="49"/>
      <c r="CX297" s="49"/>
      <c r="CY297" s="49"/>
      <c r="CZ297" s="49"/>
      <c r="DA297" s="49"/>
      <c r="DB297" s="49"/>
      <c r="DC297" s="49"/>
      <c r="DD297" s="49"/>
      <c r="DE297" s="49"/>
      <c r="DF297" s="49"/>
      <c r="DG297" s="49"/>
      <c r="DH297" s="49"/>
      <c r="DI297" s="49"/>
      <c r="DJ297" s="49"/>
      <c r="DK297" s="49"/>
      <c r="DL297" s="49"/>
      <c r="DM297" s="49"/>
      <c r="DN297" s="49"/>
      <c r="DO297" s="49"/>
      <c r="DP297" s="49"/>
      <c r="DQ297" s="49"/>
      <c r="DR297" s="49"/>
      <c r="DS297" s="49"/>
      <c r="DT297" s="49"/>
      <c r="DU297" s="49"/>
      <c r="DV297" s="49"/>
      <c r="DW297" s="49"/>
      <c r="DX297" s="49"/>
      <c r="DY297" s="49"/>
      <c r="DZ297" s="49"/>
      <c r="EA297" s="49"/>
      <c r="EB297" s="49"/>
      <c r="EC297" s="49"/>
      <c r="ED297" s="49"/>
      <c r="EE297" s="49"/>
      <c r="EF297" s="49"/>
      <c r="EG297" s="49"/>
      <c r="EH297" s="49"/>
      <c r="EI297" s="49"/>
      <c r="EJ297" s="49"/>
      <c r="EK297" s="49"/>
      <c r="EL297" s="49"/>
      <c r="EM297" s="49"/>
      <c r="EN297" s="49"/>
      <c r="EO297" s="49"/>
      <c r="EP297" s="49"/>
      <c r="EQ297" s="49"/>
      <c r="ER297" s="49"/>
      <c r="ES297" s="49"/>
      <c r="ET297" s="49"/>
      <c r="EU297" s="49"/>
      <c r="EV297" s="49"/>
      <c r="EW297" s="49"/>
      <c r="EX297" s="49"/>
      <c r="EY297" s="49"/>
      <c r="EZ297" s="49"/>
      <c r="FA297" s="49"/>
    </row>
    <row r="298" spans="1:157" s="210" customFormat="1" ht="25.5" x14ac:dyDescent="0.25">
      <c r="A298" s="113">
        <f>IF(AND('[1]Cockpit Retorno'!$E$67=Sim,Mestre!M298=Mestre!$M$98),0,1)</f>
        <v>1</v>
      </c>
      <c r="B298" s="113">
        <f>IF(AND('[1]Cockpit Retorno'!$E$67=Sim,Mestre!L298=Mestre!$L$48),0,1)</f>
        <v>1</v>
      </c>
      <c r="C298" s="113">
        <f>IF(AND('[1]Cockpit Retorno'!$E$67=Sim,Mestre!M298=Mestre!$M$97),0,1)</f>
        <v>1</v>
      </c>
      <c r="D298" s="148" t="s">
        <v>7</v>
      </c>
      <c r="E298" s="115"/>
      <c r="F298" s="116" t="s">
        <v>107</v>
      </c>
      <c r="G298" s="149"/>
      <c r="H298" s="150" t="s">
        <v>7</v>
      </c>
      <c r="I298" s="151" t="str">
        <f t="shared" si="65"/>
        <v>Mercadorias</v>
      </c>
      <c r="J298" s="150" t="s">
        <v>15</v>
      </c>
      <c r="K298" s="152" t="s">
        <v>7</v>
      </c>
      <c r="L298" s="153" t="s">
        <v>21</v>
      </c>
      <c r="M298" s="154" t="s">
        <v>414</v>
      </c>
      <c r="N298" s="155" t="s">
        <v>450</v>
      </c>
      <c r="O298" s="155" t="s">
        <v>412</v>
      </c>
      <c r="P298" s="155" t="s">
        <v>43</v>
      </c>
      <c r="Q298" s="155" t="s">
        <v>43</v>
      </c>
      <c r="R298" s="155" t="s">
        <v>43</v>
      </c>
      <c r="S298" s="156" t="s">
        <v>43</v>
      </c>
      <c r="T298" s="156" t="s">
        <v>43</v>
      </c>
      <c r="U298" s="150" t="s">
        <v>43</v>
      </c>
      <c r="V298" s="150" t="s">
        <v>43</v>
      </c>
      <c r="W298" s="150" t="s">
        <v>43</v>
      </c>
      <c r="X298" s="157" t="s">
        <v>452</v>
      </c>
      <c r="Y298" s="150" t="s">
        <v>43</v>
      </c>
      <c r="Z298" s="150" t="s">
        <v>43</v>
      </c>
      <c r="AA298" s="158">
        <v>0</v>
      </c>
      <c r="AB298" s="155" t="s">
        <v>43</v>
      </c>
      <c r="AC298" s="150" t="s">
        <v>43</v>
      </c>
      <c r="AD298" s="155" t="s">
        <v>43</v>
      </c>
      <c r="AE298" s="155"/>
      <c r="AF298" s="150" t="s">
        <v>43</v>
      </c>
      <c r="AG298" s="159">
        <v>60</v>
      </c>
      <c r="AH298" s="211">
        <v>32.196599999999997</v>
      </c>
      <c r="AI298" s="202">
        <v>0</v>
      </c>
      <c r="AJ298" s="161">
        <v>7.0000000000000007E-2</v>
      </c>
      <c r="AK298" s="162"/>
      <c r="AL298" s="163"/>
      <c r="AM298" s="164">
        <f>(((IF(L298=$L$101,1,IF(L298=$L$47,1,0))*(AH298*(1-AK298)))*AG298)*(1-AL298))</f>
        <v>0</v>
      </c>
      <c r="AN298" s="165">
        <f>IF(K298=$K$50,AM298,IF(K298=$K$53,AM298,IF(K298=$K$54,AM298,IF(K298=$K$55,AM298,IF(K298=$K$56,AM298,IF(K298=$K$57,AM298,IF(K298=$K$58,AM298,IF(K298=$K$65,AM298,IF(K298=$K$66,AM298,IF(K298=$K$67,AM298,IF(K298=$K$68,AM298,IF(K298=$K$69,AM298,IF(K298=$K$51,AM298,(AM298*(1+AI298)))))))))))))))</f>
        <v>0</v>
      </c>
      <c r="AO298" s="166">
        <v>1.4</v>
      </c>
      <c r="AP298" s="160">
        <f t="shared" si="66"/>
        <v>0</v>
      </c>
      <c r="AQ298" s="167">
        <f t="shared" si="53"/>
        <v>0</v>
      </c>
      <c r="AR298" s="160">
        <f t="shared" si="67"/>
        <v>0</v>
      </c>
      <c r="AS298" s="168">
        <f t="shared" si="68"/>
        <v>0</v>
      </c>
      <c r="AT298" s="169" t="str">
        <f>K298</f>
        <v>MI</v>
      </c>
      <c r="AU298" s="169" t="str">
        <f>I298</f>
        <v>Mercadorias</v>
      </c>
      <c r="AV298" s="170"/>
      <c r="AW298" s="171">
        <f>IF(K298=$K$50,0,IF(K298=$K$53,0,IF(K298=$K$54,0,IF(K298=$K$55,0,IF(K298=$K$56,0,IF(K298=$K$57,0,IF(K298=$K$58,0,IF(K298=$K$65,0,IF(K298=$K$66,0,IF(K298=$K$67,0,IF(K298=$K$68,0,IF(K298=$K$69,0,IF(K298=$K$51,0,1))))))))))))*AM298*AI298)</f>
        <v>0</v>
      </c>
      <c r="AX298" s="172">
        <f>IF(K298=$K$50,0,IF(K298=$K$53,0,IF(K298=$K$54,0,IF(K298=$K$55,0,IF(K298=$K$56,0,IF(K298=$K$57,0,IF(K298=$K$58,0,IF(K298=$K$65,0,IF(K298=$K$66,0,IF(K298=$K$67,0,IF(K298=$K$68,0,IF(K298=$K$69,0,IF(K298=$K$51,0,1))))))))))))*AM298*AJ298*$AX$94)</f>
        <v>0</v>
      </c>
      <c r="AY298" s="172">
        <f>IF(K298=$K$53,0,IF(K298=$K$54,0,IF(K298=$K$55,0,IF(K298=$K$56,0,IF(K298=$K$58,0,IF(K298=$K$50,0,IF(K298=$K$65,0,IF(K298=$K$57,0,IF(K298=$K$51,0,AM298*$AY$102)))))))))</f>
        <v>0</v>
      </c>
      <c r="AZ298" s="172">
        <f>IF(K298=$K$53,0,IF(K298=$K$54,0,IF(K298=$K$55,0,IF(K298=$K$56,0,IF(K298=$K$58,0,IF(K298=$K$50,0,IF(K298=$K$65,0,IF(K298=$K$57,0,IF(K298=$K$51,0,AM298*$AZ$102)))))))))</f>
        <v>0</v>
      </c>
      <c r="BA298" s="172">
        <f t="shared" si="69"/>
        <v>0</v>
      </c>
      <c r="BB298" s="173">
        <f>IF($BA$97=1,AQ298*$BB$102,IF(K298=$K$50,0,IF(K298=$K$53,0,IF(K298=$K$54,0,IF(K298=$K$55,0,IF(K298=$K$56,0,IF(K298=$K$57,0,IF(K298=$K$58,0,IF(K298=$K$65,0,IF(K298=$K$66,0,IF(K298=$K$67,0,IF(K298=$K$68,0,IF(K298=$K$69,0,IF(K298=$K$51,0,1)))))))))))*AQ298*$BB$102)))</f>
        <v>0</v>
      </c>
      <c r="BC298" s="172">
        <f t="shared" si="70"/>
        <v>0</v>
      </c>
      <c r="BD298" s="172">
        <f t="shared" si="71"/>
        <v>0</v>
      </c>
      <c r="BE298" s="172">
        <f>IF($BE$95=I298,$BE$97,IF(I298=$BE$96,$BE$97,1))*($BE$102*AQ298)*$AZ$97</f>
        <v>0</v>
      </c>
      <c r="BF298" s="172">
        <f>IF('[1]Cockpit Retorno'!$C$65=Sim,Mestre!BA298,SUM(BB298:BE298)+(IF(K298=$K$56,AQ298*MOE_IRRF_LR,0)))</f>
        <v>0</v>
      </c>
      <c r="BG298" s="174">
        <f>IF(AA298&gt;0,0,IF(Z298=$Z$82,AG298*1,(IF(Z298=$Z$81,AG298*1,0))))</f>
        <v>0</v>
      </c>
      <c r="BH298" s="174">
        <f>IF(AA298&gt;0,0,IF(Z298=$Z$83,AG298*1,IF(Z298=$Z$81,AG298*1,0)))</f>
        <v>0</v>
      </c>
      <c r="BI298" s="174">
        <f>IF(AA298&gt;0,0,IF(Z298=$Z$84,AG298*1,IF(Z298=$Z$93,AG298*2,IF(Z298=$Z$100,AG298,IF(Z298=$Z$81,AG298*2,IF(Z298=$Z$80,AG298*1,IF(Z298=$Z$79,AG298*3,IF(Z298=$Z$78,AG298*2,0))))))))</f>
        <v>0</v>
      </c>
      <c r="BJ298" s="174">
        <f>IF(AA298&gt;0,0,IF(Z298=$Z$85,AG298,IF(Z298=$Z$93,AG298,IF(Z298=$Z$100,AG298,IF(Z298=$Z$81,AG298*1,IF(Z298=$Z$80,AG298*2,IF(Z298=$Z$79,AG298*2,IF(Z298=$Z$78,AG298*2,0))))))))</f>
        <v>0</v>
      </c>
      <c r="BK298" s="174">
        <f>IF(AA298&gt;0,0,IF(Z298=$Z$92,AG298,0))</f>
        <v>0</v>
      </c>
      <c r="BL298" s="174">
        <f>IF(AA298&gt;0,0,IF(Z298=$Z$91,AG298,0))</f>
        <v>0</v>
      </c>
      <c r="BM298" s="174">
        <f>IF(AA298&gt;0,0,IF(Z298=$Z$86,AG298,0))</f>
        <v>0</v>
      </c>
      <c r="BN298" s="174">
        <f>IF(AA298&gt;0,0,IF(Z298=$Z$87,AG298,0))</f>
        <v>0</v>
      </c>
      <c r="BO298" s="174">
        <f>IF(AA298&gt;0,0,IF(Z298=$Z$88,AG298,0))</f>
        <v>0</v>
      </c>
      <c r="BP298" s="174">
        <f>IF(AA298&gt;0,0,IF(Z298=$Z$89,AG298,0))</f>
        <v>0</v>
      </c>
      <c r="BQ298" s="174">
        <f>IF(AA298&gt;0,0,IF(Z298=$Z$90,AG298,0))</f>
        <v>0</v>
      </c>
      <c r="BR298" s="174">
        <f>IF(Z298=$Z$82,AA298*AG298,0)</f>
        <v>0</v>
      </c>
      <c r="BS298" s="174">
        <f>IF(Z298=$Z$83,AA298*AG298,0)</f>
        <v>0</v>
      </c>
      <c r="BT298" s="174">
        <f>IF(AA298&lt;1,0,IF(Z298=$Z$84,AA298*AG298,IF(Z298=$Z$93,"ERRO",IF(Z298=$Z$100,"ERRO",0))))</f>
        <v>0</v>
      </c>
      <c r="BU298" s="174">
        <f>IF(AA298&lt;1,0,IF(Z298=$Z$85,AA298*AG298,IF(Z298=$Z$93,"ERRO",IF(Z298=$Z$100,"ERRO",0))))</f>
        <v>0</v>
      </c>
      <c r="BV298" s="174">
        <f>IF(Z298=$Z$92,AA298*AG298,0)</f>
        <v>0</v>
      </c>
      <c r="BW298" s="174">
        <f>IF(Z298=$Z$91,AA298*AG298,0)</f>
        <v>0</v>
      </c>
      <c r="BX298" s="174">
        <f>IF(Z298=$Z$86,AA298*AG298,0)</f>
        <v>0</v>
      </c>
      <c r="BY298" s="174">
        <f>IF(Z298=$Z$87,AA298*AG298,0)</f>
        <v>0</v>
      </c>
      <c r="BZ298" s="174">
        <f>IF(Z298=$Z$88,AA298*AG298,0)</f>
        <v>0</v>
      </c>
      <c r="CA298" s="174">
        <f>IF(Z298=$Z$89,AA298*AG298,0)</f>
        <v>0</v>
      </c>
      <c r="CB298" s="174">
        <f>IF(Z298=$Z$90,AA298*AG298,0)</f>
        <v>0</v>
      </c>
      <c r="CC298" s="175">
        <f>IFERROR(IF(L298=$L$49,AG298*AH298*(1+AI298)*(1-AK298)*(1-AL298),0),0)</f>
        <v>1931.7959999999998</v>
      </c>
      <c r="CD298" s="203">
        <f>IF(I298=$CD$97,1,IF(I298=$CD$100,2,IF(K298=$K$66,1,IF(K298=$K$69,1,3))))</f>
        <v>1</v>
      </c>
      <c r="CE298" s="203">
        <f t="shared" si="14"/>
        <v>1.07</v>
      </c>
      <c r="CF298" s="204">
        <f t="shared" si="54"/>
        <v>1.2353999999999998</v>
      </c>
      <c r="CG298" s="203">
        <f t="shared" si="15"/>
        <v>1.42</v>
      </c>
      <c r="CH298" s="204">
        <f t="shared" si="55"/>
        <v>1.5478000000000001</v>
      </c>
      <c r="CI298" s="203">
        <f t="shared" si="16"/>
        <v>1.7</v>
      </c>
      <c r="CJ298" s="205">
        <f t="shared" si="56"/>
        <v>1.0486</v>
      </c>
      <c r="CK298" s="205">
        <f t="shared" si="57"/>
        <v>1.148922</v>
      </c>
      <c r="CL298" s="205">
        <f t="shared" si="58"/>
        <v>1.3915999999999999</v>
      </c>
      <c r="CM298" s="205">
        <f t="shared" si="59"/>
        <v>1.501366</v>
      </c>
      <c r="CN298" s="206">
        <f t="shared" si="60"/>
        <v>1.6319999999999999</v>
      </c>
      <c r="CO298" s="204">
        <f t="shared" si="61"/>
        <v>1.006656</v>
      </c>
      <c r="CP298" s="207">
        <f t="shared" si="62"/>
        <v>0</v>
      </c>
      <c r="CQ298" s="208">
        <f t="shared" si="63"/>
        <v>0</v>
      </c>
      <c r="CR298" s="209">
        <f t="shared" si="72"/>
        <v>0</v>
      </c>
      <c r="CS298" s="49"/>
      <c r="CT298" s="49"/>
      <c r="CU298" s="49"/>
      <c r="CV298" s="49"/>
      <c r="CW298" s="49"/>
      <c r="CX298" s="49"/>
      <c r="CY298" s="49"/>
      <c r="CZ298" s="49"/>
      <c r="DA298" s="49"/>
      <c r="DB298" s="49"/>
      <c r="DC298" s="49"/>
      <c r="DD298" s="49"/>
      <c r="DE298" s="49"/>
      <c r="DF298" s="49"/>
      <c r="DG298" s="49"/>
      <c r="DH298" s="49"/>
      <c r="DI298" s="49"/>
      <c r="DJ298" s="49"/>
      <c r="DK298" s="49"/>
      <c r="DL298" s="49"/>
      <c r="DM298" s="49"/>
      <c r="DN298" s="49"/>
      <c r="DO298" s="49"/>
      <c r="DP298" s="49"/>
      <c r="DQ298" s="49"/>
      <c r="DR298" s="49"/>
      <c r="DS298" s="49"/>
      <c r="DT298" s="49"/>
      <c r="DU298" s="49"/>
      <c r="DV298" s="49"/>
      <c r="DW298" s="49"/>
      <c r="DX298" s="49"/>
      <c r="DY298" s="49"/>
      <c r="DZ298" s="49"/>
      <c r="EA298" s="49"/>
      <c r="EB298" s="49"/>
      <c r="EC298" s="49"/>
      <c r="ED298" s="49"/>
      <c r="EE298" s="49"/>
      <c r="EF298" s="49"/>
      <c r="EG298" s="49"/>
      <c r="EH298" s="49"/>
      <c r="EI298" s="49"/>
      <c r="EJ298" s="49"/>
      <c r="EK298" s="49"/>
      <c r="EL298" s="49"/>
      <c r="EM298" s="49"/>
      <c r="EN298" s="49"/>
      <c r="EO298" s="49"/>
      <c r="EP298" s="49"/>
      <c r="EQ298" s="49"/>
      <c r="ER298" s="49"/>
      <c r="ES298" s="49"/>
      <c r="ET298" s="49"/>
      <c r="EU298" s="49"/>
      <c r="EV298" s="49"/>
      <c r="EW298" s="49"/>
      <c r="EX298" s="49"/>
      <c r="EY298" s="49"/>
      <c r="EZ298" s="49"/>
      <c r="FA298" s="49"/>
    </row>
    <row r="299" spans="1:157" s="210" customFormat="1" ht="25.5" x14ac:dyDescent="0.25">
      <c r="A299" s="113">
        <f>IF(AND('[1]Cockpit Retorno'!$E$67=Sim,Mestre!M299=Mestre!$M$98),0,1)</f>
        <v>1</v>
      </c>
      <c r="B299" s="113">
        <f>IF(AND('[1]Cockpit Retorno'!$E$67=Sim,Mestre!L299=Mestre!$L$48),0,1)</f>
        <v>1</v>
      </c>
      <c r="C299" s="113">
        <f>IF(AND('[1]Cockpit Retorno'!$E$67=Sim,Mestre!M299=Mestre!$M$97),0,1)</f>
        <v>1</v>
      </c>
      <c r="D299" s="148" t="s">
        <v>7</v>
      </c>
      <c r="E299" s="115"/>
      <c r="F299" s="116" t="s">
        <v>107</v>
      </c>
      <c r="G299" s="149"/>
      <c r="H299" s="150" t="s">
        <v>7</v>
      </c>
      <c r="I299" s="151" t="str">
        <f t="shared" si="65"/>
        <v>Mercadorias</v>
      </c>
      <c r="J299" s="150" t="s">
        <v>15</v>
      </c>
      <c r="K299" s="152" t="s">
        <v>7</v>
      </c>
      <c r="L299" s="153" t="s">
        <v>21</v>
      </c>
      <c r="M299" s="154" t="s">
        <v>414</v>
      </c>
      <c r="N299" s="155" t="s">
        <v>450</v>
      </c>
      <c r="O299" s="155" t="s">
        <v>412</v>
      </c>
      <c r="P299" s="155" t="s">
        <v>43</v>
      </c>
      <c r="Q299" s="155" t="s">
        <v>43</v>
      </c>
      <c r="R299" s="155" t="s">
        <v>43</v>
      </c>
      <c r="S299" s="156" t="s">
        <v>43</v>
      </c>
      <c r="T299" s="156" t="s">
        <v>43</v>
      </c>
      <c r="U299" s="150" t="s">
        <v>43</v>
      </c>
      <c r="V299" s="150" t="s">
        <v>43</v>
      </c>
      <c r="W299" s="150" t="s">
        <v>43</v>
      </c>
      <c r="X299" s="157" t="s">
        <v>453</v>
      </c>
      <c r="Y299" s="150" t="s">
        <v>43</v>
      </c>
      <c r="Z299" s="150" t="s">
        <v>43</v>
      </c>
      <c r="AA299" s="158">
        <v>0</v>
      </c>
      <c r="AB299" s="155" t="s">
        <v>43</v>
      </c>
      <c r="AC299" s="150" t="s">
        <v>43</v>
      </c>
      <c r="AD299" s="155" t="s">
        <v>43</v>
      </c>
      <c r="AE299" s="155"/>
      <c r="AF299" s="150" t="s">
        <v>43</v>
      </c>
      <c r="AG299" s="159">
        <v>30</v>
      </c>
      <c r="AH299" s="211">
        <v>32.196599999999997</v>
      </c>
      <c r="AI299" s="202">
        <v>0</v>
      </c>
      <c r="AJ299" s="161">
        <v>7.0000000000000007E-2</v>
      </c>
      <c r="AK299" s="162"/>
      <c r="AL299" s="163"/>
      <c r="AM299" s="164">
        <f>(((IF(L299=$L$101,1,IF(L299=$L$47,1,0))*(AH299*(1-AK299)))*AG299)*(1-AL299))</f>
        <v>0</v>
      </c>
      <c r="AN299" s="165">
        <f>IF(K299=$K$50,AM299,IF(K299=$K$53,AM299,IF(K299=$K$54,AM299,IF(K299=$K$55,AM299,IF(K299=$K$56,AM299,IF(K299=$K$57,AM299,IF(K299=$K$58,AM299,IF(K299=$K$65,AM299,IF(K299=$K$66,AM299,IF(K299=$K$67,AM299,IF(K299=$K$68,AM299,IF(K299=$K$69,AM299,IF(K299=$K$51,AM299,(AM299*(1+AI299)))))))))))))))</f>
        <v>0</v>
      </c>
      <c r="AO299" s="166">
        <v>1.4</v>
      </c>
      <c r="AP299" s="160">
        <f t="shared" si="66"/>
        <v>0</v>
      </c>
      <c r="AQ299" s="167">
        <f t="shared" si="53"/>
        <v>0</v>
      </c>
      <c r="AR299" s="160">
        <f t="shared" si="67"/>
        <v>0</v>
      </c>
      <c r="AS299" s="168">
        <f t="shared" si="68"/>
        <v>0</v>
      </c>
      <c r="AT299" s="169" t="str">
        <f>K299</f>
        <v>MI</v>
      </c>
      <c r="AU299" s="169" t="str">
        <f>I299</f>
        <v>Mercadorias</v>
      </c>
      <c r="AV299" s="170"/>
      <c r="AW299" s="171">
        <f>IF(K299=$K$50,0,IF(K299=$K$53,0,IF(K299=$K$54,0,IF(K299=$K$55,0,IF(K299=$K$56,0,IF(K299=$K$57,0,IF(K299=$K$58,0,IF(K299=$K$65,0,IF(K299=$K$66,0,IF(K299=$K$67,0,IF(K299=$K$68,0,IF(K299=$K$69,0,IF(K299=$K$51,0,1))))))))))))*AM299*AI299)</f>
        <v>0</v>
      </c>
      <c r="AX299" s="172">
        <f>IF(K299=$K$50,0,IF(K299=$K$53,0,IF(K299=$K$54,0,IF(K299=$K$55,0,IF(K299=$K$56,0,IF(K299=$K$57,0,IF(K299=$K$58,0,IF(K299=$K$65,0,IF(K299=$K$66,0,IF(K299=$K$67,0,IF(K299=$K$68,0,IF(K299=$K$69,0,IF(K299=$K$51,0,1))))))))))))*AM299*AJ299*$AX$94)</f>
        <v>0</v>
      </c>
      <c r="AY299" s="172">
        <f>IF(K299=$K$53,0,IF(K299=$K$54,0,IF(K299=$K$55,0,IF(K299=$K$56,0,IF(K299=$K$58,0,IF(K299=$K$50,0,IF(K299=$K$65,0,IF(K299=$K$57,0,IF(K299=$K$51,0,AM299*$AY$102)))))))))</f>
        <v>0</v>
      </c>
      <c r="AZ299" s="172">
        <f>IF(K299=$K$53,0,IF(K299=$K$54,0,IF(K299=$K$55,0,IF(K299=$K$56,0,IF(K299=$K$58,0,IF(K299=$K$50,0,IF(K299=$K$65,0,IF(K299=$K$57,0,IF(K299=$K$51,0,AM299*$AZ$102)))))))))</f>
        <v>0</v>
      </c>
      <c r="BA299" s="172">
        <f t="shared" si="69"/>
        <v>0</v>
      </c>
      <c r="BB299" s="173">
        <f>IF($BA$97=1,AQ299*$BB$102,IF(K299=$K$50,0,IF(K299=$K$53,0,IF(K299=$K$54,0,IF(K299=$K$55,0,IF(K299=$K$56,0,IF(K299=$K$57,0,IF(K299=$K$58,0,IF(K299=$K$65,0,IF(K299=$K$66,0,IF(K299=$K$67,0,IF(K299=$K$68,0,IF(K299=$K$69,0,IF(K299=$K$51,0,1)))))))))))*AQ299*$BB$102)))</f>
        <v>0</v>
      </c>
      <c r="BC299" s="172">
        <f t="shared" si="70"/>
        <v>0</v>
      </c>
      <c r="BD299" s="172">
        <f t="shared" si="71"/>
        <v>0</v>
      </c>
      <c r="BE299" s="172">
        <f>IF($BE$95=I299,$BE$97,IF(I299=$BE$96,$BE$97,1))*($BE$102*AQ299)*$AZ$97</f>
        <v>0</v>
      </c>
      <c r="BF299" s="172">
        <f>IF('[1]Cockpit Retorno'!$C$65=Sim,Mestre!BA299,SUM(BB299:BE299)+(IF(K299=$K$56,AQ299*MOE_IRRF_LR,0)))</f>
        <v>0</v>
      </c>
      <c r="BG299" s="174">
        <f>IF(AA299&gt;0,0,IF(Z299=$Z$82,AG299*1,(IF(Z299=$Z$81,AG299*1,0))))</f>
        <v>0</v>
      </c>
      <c r="BH299" s="174">
        <f>IF(AA299&gt;0,0,IF(Z299=$Z$83,AG299*1,IF(Z299=$Z$81,AG299*1,0)))</f>
        <v>0</v>
      </c>
      <c r="BI299" s="174">
        <f>IF(AA299&gt;0,0,IF(Z299=$Z$84,AG299*1,IF(Z299=$Z$93,AG299*2,IF(Z299=$Z$100,AG299,IF(Z299=$Z$81,AG299*2,IF(Z299=$Z$80,AG299*1,IF(Z299=$Z$79,AG299*3,IF(Z299=$Z$78,AG299*2,0))))))))</f>
        <v>0</v>
      </c>
      <c r="BJ299" s="174">
        <f>IF(AA299&gt;0,0,IF(Z299=$Z$85,AG299,IF(Z299=$Z$93,AG299,IF(Z299=$Z$100,AG299,IF(Z299=$Z$81,AG299*1,IF(Z299=$Z$80,AG299*2,IF(Z299=$Z$79,AG299*2,IF(Z299=$Z$78,AG299*2,0))))))))</f>
        <v>0</v>
      </c>
      <c r="BK299" s="174">
        <f>IF(AA299&gt;0,0,IF(Z299=$Z$92,AG299,0))</f>
        <v>0</v>
      </c>
      <c r="BL299" s="174">
        <f>IF(AA299&gt;0,0,IF(Z299=$Z$91,AG299,0))</f>
        <v>0</v>
      </c>
      <c r="BM299" s="174">
        <f>IF(AA299&gt;0,0,IF(Z299=$Z$86,AG299,0))</f>
        <v>0</v>
      </c>
      <c r="BN299" s="174">
        <f>IF(AA299&gt;0,0,IF(Z299=$Z$87,AG299,0))</f>
        <v>0</v>
      </c>
      <c r="BO299" s="174">
        <f>IF(AA299&gt;0,0,IF(Z299=$Z$88,AG299,0))</f>
        <v>0</v>
      </c>
      <c r="BP299" s="174">
        <f>IF(AA299&gt;0,0,IF(Z299=$Z$89,AG299,0))</f>
        <v>0</v>
      </c>
      <c r="BQ299" s="174">
        <f>IF(AA299&gt;0,0,IF(Z299=$Z$90,AG299,0))</f>
        <v>0</v>
      </c>
      <c r="BR299" s="174">
        <f>IF(Z299=$Z$82,AA299*AG299,0)</f>
        <v>0</v>
      </c>
      <c r="BS299" s="174">
        <f>IF(Z299=$Z$83,AA299*AG299,0)</f>
        <v>0</v>
      </c>
      <c r="BT299" s="174">
        <f>IF(AA299&lt;1,0,IF(Z299=$Z$84,AA299*AG299,IF(Z299=$Z$93,"ERRO",IF(Z299=$Z$100,"ERRO",0))))</f>
        <v>0</v>
      </c>
      <c r="BU299" s="174">
        <f>IF(AA299&lt;1,0,IF(Z299=$Z$85,AA299*AG299,IF(Z299=$Z$93,"ERRO",IF(Z299=$Z$100,"ERRO",0))))</f>
        <v>0</v>
      </c>
      <c r="BV299" s="174">
        <f>IF(Z299=$Z$92,AA299*AG299,0)</f>
        <v>0</v>
      </c>
      <c r="BW299" s="174">
        <f>IF(Z299=$Z$91,AA299*AG299,0)</f>
        <v>0</v>
      </c>
      <c r="BX299" s="174">
        <f>IF(Z299=$Z$86,AA299*AG299,0)</f>
        <v>0</v>
      </c>
      <c r="BY299" s="174">
        <f>IF(Z299=$Z$87,AA299*AG299,0)</f>
        <v>0</v>
      </c>
      <c r="BZ299" s="174">
        <f>IF(Z299=$Z$88,AA299*AG299,0)</f>
        <v>0</v>
      </c>
      <c r="CA299" s="174">
        <f>IF(Z299=$Z$89,AA299*AG299,0)</f>
        <v>0</v>
      </c>
      <c r="CB299" s="174">
        <f>IF(Z299=$Z$90,AA299*AG299,0)</f>
        <v>0</v>
      </c>
      <c r="CC299" s="175">
        <f>IFERROR(IF(L299=$L$49,AG299*AH299*(1+AI299)*(1-AK299)*(1-AL299),0),0)</f>
        <v>965.89799999999991</v>
      </c>
      <c r="CD299" s="203">
        <f>IF(I299=$CD$97,1,IF(I299=$CD$100,2,IF(K299=$K$66,1,IF(K299=$K$69,1,3))))</f>
        <v>1</v>
      </c>
      <c r="CE299" s="203">
        <f t="shared" si="14"/>
        <v>1.07</v>
      </c>
      <c r="CF299" s="204">
        <f t="shared" si="54"/>
        <v>1.2353999999999998</v>
      </c>
      <c r="CG299" s="203">
        <f t="shared" si="15"/>
        <v>1.42</v>
      </c>
      <c r="CH299" s="204">
        <f t="shared" si="55"/>
        <v>1.5478000000000001</v>
      </c>
      <c r="CI299" s="203">
        <f t="shared" si="16"/>
        <v>1.7</v>
      </c>
      <c r="CJ299" s="205">
        <f t="shared" si="56"/>
        <v>1.0486</v>
      </c>
      <c r="CK299" s="205">
        <f t="shared" si="57"/>
        <v>1.148922</v>
      </c>
      <c r="CL299" s="205">
        <f t="shared" si="58"/>
        <v>1.3915999999999999</v>
      </c>
      <c r="CM299" s="205">
        <f t="shared" si="59"/>
        <v>1.501366</v>
      </c>
      <c r="CN299" s="206">
        <f t="shared" si="60"/>
        <v>1.6319999999999999</v>
      </c>
      <c r="CO299" s="204">
        <f t="shared" si="61"/>
        <v>1.006656</v>
      </c>
      <c r="CP299" s="207">
        <f t="shared" si="62"/>
        <v>0</v>
      </c>
      <c r="CQ299" s="208">
        <f t="shared" si="63"/>
        <v>0</v>
      </c>
      <c r="CR299" s="209">
        <f t="shared" si="72"/>
        <v>0</v>
      </c>
      <c r="CS299" s="49"/>
      <c r="CT299" s="49"/>
      <c r="CU299" s="49"/>
      <c r="CV299" s="49"/>
      <c r="CW299" s="49"/>
      <c r="CX299" s="49"/>
      <c r="CY299" s="49"/>
      <c r="CZ299" s="49"/>
      <c r="DA299" s="49"/>
      <c r="DB299" s="49"/>
      <c r="DC299" s="49"/>
      <c r="DD299" s="49"/>
      <c r="DE299" s="49"/>
      <c r="DF299" s="49"/>
      <c r="DG299" s="49"/>
      <c r="DH299" s="49"/>
      <c r="DI299" s="49"/>
      <c r="DJ299" s="49"/>
      <c r="DK299" s="49"/>
      <c r="DL299" s="49"/>
      <c r="DM299" s="49"/>
      <c r="DN299" s="49"/>
      <c r="DO299" s="49"/>
      <c r="DP299" s="49"/>
      <c r="DQ299" s="49"/>
      <c r="DR299" s="49"/>
      <c r="DS299" s="49"/>
      <c r="DT299" s="49"/>
      <c r="DU299" s="49"/>
      <c r="DV299" s="49"/>
      <c r="DW299" s="49"/>
      <c r="DX299" s="49"/>
      <c r="DY299" s="49"/>
      <c r="DZ299" s="49"/>
      <c r="EA299" s="49"/>
      <c r="EB299" s="49"/>
      <c r="EC299" s="49"/>
      <c r="ED299" s="49"/>
      <c r="EE299" s="49"/>
      <c r="EF299" s="49"/>
      <c r="EG299" s="49"/>
      <c r="EH299" s="49"/>
      <c r="EI299" s="49"/>
      <c r="EJ299" s="49"/>
      <c r="EK299" s="49"/>
      <c r="EL299" s="49"/>
      <c r="EM299" s="49"/>
      <c r="EN299" s="49"/>
      <c r="EO299" s="49"/>
      <c r="EP299" s="49"/>
      <c r="EQ299" s="49"/>
      <c r="ER299" s="49"/>
      <c r="ES299" s="49"/>
      <c r="ET299" s="49"/>
      <c r="EU299" s="49"/>
      <c r="EV299" s="49"/>
      <c r="EW299" s="49"/>
      <c r="EX299" s="49"/>
      <c r="EY299" s="49"/>
      <c r="EZ299" s="49"/>
      <c r="FA299" s="49"/>
    </row>
    <row r="300" spans="1:157" s="210" customFormat="1" ht="25.5" x14ac:dyDescent="0.25">
      <c r="A300" s="113">
        <f>IF(AND('[1]Cockpit Retorno'!$E$67=Sim,Mestre!M300=Mestre!$M$98),0,1)</f>
        <v>1</v>
      </c>
      <c r="B300" s="113">
        <f>IF(AND('[1]Cockpit Retorno'!$E$67=Sim,Mestre!L300=Mestre!$L$48),0,1)</f>
        <v>1</v>
      </c>
      <c r="C300" s="113">
        <f>IF(AND('[1]Cockpit Retorno'!$E$67=Sim,Mestre!M300=Mestre!$M$97),0,1)</f>
        <v>1</v>
      </c>
      <c r="D300" s="148" t="s">
        <v>7</v>
      </c>
      <c r="E300" s="115"/>
      <c r="F300" s="116" t="s">
        <v>107</v>
      </c>
      <c r="G300" s="149"/>
      <c r="H300" s="150" t="s">
        <v>7</v>
      </c>
      <c r="I300" s="151" t="str">
        <f t="shared" si="65"/>
        <v>Mercadorias</v>
      </c>
      <c r="J300" s="150" t="s">
        <v>15</v>
      </c>
      <c r="K300" s="152" t="s">
        <v>7</v>
      </c>
      <c r="L300" s="153" t="s">
        <v>21</v>
      </c>
      <c r="M300" s="154" t="s">
        <v>414</v>
      </c>
      <c r="N300" s="155" t="s">
        <v>450</v>
      </c>
      <c r="O300" s="155" t="s">
        <v>412</v>
      </c>
      <c r="P300" s="155" t="s">
        <v>43</v>
      </c>
      <c r="Q300" s="155" t="s">
        <v>43</v>
      </c>
      <c r="R300" s="155" t="s">
        <v>43</v>
      </c>
      <c r="S300" s="156" t="s">
        <v>43</v>
      </c>
      <c r="T300" s="156" t="s">
        <v>43</v>
      </c>
      <c r="U300" s="150" t="s">
        <v>43</v>
      </c>
      <c r="V300" s="150" t="s">
        <v>43</v>
      </c>
      <c r="W300" s="150" t="s">
        <v>43</v>
      </c>
      <c r="X300" s="157" t="s">
        <v>454</v>
      </c>
      <c r="Y300" s="150" t="s">
        <v>43</v>
      </c>
      <c r="Z300" s="150" t="s">
        <v>43</v>
      </c>
      <c r="AA300" s="158">
        <v>0</v>
      </c>
      <c r="AB300" s="155" t="s">
        <v>43</v>
      </c>
      <c r="AC300" s="150" t="s">
        <v>43</v>
      </c>
      <c r="AD300" s="155" t="s">
        <v>43</v>
      </c>
      <c r="AE300" s="155"/>
      <c r="AF300" s="150" t="s">
        <v>43</v>
      </c>
      <c r="AG300" s="159">
        <v>75</v>
      </c>
      <c r="AH300" s="211">
        <v>9.6720000000000006</v>
      </c>
      <c r="AI300" s="202">
        <v>0</v>
      </c>
      <c r="AJ300" s="161">
        <v>7.0000000000000007E-2</v>
      </c>
      <c r="AK300" s="162"/>
      <c r="AL300" s="163"/>
      <c r="AM300" s="164">
        <f>(((IF(L300=$L$101,1,IF(L300=$L$47,1,0))*(AH300*(1-AK300)))*AG300)*(1-AL300))</f>
        <v>0</v>
      </c>
      <c r="AN300" s="165">
        <f>IF(K300=$K$50,AM300,IF(K300=$K$53,AM300,IF(K300=$K$54,AM300,IF(K300=$K$55,AM300,IF(K300=$K$56,AM300,IF(K300=$K$57,AM300,IF(K300=$K$58,AM300,IF(K300=$K$65,AM300,IF(K300=$K$66,AM300,IF(K300=$K$67,AM300,IF(K300=$K$68,AM300,IF(K300=$K$69,AM300,IF(K300=$K$51,AM300,(AM300*(1+AI300)))))))))))))))</f>
        <v>0</v>
      </c>
      <c r="AO300" s="166">
        <v>1.4</v>
      </c>
      <c r="AP300" s="160">
        <f t="shared" si="66"/>
        <v>0</v>
      </c>
      <c r="AQ300" s="167">
        <f t="shared" si="53"/>
        <v>0</v>
      </c>
      <c r="AR300" s="160">
        <f t="shared" si="67"/>
        <v>0</v>
      </c>
      <c r="AS300" s="168">
        <f t="shared" si="68"/>
        <v>0</v>
      </c>
      <c r="AT300" s="169" t="str">
        <f>K300</f>
        <v>MI</v>
      </c>
      <c r="AU300" s="169" t="str">
        <f>I300</f>
        <v>Mercadorias</v>
      </c>
      <c r="AV300" s="170"/>
      <c r="AW300" s="171">
        <f>IF(K300=$K$50,0,IF(K300=$K$53,0,IF(K300=$K$54,0,IF(K300=$K$55,0,IF(K300=$K$56,0,IF(K300=$K$57,0,IF(K300=$K$58,0,IF(K300=$K$65,0,IF(K300=$K$66,0,IF(K300=$K$67,0,IF(K300=$K$68,0,IF(K300=$K$69,0,IF(K300=$K$51,0,1))))))))))))*AM300*AI300)</f>
        <v>0</v>
      </c>
      <c r="AX300" s="172">
        <f>IF(K300=$K$50,0,IF(K300=$K$53,0,IF(K300=$K$54,0,IF(K300=$K$55,0,IF(K300=$K$56,0,IF(K300=$K$57,0,IF(K300=$K$58,0,IF(K300=$K$65,0,IF(K300=$K$66,0,IF(K300=$K$67,0,IF(K300=$K$68,0,IF(K300=$K$69,0,IF(K300=$K$51,0,1))))))))))))*AM300*AJ300*$AX$94)</f>
        <v>0</v>
      </c>
      <c r="AY300" s="172">
        <f>IF(K300=$K$53,0,IF(K300=$K$54,0,IF(K300=$K$55,0,IF(K300=$K$56,0,IF(K300=$K$58,0,IF(K300=$K$50,0,IF(K300=$K$65,0,IF(K300=$K$57,0,IF(K300=$K$51,0,AM300*$AY$102)))))))))</f>
        <v>0</v>
      </c>
      <c r="AZ300" s="172">
        <f>IF(K300=$K$53,0,IF(K300=$K$54,0,IF(K300=$K$55,0,IF(K300=$K$56,0,IF(K300=$K$58,0,IF(K300=$K$50,0,IF(K300=$K$65,0,IF(K300=$K$57,0,IF(K300=$K$51,0,AM300*$AZ$102)))))))))</f>
        <v>0</v>
      </c>
      <c r="BA300" s="172">
        <f t="shared" si="69"/>
        <v>0</v>
      </c>
      <c r="BB300" s="173">
        <f>IF($BA$97=1,AQ300*$BB$102,IF(K300=$K$50,0,IF(K300=$K$53,0,IF(K300=$K$54,0,IF(K300=$K$55,0,IF(K300=$K$56,0,IF(K300=$K$57,0,IF(K300=$K$58,0,IF(K300=$K$65,0,IF(K300=$K$66,0,IF(K300=$K$67,0,IF(K300=$K$68,0,IF(K300=$K$69,0,IF(K300=$K$51,0,1)))))))))))*AQ300*$BB$102)))</f>
        <v>0</v>
      </c>
      <c r="BC300" s="172">
        <f t="shared" si="70"/>
        <v>0</v>
      </c>
      <c r="BD300" s="172">
        <f t="shared" si="71"/>
        <v>0</v>
      </c>
      <c r="BE300" s="172">
        <f>IF($BE$95=I300,$BE$97,IF(I300=$BE$96,$BE$97,1))*($BE$102*AQ300)*$AZ$97</f>
        <v>0</v>
      </c>
      <c r="BF300" s="172">
        <f>IF('[1]Cockpit Retorno'!$C$65=Sim,Mestre!BA300,SUM(BB300:BE300)+(IF(K300=$K$56,AQ300*MOE_IRRF_LR,0)))</f>
        <v>0</v>
      </c>
      <c r="BG300" s="174">
        <f>IF(AA300&gt;0,0,IF(Z300=$Z$82,AG300*1,(IF(Z300=$Z$81,AG300*1,0))))</f>
        <v>0</v>
      </c>
      <c r="BH300" s="174">
        <f>IF(AA300&gt;0,0,IF(Z300=$Z$83,AG300*1,IF(Z300=$Z$81,AG300*1,0)))</f>
        <v>0</v>
      </c>
      <c r="BI300" s="174">
        <f>IF(AA300&gt;0,0,IF(Z300=$Z$84,AG300*1,IF(Z300=$Z$93,AG300*2,IF(Z300=$Z$100,AG300,IF(Z300=$Z$81,AG300*2,IF(Z300=$Z$80,AG300*1,IF(Z300=$Z$79,AG300*3,IF(Z300=$Z$78,AG300*2,0))))))))</f>
        <v>0</v>
      </c>
      <c r="BJ300" s="174">
        <f>IF(AA300&gt;0,0,IF(Z300=$Z$85,AG300,IF(Z300=$Z$93,AG300,IF(Z300=$Z$100,AG300,IF(Z300=$Z$81,AG300*1,IF(Z300=$Z$80,AG300*2,IF(Z300=$Z$79,AG300*2,IF(Z300=$Z$78,AG300*2,0))))))))</f>
        <v>0</v>
      </c>
      <c r="BK300" s="174">
        <f>IF(AA300&gt;0,0,IF(Z300=$Z$92,AG300,0))</f>
        <v>0</v>
      </c>
      <c r="BL300" s="174">
        <f>IF(AA300&gt;0,0,IF(Z300=$Z$91,AG300,0))</f>
        <v>0</v>
      </c>
      <c r="BM300" s="174">
        <f>IF(AA300&gt;0,0,IF(Z300=$Z$86,AG300,0))</f>
        <v>0</v>
      </c>
      <c r="BN300" s="174">
        <f>IF(AA300&gt;0,0,IF(Z300=$Z$87,AG300,0))</f>
        <v>0</v>
      </c>
      <c r="BO300" s="174">
        <f>IF(AA300&gt;0,0,IF(Z300=$Z$88,AG300,0))</f>
        <v>0</v>
      </c>
      <c r="BP300" s="174">
        <f>IF(AA300&gt;0,0,IF(Z300=$Z$89,AG300,0))</f>
        <v>0</v>
      </c>
      <c r="BQ300" s="174">
        <f>IF(AA300&gt;0,0,IF(Z300=$Z$90,AG300,0))</f>
        <v>0</v>
      </c>
      <c r="BR300" s="174">
        <f>IF(Z300=$Z$82,AA300*AG300,0)</f>
        <v>0</v>
      </c>
      <c r="BS300" s="174">
        <f>IF(Z300=$Z$83,AA300*AG300,0)</f>
        <v>0</v>
      </c>
      <c r="BT300" s="174">
        <f>IF(AA300&lt;1,0,IF(Z300=$Z$84,AA300*AG300,IF(Z300=$Z$93,"ERRO",IF(Z300=$Z$100,"ERRO",0))))</f>
        <v>0</v>
      </c>
      <c r="BU300" s="174">
        <f>IF(AA300&lt;1,0,IF(Z300=$Z$85,AA300*AG300,IF(Z300=$Z$93,"ERRO",IF(Z300=$Z$100,"ERRO",0))))</f>
        <v>0</v>
      </c>
      <c r="BV300" s="174">
        <f>IF(Z300=$Z$92,AA300*AG300,0)</f>
        <v>0</v>
      </c>
      <c r="BW300" s="174">
        <f>IF(Z300=$Z$91,AA300*AG300,0)</f>
        <v>0</v>
      </c>
      <c r="BX300" s="174">
        <f>IF(Z300=$Z$86,AA300*AG300,0)</f>
        <v>0</v>
      </c>
      <c r="BY300" s="174">
        <f>IF(Z300=$Z$87,AA300*AG300,0)</f>
        <v>0</v>
      </c>
      <c r="BZ300" s="174">
        <f>IF(Z300=$Z$88,AA300*AG300,0)</f>
        <v>0</v>
      </c>
      <c r="CA300" s="174">
        <f>IF(Z300=$Z$89,AA300*AG300,0)</f>
        <v>0</v>
      </c>
      <c r="CB300" s="174">
        <f>IF(Z300=$Z$90,AA300*AG300,0)</f>
        <v>0</v>
      </c>
      <c r="CC300" s="175">
        <f>IFERROR(IF(L300=$L$49,AG300*AH300*(1+AI300)*(1-AK300)*(1-AL300),0),0)</f>
        <v>725.40000000000009</v>
      </c>
      <c r="CD300" s="203">
        <f>IF(I300=$CD$97,1,IF(I300=$CD$100,2,IF(K300=$K$66,1,IF(K300=$K$69,1,3))))</f>
        <v>1</v>
      </c>
      <c r="CE300" s="203">
        <f t="shared" si="14"/>
        <v>1.07</v>
      </c>
      <c r="CF300" s="204">
        <f t="shared" si="54"/>
        <v>1.2353999999999998</v>
      </c>
      <c r="CG300" s="203">
        <f t="shared" si="15"/>
        <v>1.42</v>
      </c>
      <c r="CH300" s="204">
        <f t="shared" si="55"/>
        <v>1.5478000000000001</v>
      </c>
      <c r="CI300" s="203">
        <f t="shared" si="16"/>
        <v>1.7</v>
      </c>
      <c r="CJ300" s="205">
        <f t="shared" si="56"/>
        <v>1.0486</v>
      </c>
      <c r="CK300" s="205">
        <f t="shared" si="57"/>
        <v>1.148922</v>
      </c>
      <c r="CL300" s="205">
        <f t="shared" si="58"/>
        <v>1.3915999999999999</v>
      </c>
      <c r="CM300" s="205">
        <f t="shared" si="59"/>
        <v>1.501366</v>
      </c>
      <c r="CN300" s="206">
        <f t="shared" si="60"/>
        <v>1.6319999999999999</v>
      </c>
      <c r="CO300" s="204">
        <f t="shared" si="61"/>
        <v>1.006656</v>
      </c>
      <c r="CP300" s="207">
        <f t="shared" si="62"/>
        <v>0</v>
      </c>
      <c r="CQ300" s="208">
        <f t="shared" si="63"/>
        <v>0</v>
      </c>
      <c r="CR300" s="209">
        <f t="shared" si="72"/>
        <v>0</v>
      </c>
      <c r="CS300" s="49"/>
      <c r="CT300" s="49"/>
      <c r="CU300" s="49"/>
      <c r="CV300" s="49"/>
      <c r="CW300" s="49"/>
      <c r="CX300" s="49"/>
      <c r="CY300" s="49"/>
      <c r="CZ300" s="49"/>
      <c r="DA300" s="49"/>
      <c r="DB300" s="49"/>
      <c r="DC300" s="49"/>
      <c r="DD300" s="49"/>
      <c r="DE300" s="49"/>
      <c r="DF300" s="49"/>
      <c r="DG300" s="49"/>
      <c r="DH300" s="49"/>
      <c r="DI300" s="49"/>
      <c r="DJ300" s="49"/>
      <c r="DK300" s="49"/>
      <c r="DL300" s="49"/>
      <c r="DM300" s="49"/>
      <c r="DN300" s="49"/>
      <c r="DO300" s="49"/>
      <c r="DP300" s="49"/>
      <c r="DQ300" s="49"/>
      <c r="DR300" s="49"/>
      <c r="DS300" s="49"/>
      <c r="DT300" s="49"/>
      <c r="DU300" s="49"/>
      <c r="DV300" s="49"/>
      <c r="DW300" s="49"/>
      <c r="DX300" s="49"/>
      <c r="DY300" s="49"/>
      <c r="DZ300" s="49"/>
      <c r="EA300" s="49"/>
      <c r="EB300" s="49"/>
      <c r="EC300" s="49"/>
      <c r="ED300" s="49"/>
      <c r="EE300" s="49"/>
      <c r="EF300" s="49"/>
      <c r="EG300" s="49"/>
      <c r="EH300" s="49"/>
      <c r="EI300" s="49"/>
      <c r="EJ300" s="49"/>
      <c r="EK300" s="49"/>
      <c r="EL300" s="49"/>
      <c r="EM300" s="49"/>
      <c r="EN300" s="49"/>
      <c r="EO300" s="49"/>
      <c r="EP300" s="49"/>
      <c r="EQ300" s="49"/>
      <c r="ER300" s="49"/>
      <c r="ES300" s="49"/>
      <c r="ET300" s="49"/>
      <c r="EU300" s="49"/>
      <c r="EV300" s="49"/>
      <c r="EW300" s="49"/>
      <c r="EX300" s="49"/>
      <c r="EY300" s="49"/>
      <c r="EZ300" s="49"/>
      <c r="FA300" s="49"/>
    </row>
    <row r="301" spans="1:157" s="210" customFormat="1" ht="25.5" x14ac:dyDescent="0.25">
      <c r="A301" s="113">
        <f>IF(AND('[1]Cockpit Retorno'!$E$67=Sim,Mestre!M301=Mestre!$M$98),0,1)</f>
        <v>1</v>
      </c>
      <c r="B301" s="113">
        <f>IF(AND('[1]Cockpit Retorno'!$E$67=Sim,Mestre!L301=Mestre!$L$48),0,1)</f>
        <v>1</v>
      </c>
      <c r="C301" s="113">
        <f>IF(AND('[1]Cockpit Retorno'!$E$67=Sim,Mestre!M301=Mestre!$M$97),0,1)</f>
        <v>1</v>
      </c>
      <c r="D301" s="148" t="s">
        <v>7</v>
      </c>
      <c r="E301" s="115"/>
      <c r="F301" s="116" t="s">
        <v>107</v>
      </c>
      <c r="G301" s="149">
        <v>2</v>
      </c>
      <c r="H301" s="150" t="s">
        <v>7</v>
      </c>
      <c r="I301" s="151" t="str">
        <f t="shared" si="65"/>
        <v>Mercadorias</v>
      </c>
      <c r="J301" s="150" t="s">
        <v>15</v>
      </c>
      <c r="K301" s="152" t="s">
        <v>7</v>
      </c>
      <c r="L301" s="153" t="s">
        <v>21</v>
      </c>
      <c r="M301" s="154" t="s">
        <v>361</v>
      </c>
      <c r="N301" s="155" t="s">
        <v>450</v>
      </c>
      <c r="O301" s="155" t="s">
        <v>412</v>
      </c>
      <c r="P301" s="155" t="s">
        <v>43</v>
      </c>
      <c r="Q301" s="155" t="s">
        <v>43</v>
      </c>
      <c r="R301" s="155" t="s">
        <v>43</v>
      </c>
      <c r="S301" s="156" t="s">
        <v>43</v>
      </c>
      <c r="T301" s="156" t="s">
        <v>43</v>
      </c>
      <c r="U301" s="150" t="s">
        <v>43</v>
      </c>
      <c r="V301" s="150" t="s">
        <v>43</v>
      </c>
      <c r="W301" s="150" t="s">
        <v>43</v>
      </c>
      <c r="X301" s="157" t="s">
        <v>365</v>
      </c>
      <c r="Y301" s="150" t="s">
        <v>43</v>
      </c>
      <c r="Z301" s="150" t="s">
        <v>43</v>
      </c>
      <c r="AA301" s="158">
        <v>0</v>
      </c>
      <c r="AB301" s="155" t="s">
        <v>43</v>
      </c>
      <c r="AC301" s="150" t="s">
        <v>43</v>
      </c>
      <c r="AD301" s="155" t="s">
        <v>43</v>
      </c>
      <c r="AE301" s="155"/>
      <c r="AF301" s="150" t="s">
        <v>43</v>
      </c>
      <c r="AG301" s="159">
        <f>(AG297*3/2)*0.2*4.75</f>
        <v>983.25</v>
      </c>
      <c r="AH301" s="211">
        <v>6.2310000000000008</v>
      </c>
      <c r="AI301" s="202">
        <v>0</v>
      </c>
      <c r="AJ301" s="161">
        <v>0.12</v>
      </c>
      <c r="AK301" s="162"/>
      <c r="AL301" s="163"/>
      <c r="AM301" s="164">
        <f>(((IF(L301=$L$101,1,IF(L301=$L$47,1,0))*(AH301*(1-AK301)))*AG301)*(1-AL301))</f>
        <v>0</v>
      </c>
      <c r="AN301" s="165">
        <f>IF(K301=$K$50,AM301,IF(K301=$K$53,AM301,IF(K301=$K$54,AM301,IF(K301=$K$55,AM301,IF(K301=$K$56,AM301,IF(K301=$K$57,AM301,IF(K301=$K$58,AM301,IF(K301=$K$65,AM301,IF(K301=$K$66,AM301,IF(K301=$K$67,AM301,IF(K301=$K$68,AM301,IF(K301=$K$69,AM301,IF(K301=$K$51,AM301,(AM301*(1+AI301)))))))))))))))</f>
        <v>0</v>
      </c>
      <c r="AO301" s="166">
        <v>1.4</v>
      </c>
      <c r="AP301" s="160">
        <f t="shared" si="66"/>
        <v>0</v>
      </c>
      <c r="AQ301" s="167">
        <f t="shared" si="53"/>
        <v>0</v>
      </c>
      <c r="AR301" s="160">
        <f t="shared" si="67"/>
        <v>0</v>
      </c>
      <c r="AS301" s="168">
        <f t="shared" si="68"/>
        <v>0</v>
      </c>
      <c r="AT301" s="169" t="str">
        <f>K301</f>
        <v>MI</v>
      </c>
      <c r="AU301" s="169" t="str">
        <f>I301</f>
        <v>Mercadorias</v>
      </c>
      <c r="AV301" s="170"/>
      <c r="AW301" s="171">
        <f>IF(K301=$K$50,0,IF(K301=$K$53,0,IF(K301=$K$54,0,IF(K301=$K$55,0,IF(K301=$K$56,0,IF(K301=$K$57,0,IF(K301=$K$58,0,IF(K301=$K$65,0,IF(K301=$K$66,0,IF(K301=$K$67,0,IF(K301=$K$68,0,IF(K301=$K$69,0,IF(K301=$K$51,0,1))))))))))))*AM301*AI301)</f>
        <v>0</v>
      </c>
      <c r="AX301" s="172">
        <f>IF(K301=$K$50,0,IF(K301=$K$53,0,IF(K301=$K$54,0,IF(K301=$K$55,0,IF(K301=$K$56,0,IF(K301=$K$57,0,IF(K301=$K$58,0,IF(K301=$K$65,0,IF(K301=$K$66,0,IF(K301=$K$67,0,IF(K301=$K$68,0,IF(K301=$K$69,0,IF(K301=$K$51,0,1))))))))))))*AM301*AJ301*$AX$94)</f>
        <v>0</v>
      </c>
      <c r="AY301" s="172">
        <f>IF(K301=$K$53,0,IF(K301=$K$54,0,IF(K301=$K$55,0,IF(K301=$K$56,0,IF(K301=$K$58,0,IF(K301=$K$50,0,IF(K301=$K$65,0,IF(K301=$K$57,0,IF(K301=$K$51,0,AM301*$AY$102)))))))))</f>
        <v>0</v>
      </c>
      <c r="AZ301" s="172">
        <f>IF(K301=$K$53,0,IF(K301=$K$54,0,IF(K301=$K$55,0,IF(K301=$K$56,0,IF(K301=$K$58,0,IF(K301=$K$50,0,IF(K301=$K$65,0,IF(K301=$K$57,0,IF(K301=$K$51,0,AM301*$AZ$102)))))))))</f>
        <v>0</v>
      </c>
      <c r="BA301" s="172">
        <f t="shared" si="69"/>
        <v>0</v>
      </c>
      <c r="BB301" s="173">
        <f>IF($BA$97=1,AQ301*$BB$102,IF(K301=$K$50,0,IF(K301=$K$53,0,IF(K301=$K$54,0,IF(K301=$K$55,0,IF(K301=$K$56,0,IF(K301=$K$57,0,IF(K301=$K$58,0,IF(K301=$K$65,0,IF(K301=$K$66,0,IF(K301=$K$67,0,IF(K301=$K$68,0,IF(K301=$K$69,0,IF(K301=$K$51,0,1)))))))))))*AQ301*$BB$102)))</f>
        <v>0</v>
      </c>
      <c r="BC301" s="172">
        <f t="shared" si="70"/>
        <v>0</v>
      </c>
      <c r="BD301" s="172">
        <f t="shared" si="71"/>
        <v>0</v>
      </c>
      <c r="BE301" s="172">
        <f>IF($BE$95=I301,$BE$97,IF(I301=$BE$96,$BE$97,1))*($BE$102*AQ301)*$AZ$97</f>
        <v>0</v>
      </c>
      <c r="BF301" s="172">
        <f>IF('[1]Cockpit Retorno'!$C$65=Sim,Mestre!BA301,SUM(BB301:BE301)+(IF(K301=$K$56,AQ301*MOE_IRRF_LR,0)))</f>
        <v>0</v>
      </c>
      <c r="BG301" s="174">
        <f>IF(AA301&gt;0,0,IF(Z301=$Z$82,AG301*1,(IF(Z301=$Z$81,AG301*1,0))))</f>
        <v>0</v>
      </c>
      <c r="BH301" s="174">
        <f>IF(AA301&gt;0,0,IF(Z301=$Z$83,AG301*1,IF(Z301=$Z$81,AG301*1,0)))</f>
        <v>0</v>
      </c>
      <c r="BI301" s="174">
        <f>IF(AA301&gt;0,0,IF(Z301=$Z$84,AG301*1,IF(Z301=$Z$93,AG301*2,IF(Z301=$Z$100,AG301,IF(Z301=$Z$81,AG301*2,IF(Z301=$Z$80,AG301*1,IF(Z301=$Z$79,AG301*3,IF(Z301=$Z$78,AG301*2,0))))))))</f>
        <v>0</v>
      </c>
      <c r="BJ301" s="174">
        <f>IF(AA301&gt;0,0,IF(Z301=$Z$85,AG301,IF(Z301=$Z$93,AG301,IF(Z301=$Z$100,AG301,IF(Z301=$Z$81,AG301*1,IF(Z301=$Z$80,AG301*2,IF(Z301=$Z$79,AG301*2,IF(Z301=$Z$78,AG301*2,0))))))))</f>
        <v>0</v>
      </c>
      <c r="BK301" s="174">
        <f>IF(AA301&gt;0,0,IF(Z301=$Z$92,AG301,0))</f>
        <v>0</v>
      </c>
      <c r="BL301" s="174">
        <f>IF(AA301&gt;0,0,IF(Z301=$Z$91,AG301,0))</f>
        <v>0</v>
      </c>
      <c r="BM301" s="174">
        <f>IF(AA301&gt;0,0,IF(Z301=$Z$86,AG301,0))</f>
        <v>0</v>
      </c>
      <c r="BN301" s="174">
        <f>IF(AA301&gt;0,0,IF(Z301=$Z$87,AG301,0))</f>
        <v>0</v>
      </c>
      <c r="BO301" s="174">
        <f>IF(AA301&gt;0,0,IF(Z301=$Z$88,AG301,0))</f>
        <v>0</v>
      </c>
      <c r="BP301" s="174">
        <f>IF(AA301&gt;0,0,IF(Z301=$Z$89,AG301,0))</f>
        <v>0</v>
      </c>
      <c r="BQ301" s="174">
        <f>IF(AA301&gt;0,0,IF(Z301=$Z$90,AG301,0))</f>
        <v>0</v>
      </c>
      <c r="BR301" s="174">
        <f>IF(Z301=$Z$82,AA301*AG301,0)</f>
        <v>0</v>
      </c>
      <c r="BS301" s="174">
        <f>IF(Z301=$Z$83,AA301*AG301,0)</f>
        <v>0</v>
      </c>
      <c r="BT301" s="174">
        <f>IF(AA301&lt;1,0,IF(Z301=$Z$84,AA301*AG301,IF(Z301=$Z$93,"ERRO",IF(Z301=$Z$100,"ERRO",0))))</f>
        <v>0</v>
      </c>
      <c r="BU301" s="174">
        <f>IF(AA301&lt;1,0,IF(Z301=$Z$85,AA301*AG301,IF(Z301=$Z$93,"ERRO",IF(Z301=$Z$100,"ERRO",0))))</f>
        <v>0</v>
      </c>
      <c r="BV301" s="174">
        <f>IF(Z301=$Z$92,AA301*AG301,0)</f>
        <v>0</v>
      </c>
      <c r="BW301" s="174">
        <f>IF(Z301=$Z$91,AA301*AG301,0)</f>
        <v>0</v>
      </c>
      <c r="BX301" s="174">
        <f>IF(Z301=$Z$86,AA301*AG301,0)</f>
        <v>0</v>
      </c>
      <c r="BY301" s="174">
        <f>IF(Z301=$Z$87,AA301*AG301,0)</f>
        <v>0</v>
      </c>
      <c r="BZ301" s="174">
        <f>IF(Z301=$Z$88,AA301*AG301,0)</f>
        <v>0</v>
      </c>
      <c r="CA301" s="174">
        <f>IF(Z301=$Z$89,AA301*AG301,0)</f>
        <v>0</v>
      </c>
      <c r="CB301" s="174">
        <f>IF(Z301=$Z$90,AA301*AG301,0)</f>
        <v>0</v>
      </c>
      <c r="CC301" s="175">
        <f>IFERROR(IF(L301=$L$49,AG301*AH301*(1+AI301)*(1-AK301)*(1-AL301),0),0)</f>
        <v>6126.6307500000012</v>
      </c>
      <c r="CD301" s="203">
        <f>IF(I301=$CD$97,1,IF(I301=$CD$100,2,IF(K301=$K$66,1,IF(K301=$K$69,1,3))))</f>
        <v>1</v>
      </c>
      <c r="CE301" s="203">
        <f t="shared" si="14"/>
        <v>1.07</v>
      </c>
      <c r="CF301" s="204">
        <f t="shared" si="54"/>
        <v>1.2353999999999998</v>
      </c>
      <c r="CG301" s="203">
        <f t="shared" si="15"/>
        <v>1.42</v>
      </c>
      <c r="CH301" s="204">
        <f t="shared" si="55"/>
        <v>1.5478000000000001</v>
      </c>
      <c r="CI301" s="203">
        <f t="shared" si="16"/>
        <v>1.7</v>
      </c>
      <c r="CJ301" s="205">
        <f t="shared" si="56"/>
        <v>1.0486</v>
      </c>
      <c r="CK301" s="205">
        <f t="shared" si="57"/>
        <v>1.148922</v>
      </c>
      <c r="CL301" s="205">
        <f t="shared" si="58"/>
        <v>1.3915999999999999</v>
      </c>
      <c r="CM301" s="205">
        <f t="shared" si="59"/>
        <v>1.501366</v>
      </c>
      <c r="CN301" s="206">
        <f t="shared" si="60"/>
        <v>1.6319999999999999</v>
      </c>
      <c r="CO301" s="204">
        <f t="shared" si="61"/>
        <v>1.006656</v>
      </c>
      <c r="CP301" s="207">
        <f t="shared" si="62"/>
        <v>0</v>
      </c>
      <c r="CQ301" s="208">
        <f t="shared" si="63"/>
        <v>0</v>
      </c>
      <c r="CR301" s="209">
        <f t="shared" si="72"/>
        <v>0</v>
      </c>
      <c r="CS301" s="49"/>
      <c r="CT301" s="49"/>
      <c r="CU301" s="49"/>
      <c r="CV301" s="49"/>
      <c r="CW301" s="49"/>
      <c r="CX301" s="49"/>
      <c r="CY301" s="49"/>
      <c r="CZ301" s="49"/>
      <c r="DA301" s="49"/>
      <c r="DB301" s="49"/>
      <c r="DC301" s="49"/>
      <c r="DD301" s="49"/>
      <c r="DE301" s="49"/>
      <c r="DF301" s="49"/>
      <c r="DG301" s="49"/>
      <c r="DH301" s="49"/>
      <c r="DI301" s="49"/>
      <c r="DJ301" s="49"/>
      <c r="DK301" s="49"/>
      <c r="DL301" s="49"/>
      <c r="DM301" s="49"/>
      <c r="DN301" s="49"/>
      <c r="DO301" s="49"/>
      <c r="DP301" s="49"/>
      <c r="DQ301" s="49"/>
      <c r="DR301" s="49"/>
      <c r="DS301" s="49"/>
      <c r="DT301" s="49"/>
      <c r="DU301" s="49"/>
      <c r="DV301" s="49"/>
      <c r="DW301" s="49"/>
      <c r="DX301" s="49"/>
      <c r="DY301" s="49"/>
      <c r="DZ301" s="49"/>
      <c r="EA301" s="49"/>
      <c r="EB301" s="49"/>
      <c r="EC301" s="49"/>
      <c r="ED301" s="49"/>
      <c r="EE301" s="49"/>
      <c r="EF301" s="49"/>
      <c r="EG301" s="49"/>
      <c r="EH301" s="49"/>
      <c r="EI301" s="49"/>
      <c r="EJ301" s="49"/>
      <c r="EK301" s="49"/>
      <c r="EL301" s="49"/>
      <c r="EM301" s="49"/>
      <c r="EN301" s="49"/>
      <c r="EO301" s="49"/>
      <c r="EP301" s="49"/>
      <c r="EQ301" s="49"/>
      <c r="ER301" s="49"/>
      <c r="ES301" s="49"/>
      <c r="ET301" s="49"/>
      <c r="EU301" s="49"/>
      <c r="EV301" s="49"/>
      <c r="EW301" s="49"/>
      <c r="EX301" s="49"/>
      <c r="EY301" s="49"/>
      <c r="EZ301" s="49"/>
      <c r="FA301" s="49"/>
    </row>
    <row r="302" spans="1:157" s="210" customFormat="1" ht="63.75" x14ac:dyDescent="0.25">
      <c r="A302" s="113">
        <f>IF(AND('[1]Cockpit Retorno'!$E$67=Sim,Mestre!M302=Mestre!$M$98),0,1)</f>
        <v>1</v>
      </c>
      <c r="B302" s="113">
        <f>IF(AND('[1]Cockpit Retorno'!$E$67=Sim,Mestre!L302=Mestre!$L$48),0,1)</f>
        <v>0</v>
      </c>
      <c r="C302" s="113">
        <f>IF(AND('[1]Cockpit Retorno'!$E$67=Sim,Mestre!M302=Mestre!$M$97),0,1)</f>
        <v>1</v>
      </c>
      <c r="D302" s="148" t="s">
        <v>7</v>
      </c>
      <c r="E302" s="115"/>
      <c r="F302" s="116" t="s">
        <v>107</v>
      </c>
      <c r="G302" s="149"/>
      <c r="H302" s="150" t="s">
        <v>7</v>
      </c>
      <c r="I302" s="151" t="str">
        <f t="shared" si="65"/>
        <v>Mercadorias</v>
      </c>
      <c r="J302" s="150" t="s">
        <v>15</v>
      </c>
      <c r="K302" s="152" t="s">
        <v>7</v>
      </c>
      <c r="L302" s="153" t="s">
        <v>15</v>
      </c>
      <c r="M302" s="154" t="s">
        <v>421</v>
      </c>
      <c r="N302" s="155" t="s">
        <v>450</v>
      </c>
      <c r="O302" s="155" t="s">
        <v>412</v>
      </c>
      <c r="P302" s="155"/>
      <c r="Q302" s="155"/>
      <c r="R302" s="155"/>
      <c r="S302" s="156"/>
      <c r="T302" s="156"/>
      <c r="U302" s="150"/>
      <c r="V302" s="150"/>
      <c r="W302" s="150"/>
      <c r="X302" s="157" t="s">
        <v>455</v>
      </c>
      <c r="Y302" s="150"/>
      <c r="Z302" s="150"/>
      <c r="AA302" s="158"/>
      <c r="AB302" s="155"/>
      <c r="AC302" s="150"/>
      <c r="AD302" s="155"/>
      <c r="AE302" s="155"/>
      <c r="AF302" s="150"/>
      <c r="AG302" s="159">
        <v>50</v>
      </c>
      <c r="AH302" s="211">
        <v>32.550000000000004</v>
      </c>
      <c r="AI302" s="202">
        <v>0</v>
      </c>
      <c r="AJ302" s="161">
        <v>0.12</v>
      </c>
      <c r="AK302" s="162"/>
      <c r="AL302" s="163"/>
      <c r="AM302" s="164">
        <f>(((IF(L302=$L$101,1,IF(L302=$L$47,1,0))*(AH302*(1-AK302)))*AG302)*(1-AL302))</f>
        <v>1627.5000000000002</v>
      </c>
      <c r="AN302" s="165">
        <f>IF(K302=$K$50,AM302,IF(K302=$K$53,AM302,IF(K302=$K$54,AM302,IF(K302=$K$55,AM302,IF(K302=$K$56,AM302,IF(K302=$K$57,AM302,IF(K302=$K$58,AM302,IF(K302=$K$65,AM302,IF(K302=$K$66,AM302,IF(K302=$K$67,AM302,IF(K302=$K$68,AM302,IF(K302=$K$69,AM302,IF(K302=$K$51,AM302,(AM302*(1+AI302)))))))))))))))</f>
        <v>1627.5000000000002</v>
      </c>
      <c r="AO302" s="166">
        <v>1.4</v>
      </c>
      <c r="AP302" s="160">
        <f t="shared" si="66"/>
        <v>2278.5</v>
      </c>
      <c r="AQ302" s="167">
        <f t="shared" ref="AQ302:AQ314" si="73">AP302*Fator_Venda</f>
        <v>1974.2412209582089</v>
      </c>
      <c r="AR302" s="160">
        <f t="shared" si="67"/>
        <v>2278.5</v>
      </c>
      <c r="AS302" s="168">
        <f t="shared" si="68"/>
        <v>1.2612750638360886</v>
      </c>
      <c r="AT302" s="169" t="str">
        <f>K302</f>
        <v>MI</v>
      </c>
      <c r="AU302" s="169" t="str">
        <f>I302</f>
        <v>Mercadorias</v>
      </c>
      <c r="AV302" s="170"/>
      <c r="AW302" s="171">
        <f>IF(K302=$K$50,0,IF(K302=$K$53,0,IF(K302=$K$54,0,IF(K302=$K$55,0,IF(K302=$K$56,0,IF(K302=$K$57,0,IF(K302=$K$58,0,IF(K302=$K$65,0,IF(K302=$K$66,0,IF(K302=$K$67,0,IF(K302=$K$68,0,IF(K302=$K$69,0,IF(K302=$K$51,0,1))))))))))))*AM302*AI302)</f>
        <v>0</v>
      </c>
      <c r="AX302" s="172">
        <f>IF(K302=$K$50,0,IF(K302=$K$53,0,IF(K302=$K$54,0,IF(K302=$K$55,0,IF(K302=$K$56,0,IF(K302=$K$57,0,IF(K302=$K$58,0,IF(K302=$K$65,0,IF(K302=$K$66,0,IF(K302=$K$67,0,IF(K302=$K$68,0,IF(K302=$K$69,0,IF(K302=$K$51,0,1))))))))))))*AM302*AJ302*$AX$94)</f>
        <v>0</v>
      </c>
      <c r="AY302" s="172">
        <f>IF(K302=$K$53,0,IF(K302=$K$54,0,IF(K302=$K$55,0,IF(K302=$K$56,0,IF(K302=$K$58,0,IF(K302=$K$50,0,IF(K302=$K$65,0,IF(K302=$K$57,0,IF(K302=$K$51,0,AM302*$AY$102)))))))))</f>
        <v>26.853750000000005</v>
      </c>
      <c r="AZ302" s="172">
        <f>IF(K302=$K$53,0,IF(K302=$K$54,0,IF(K302=$K$55,0,IF(K302=$K$56,0,IF(K302=$K$58,0,IF(K302=$K$50,0,IF(K302=$K$65,0,IF(K302=$K$57,0,IF(K302=$K$51,0,AM302*$AZ$102)))))))))</f>
        <v>123.69000000000001</v>
      </c>
      <c r="BA302" s="172">
        <f t="shared" si="69"/>
        <v>150.54375000000002</v>
      </c>
      <c r="BB302" s="173">
        <f>IF($BA$97=1,AQ302*$BB$102,IF(K302=$K$50,0,IF(K302=$K$53,0,IF(K302=$K$54,0,IF(K302=$K$55,0,IF(K302=$K$56,0,IF(K302=$K$57,0,IF(K302=$K$58,0,IF(K302=$K$65,0,IF(K302=$K$66,0,IF(K302=$K$67,0,IF(K302=$K$68,0,IF(K302=$K$69,0,IF(K302=$K$51,0,1)))))))))))*AQ302*$BB$102)))</f>
        <v>0</v>
      </c>
      <c r="BC302" s="172">
        <f t="shared" si="70"/>
        <v>12.83256793622836</v>
      </c>
      <c r="BD302" s="172">
        <f t="shared" si="71"/>
        <v>59.227236628746269</v>
      </c>
      <c r="BE302" s="172">
        <f>IF($BE$95=I302,$BE$97,IF(I302=$BE$96,$BE$97,1))*($BE$102*AQ302)*$AZ$97</f>
        <v>0</v>
      </c>
      <c r="BF302" s="172">
        <f>IF('[1]Cockpit Retorno'!$C$65=Sim,Mestre!BA302,SUM(BB302:BE302)+(IF(K302=$K$56,AQ302*MOE_IRRF_LR,0)))</f>
        <v>72.059804564974627</v>
      </c>
      <c r="BG302" s="174">
        <f>IF(AA302&gt;0,0,IF(Z302=$Z$82,AG302*1,(IF(Z302=$Z$81,AG302*1,0))))</f>
        <v>0</v>
      </c>
      <c r="BH302" s="174">
        <f>IF(AA302&gt;0,0,IF(Z302=$Z$83,AG302*1,IF(Z302=$Z$81,AG302*1,0)))</f>
        <v>0</v>
      </c>
      <c r="BI302" s="174">
        <f>IF(AA302&gt;0,0,IF(Z302=$Z$84,AG302*1,IF(Z302=$Z$93,AG302*2,IF(Z302=$Z$100,AG302,IF(Z302=$Z$81,AG302*2,IF(Z302=$Z$80,AG302*1,IF(Z302=$Z$79,AG302*3,IF(Z302=$Z$78,AG302*2,0))))))))</f>
        <v>0</v>
      </c>
      <c r="BJ302" s="174">
        <f>IF(AA302&gt;0,0,IF(Z302=$Z$85,AG302,IF(Z302=$Z$93,AG302,IF(Z302=$Z$100,AG302,IF(Z302=$Z$81,AG302*1,IF(Z302=$Z$80,AG302*2,IF(Z302=$Z$79,AG302*2,IF(Z302=$Z$78,AG302*2,0))))))))</f>
        <v>0</v>
      </c>
      <c r="BK302" s="174">
        <f>IF(AA302&gt;0,0,IF(Z302=$Z$92,AG302,0))</f>
        <v>0</v>
      </c>
      <c r="BL302" s="174">
        <f>IF(AA302&gt;0,0,IF(Z302=$Z$91,AG302,0))</f>
        <v>0</v>
      </c>
      <c r="BM302" s="174">
        <f>IF(AA302&gt;0,0,IF(Z302=$Z$86,AG302,0))</f>
        <v>0</v>
      </c>
      <c r="BN302" s="174">
        <f>IF(AA302&gt;0,0,IF(Z302=$Z$87,AG302,0))</f>
        <v>0</v>
      </c>
      <c r="BO302" s="174">
        <f>IF(AA302&gt;0,0,IF(Z302=$Z$88,AG302,0))</f>
        <v>0</v>
      </c>
      <c r="BP302" s="174">
        <f>IF(AA302&gt;0,0,IF(Z302=$Z$89,AG302,0))</f>
        <v>0</v>
      </c>
      <c r="BQ302" s="174">
        <f>IF(AA302&gt;0,0,IF(Z302=$Z$90,AG302,0))</f>
        <v>0</v>
      </c>
      <c r="BR302" s="174">
        <f>IF(Z302=$Z$82,AA302*AG302,0)</f>
        <v>0</v>
      </c>
      <c r="BS302" s="174">
        <f>IF(Z302=$Z$83,AA302*AG302,0)</f>
        <v>0</v>
      </c>
      <c r="BT302" s="174">
        <f>IF(AA302&lt;1,0,IF(Z302=$Z$84,AA302*AG302,IF(Z302=$Z$93,"ERRO",IF(Z302=$Z$100,"ERRO",0))))</f>
        <v>0</v>
      </c>
      <c r="BU302" s="174">
        <f>IF(AA302&lt;1,0,IF(Z302=$Z$85,AA302*AG302,IF(Z302=$Z$93,"ERRO",IF(Z302=$Z$100,"ERRO",0))))</f>
        <v>0</v>
      </c>
      <c r="BV302" s="174">
        <f>IF(Z302=$Z$92,AA302*AG302,0)</f>
        <v>0</v>
      </c>
      <c r="BW302" s="174">
        <f>IF(Z302=$Z$91,AA302*AG302,0)</f>
        <v>0</v>
      </c>
      <c r="BX302" s="174">
        <f>IF(Z302=$Z$86,AA302*AG302,0)</f>
        <v>0</v>
      </c>
      <c r="BY302" s="174">
        <f>IF(Z302=$Z$87,AA302*AG302,0)</f>
        <v>0</v>
      </c>
      <c r="BZ302" s="174">
        <f>IF(Z302=$Z$88,AA302*AG302,0)</f>
        <v>0</v>
      </c>
      <c r="CA302" s="174">
        <f>IF(Z302=$Z$89,AA302*AG302,0)</f>
        <v>0</v>
      </c>
      <c r="CB302" s="174">
        <f>IF(Z302=$Z$90,AA302*AG302,0)</f>
        <v>0</v>
      </c>
      <c r="CC302" s="175">
        <f>IFERROR(IF(L302=$L$49,AG302*AH302*(1+AI302)*(1-AK302)*(1-AL302),0),0)</f>
        <v>0</v>
      </c>
      <c r="CD302" s="203">
        <f>IF(I302=$CD$97,1,IF(I302=$CD$100,2,IF(K302=$K$66,1,IF(K302=$K$69,1,3))))</f>
        <v>1</v>
      </c>
      <c r="CE302" s="203">
        <f t="shared" si="14"/>
        <v>1.07</v>
      </c>
      <c r="CF302" s="204">
        <f t="shared" si="54"/>
        <v>1.2353999999999998</v>
      </c>
      <c r="CG302" s="203">
        <f t="shared" si="15"/>
        <v>1.42</v>
      </c>
      <c r="CH302" s="204">
        <f t="shared" si="55"/>
        <v>1.5478000000000001</v>
      </c>
      <c r="CI302" s="203">
        <f t="shared" si="16"/>
        <v>1.7</v>
      </c>
      <c r="CJ302" s="205">
        <f t="shared" si="56"/>
        <v>1.0486</v>
      </c>
      <c r="CK302" s="205">
        <f t="shared" si="57"/>
        <v>1.148922</v>
      </c>
      <c r="CL302" s="205">
        <f t="shared" si="58"/>
        <v>1.3915999999999999</v>
      </c>
      <c r="CM302" s="205">
        <f t="shared" si="59"/>
        <v>1.501366</v>
      </c>
      <c r="CN302" s="206">
        <f t="shared" si="60"/>
        <v>1.6319999999999999</v>
      </c>
      <c r="CO302" s="204">
        <f t="shared" si="61"/>
        <v>1.006656</v>
      </c>
      <c r="CP302" s="207">
        <f t="shared" si="62"/>
        <v>-78.48394543502539</v>
      </c>
      <c r="CQ302" s="208">
        <f t="shared" si="63"/>
        <v>2052.7251663932343</v>
      </c>
      <c r="CR302" s="209">
        <f t="shared" si="72"/>
        <v>72.059804564974627</v>
      </c>
      <c r="CS302" s="49"/>
      <c r="CT302" s="49"/>
      <c r="CU302" s="49"/>
      <c r="CV302" s="49"/>
      <c r="CW302" s="49"/>
      <c r="CX302" s="49"/>
      <c r="CY302" s="49"/>
      <c r="CZ302" s="49"/>
      <c r="DA302" s="49"/>
      <c r="DB302" s="49"/>
      <c r="DC302" s="49"/>
      <c r="DD302" s="49"/>
      <c r="DE302" s="49"/>
      <c r="DF302" s="49"/>
      <c r="DG302" s="49"/>
      <c r="DH302" s="49"/>
      <c r="DI302" s="49"/>
      <c r="DJ302" s="49"/>
      <c r="DK302" s="49"/>
      <c r="DL302" s="49"/>
      <c r="DM302" s="49"/>
      <c r="DN302" s="49"/>
      <c r="DO302" s="49"/>
      <c r="DP302" s="49"/>
      <c r="DQ302" s="49"/>
      <c r="DR302" s="49"/>
      <c r="DS302" s="49"/>
      <c r="DT302" s="49"/>
      <c r="DU302" s="49"/>
      <c r="DV302" s="49"/>
      <c r="DW302" s="49"/>
      <c r="DX302" s="49"/>
      <c r="DY302" s="49"/>
      <c r="DZ302" s="49"/>
      <c r="EA302" s="49"/>
      <c r="EB302" s="49"/>
      <c r="EC302" s="49"/>
      <c r="ED302" s="49"/>
      <c r="EE302" s="49"/>
      <c r="EF302" s="49"/>
      <c r="EG302" s="49"/>
      <c r="EH302" s="49"/>
      <c r="EI302" s="49"/>
      <c r="EJ302" s="49"/>
      <c r="EK302" s="49"/>
      <c r="EL302" s="49"/>
      <c r="EM302" s="49"/>
      <c r="EN302" s="49"/>
      <c r="EO302" s="49"/>
      <c r="EP302" s="49"/>
      <c r="EQ302" s="49"/>
      <c r="ER302" s="49"/>
      <c r="ES302" s="49"/>
      <c r="ET302" s="49"/>
      <c r="EU302" s="49"/>
      <c r="EV302" s="49"/>
      <c r="EW302" s="49"/>
      <c r="EX302" s="49"/>
      <c r="EY302" s="49"/>
      <c r="EZ302" s="49"/>
      <c r="FA302" s="49"/>
    </row>
    <row r="303" spans="1:157" s="210" customFormat="1" ht="25.5" x14ac:dyDescent="0.25">
      <c r="A303" s="113">
        <f>IF(AND('[1]Cockpit Retorno'!$E$67=Sim,Mestre!M303=Mestre!$M$98),0,1)</f>
        <v>1</v>
      </c>
      <c r="B303" s="113">
        <f>IF(AND('[1]Cockpit Retorno'!$E$67=Sim,Mestre!L303=Mestre!$L$48),0,1)</f>
        <v>1</v>
      </c>
      <c r="C303" s="113">
        <f>IF(AND('[1]Cockpit Retorno'!$E$67=Sim,Mestre!M303=Mestre!$M$97),0,1)</f>
        <v>1</v>
      </c>
      <c r="D303" s="148" t="s">
        <v>7</v>
      </c>
      <c r="E303" s="115"/>
      <c r="F303" s="116" t="s">
        <v>107</v>
      </c>
      <c r="G303" s="149">
        <v>59</v>
      </c>
      <c r="H303" s="150" t="s">
        <v>7</v>
      </c>
      <c r="I303" s="151" t="str">
        <f t="shared" si="65"/>
        <v>Mercadorias</v>
      </c>
      <c r="J303" s="150" t="s">
        <v>15</v>
      </c>
      <c r="K303" s="152" t="s">
        <v>7</v>
      </c>
      <c r="L303" s="153" t="s">
        <v>12</v>
      </c>
      <c r="M303" s="154" t="s">
        <v>421</v>
      </c>
      <c r="N303" s="155" t="s">
        <v>450</v>
      </c>
      <c r="O303" s="155" t="s">
        <v>412</v>
      </c>
      <c r="P303" s="155"/>
      <c r="Q303" s="155"/>
      <c r="R303" s="155"/>
      <c r="S303" s="156"/>
      <c r="T303" s="156"/>
      <c r="U303" s="150"/>
      <c r="V303" s="150"/>
      <c r="W303" s="150"/>
      <c r="X303" s="157" t="s">
        <v>456</v>
      </c>
      <c r="Y303" s="150"/>
      <c r="Z303" s="150"/>
      <c r="AA303" s="158"/>
      <c r="AB303" s="155"/>
      <c r="AC303" s="150"/>
      <c r="AD303" s="155"/>
      <c r="AE303" s="155"/>
      <c r="AF303" s="150"/>
      <c r="AG303" s="159">
        <v>50</v>
      </c>
      <c r="AH303" s="211">
        <v>111.60000000000001</v>
      </c>
      <c r="AI303" s="202">
        <v>0</v>
      </c>
      <c r="AJ303" s="161">
        <v>7.0000000000000007E-2</v>
      </c>
      <c r="AK303" s="162"/>
      <c r="AL303" s="163"/>
      <c r="AM303" s="164">
        <f>(((IF(L303=$L$101,1,IF(L303=$L$47,1,0))*(AH303*(1-AK303)))*AG303)*(1-AL303))</f>
        <v>5580</v>
      </c>
      <c r="AN303" s="165">
        <f>IF(K303=$K$50,AM303,IF(K303=$K$53,AM303,IF(K303=$K$54,AM303,IF(K303=$K$55,AM303,IF(K303=$K$56,AM303,IF(K303=$K$57,AM303,IF(K303=$K$58,AM303,IF(K303=$K$65,AM303,IF(K303=$K$66,AM303,IF(K303=$K$67,AM303,IF(K303=$K$68,AM303,IF(K303=$K$69,AM303,IF(K303=$K$51,AM303,(AM303*(1+AI303)))))))))))))))</f>
        <v>5580</v>
      </c>
      <c r="AO303" s="166">
        <v>1.4</v>
      </c>
      <c r="AP303" s="160">
        <f t="shared" si="66"/>
        <v>7811.9999999999991</v>
      </c>
      <c r="AQ303" s="167">
        <f t="shared" si="73"/>
        <v>6768.8270432852869</v>
      </c>
      <c r="AR303" s="160">
        <f t="shared" si="67"/>
        <v>7811.9999999999991</v>
      </c>
      <c r="AS303" s="168">
        <f t="shared" si="68"/>
        <v>1.2612750638360886</v>
      </c>
      <c r="AT303" s="169" t="str">
        <f>K303</f>
        <v>MI</v>
      </c>
      <c r="AU303" s="169" t="str">
        <f>I303</f>
        <v>Mercadorias</v>
      </c>
      <c r="AV303" s="170"/>
      <c r="AW303" s="171">
        <f>IF(K303=$K$50,0,IF(K303=$K$53,0,IF(K303=$K$54,0,IF(K303=$K$55,0,IF(K303=$K$56,0,IF(K303=$K$57,0,IF(K303=$K$58,0,IF(K303=$K$65,0,IF(K303=$K$66,0,IF(K303=$K$67,0,IF(K303=$K$68,0,IF(K303=$K$69,0,IF(K303=$K$51,0,1))))))))))))*AM303*AI303)</f>
        <v>0</v>
      </c>
      <c r="AX303" s="172">
        <f>IF(K303=$K$50,0,IF(K303=$K$53,0,IF(K303=$K$54,0,IF(K303=$K$55,0,IF(K303=$K$56,0,IF(K303=$K$57,0,IF(K303=$K$58,0,IF(K303=$K$65,0,IF(K303=$K$66,0,IF(K303=$K$67,0,IF(K303=$K$68,0,IF(K303=$K$69,0,IF(K303=$K$51,0,1))))))))))))*AM303*AJ303*$AX$94)</f>
        <v>0</v>
      </c>
      <c r="AY303" s="172">
        <f>IF(K303=$K$53,0,IF(K303=$K$54,0,IF(K303=$K$55,0,IF(K303=$K$56,0,IF(K303=$K$58,0,IF(K303=$K$50,0,IF(K303=$K$65,0,IF(K303=$K$57,0,IF(K303=$K$51,0,AM303*$AY$102)))))))))</f>
        <v>92.070000000000007</v>
      </c>
      <c r="AZ303" s="172">
        <f>IF(K303=$K$53,0,IF(K303=$K$54,0,IF(K303=$K$55,0,IF(K303=$K$56,0,IF(K303=$K$58,0,IF(K303=$K$50,0,IF(K303=$K$65,0,IF(K303=$K$57,0,IF(K303=$K$51,0,AM303*$AZ$102)))))))))</f>
        <v>424.08</v>
      </c>
      <c r="BA303" s="172">
        <f t="shared" si="69"/>
        <v>516.15</v>
      </c>
      <c r="BB303" s="173">
        <f>IF($BA$97=1,AQ303*$BB$102,IF(K303=$K$50,0,IF(K303=$K$53,0,IF(K303=$K$54,0,IF(K303=$K$55,0,IF(K303=$K$56,0,IF(K303=$K$57,0,IF(K303=$K$58,0,IF(K303=$K$65,0,IF(K303=$K$66,0,IF(K303=$K$67,0,IF(K303=$K$68,0,IF(K303=$K$69,0,IF(K303=$K$51,0,1)))))))))))*AQ303*$BB$102)))</f>
        <v>0</v>
      </c>
      <c r="BC303" s="172">
        <f t="shared" si="70"/>
        <v>43.997375781354371</v>
      </c>
      <c r="BD303" s="172">
        <f t="shared" si="71"/>
        <v>203.0648112985586</v>
      </c>
      <c r="BE303" s="172">
        <f>IF($BE$95=I303,$BE$97,IF(I303=$BE$96,$BE$97,1))*($BE$102*AQ303)*$AZ$97</f>
        <v>0</v>
      </c>
      <c r="BF303" s="172">
        <f>IF('[1]Cockpit Retorno'!$C$65=Sim,Mestre!BA303,SUM(BB303:BE303)+(IF(K303=$K$56,AQ303*MOE_IRRF_LR,0)))</f>
        <v>247.06218707991297</v>
      </c>
      <c r="BG303" s="174">
        <f>IF(AA303&gt;0,0,IF(Z303=$Z$82,AG303*1,(IF(Z303=$Z$81,AG303*1,0))))</f>
        <v>0</v>
      </c>
      <c r="BH303" s="174">
        <f>IF(AA303&gt;0,0,IF(Z303=$Z$83,AG303*1,IF(Z303=$Z$81,AG303*1,0)))</f>
        <v>0</v>
      </c>
      <c r="BI303" s="174">
        <f>IF(AA303&gt;0,0,IF(Z303=$Z$84,AG303*1,IF(Z303=$Z$93,AG303*2,IF(Z303=$Z$100,AG303,IF(Z303=$Z$81,AG303*2,IF(Z303=$Z$80,AG303*1,IF(Z303=$Z$79,AG303*3,IF(Z303=$Z$78,AG303*2,0))))))))</f>
        <v>0</v>
      </c>
      <c r="BJ303" s="174">
        <f>IF(AA303&gt;0,0,IF(Z303=$Z$85,AG303,IF(Z303=$Z$93,AG303,IF(Z303=$Z$100,AG303,IF(Z303=$Z$81,AG303*1,IF(Z303=$Z$80,AG303*2,IF(Z303=$Z$79,AG303*2,IF(Z303=$Z$78,AG303*2,0))))))))</f>
        <v>0</v>
      </c>
      <c r="BK303" s="174">
        <f>IF(AA303&gt;0,0,IF(Z303=$Z$92,AG303,0))</f>
        <v>0</v>
      </c>
      <c r="BL303" s="174">
        <f>IF(AA303&gt;0,0,IF(Z303=$Z$91,AG303,0))</f>
        <v>0</v>
      </c>
      <c r="BM303" s="174">
        <f>IF(AA303&gt;0,0,IF(Z303=$Z$86,AG303,0))</f>
        <v>0</v>
      </c>
      <c r="BN303" s="174">
        <f>IF(AA303&gt;0,0,IF(Z303=$Z$87,AG303,0))</f>
        <v>0</v>
      </c>
      <c r="BO303" s="174">
        <f>IF(AA303&gt;0,0,IF(Z303=$Z$88,AG303,0))</f>
        <v>0</v>
      </c>
      <c r="BP303" s="174">
        <f>IF(AA303&gt;0,0,IF(Z303=$Z$89,AG303,0))</f>
        <v>0</v>
      </c>
      <c r="BQ303" s="174">
        <f>IF(AA303&gt;0,0,IF(Z303=$Z$90,AG303,0))</f>
        <v>0</v>
      </c>
      <c r="BR303" s="174">
        <f>IF(Z303=$Z$82,AA303*AG303,0)</f>
        <v>0</v>
      </c>
      <c r="BS303" s="174">
        <f>IF(Z303=$Z$83,AA303*AG303,0)</f>
        <v>0</v>
      </c>
      <c r="BT303" s="174">
        <f>IF(AA303&lt;1,0,IF(Z303=$Z$84,AA303*AG303,IF(Z303=$Z$93,"ERRO",IF(Z303=$Z$100,"ERRO",0))))</f>
        <v>0</v>
      </c>
      <c r="BU303" s="174">
        <f>IF(AA303&lt;1,0,IF(Z303=$Z$85,AA303*AG303,IF(Z303=$Z$93,"ERRO",IF(Z303=$Z$100,"ERRO",0))))</f>
        <v>0</v>
      </c>
      <c r="BV303" s="174">
        <f>IF(Z303=$Z$92,AA303*AG303,0)</f>
        <v>0</v>
      </c>
      <c r="BW303" s="174">
        <f>IF(Z303=$Z$91,AA303*AG303,0)</f>
        <v>0</v>
      </c>
      <c r="BX303" s="174">
        <f>IF(Z303=$Z$86,AA303*AG303,0)</f>
        <v>0</v>
      </c>
      <c r="BY303" s="174">
        <f>IF(Z303=$Z$87,AA303*AG303,0)</f>
        <v>0</v>
      </c>
      <c r="BZ303" s="174">
        <f>IF(Z303=$Z$88,AA303*AG303,0)</f>
        <v>0</v>
      </c>
      <c r="CA303" s="174">
        <f>IF(Z303=$Z$89,AA303*AG303,0)</f>
        <v>0</v>
      </c>
      <c r="CB303" s="174">
        <f>IF(Z303=$Z$90,AA303*AG303,0)</f>
        <v>0</v>
      </c>
      <c r="CC303" s="175">
        <f>IFERROR(IF(L303=$L$49,AG303*AH303*(1+AI303)*(1-AK303)*(1-AL303),0),0)</f>
        <v>0</v>
      </c>
      <c r="CD303" s="203">
        <f>IF(I303=$CD$97,1,IF(I303=$CD$100,2,IF(K303=$K$66,1,IF(K303=$K$69,1,3))))</f>
        <v>1</v>
      </c>
      <c r="CE303" s="203">
        <f>IF($CD303=1,1.07,IF($CD303=2,1.07,1.3))</f>
        <v>1.07</v>
      </c>
      <c r="CF303" s="204">
        <f t="shared" si="54"/>
        <v>1.2353999999999998</v>
      </c>
      <c r="CG303" s="203">
        <f>IF($CD303=1,1.42,IF($CD303=2,1.47,2))</f>
        <v>1.42</v>
      </c>
      <c r="CH303" s="204">
        <f t="shared" si="55"/>
        <v>1.5478000000000001</v>
      </c>
      <c r="CI303" s="203">
        <f>IF($CD303=1,1.7,IF($CD303=2,1.7,2.4))</f>
        <v>1.7</v>
      </c>
      <c r="CJ303" s="205">
        <f t="shared" si="56"/>
        <v>1.0486</v>
      </c>
      <c r="CK303" s="205">
        <f t="shared" si="57"/>
        <v>1.148922</v>
      </c>
      <c r="CL303" s="205">
        <f t="shared" si="58"/>
        <v>1.3915999999999999</v>
      </c>
      <c r="CM303" s="205">
        <f t="shared" si="59"/>
        <v>1.501366</v>
      </c>
      <c r="CN303" s="206">
        <f t="shared" si="60"/>
        <v>1.6319999999999999</v>
      </c>
      <c r="CO303" s="204">
        <f t="shared" si="61"/>
        <v>1.006656</v>
      </c>
      <c r="CP303" s="207">
        <f t="shared" si="62"/>
        <v>-269.087812920087</v>
      </c>
      <c r="CQ303" s="208">
        <f t="shared" si="63"/>
        <v>7037.9148562053742</v>
      </c>
      <c r="CR303" s="209">
        <f t="shared" si="72"/>
        <v>247.06218707991297</v>
      </c>
      <c r="CS303" s="49"/>
      <c r="CT303" s="49"/>
      <c r="CU303" s="49"/>
      <c r="CV303" s="49"/>
      <c r="CW303" s="49"/>
      <c r="CX303" s="49"/>
      <c r="CY303" s="49"/>
      <c r="CZ303" s="49"/>
      <c r="DA303" s="49"/>
      <c r="DB303" s="49"/>
      <c r="DC303" s="49"/>
      <c r="DD303" s="49"/>
      <c r="DE303" s="49"/>
      <c r="DF303" s="49"/>
      <c r="DG303" s="49"/>
      <c r="DH303" s="49"/>
      <c r="DI303" s="49"/>
      <c r="DJ303" s="49"/>
      <c r="DK303" s="49"/>
      <c r="DL303" s="49"/>
      <c r="DM303" s="49"/>
      <c r="DN303" s="49"/>
      <c r="DO303" s="49"/>
      <c r="DP303" s="49"/>
      <c r="DQ303" s="49"/>
      <c r="DR303" s="49"/>
      <c r="DS303" s="49"/>
      <c r="DT303" s="49"/>
      <c r="DU303" s="49"/>
      <c r="DV303" s="49"/>
      <c r="DW303" s="49"/>
      <c r="DX303" s="49"/>
      <c r="DY303" s="49"/>
      <c r="DZ303" s="49"/>
      <c r="EA303" s="49"/>
      <c r="EB303" s="49"/>
      <c r="EC303" s="49"/>
      <c r="ED303" s="49"/>
      <c r="EE303" s="49"/>
      <c r="EF303" s="49"/>
      <c r="EG303" s="49"/>
      <c r="EH303" s="49"/>
      <c r="EI303" s="49"/>
      <c r="EJ303" s="49"/>
      <c r="EK303" s="49"/>
      <c r="EL303" s="49"/>
      <c r="EM303" s="49"/>
      <c r="EN303" s="49"/>
      <c r="EO303" s="49"/>
      <c r="EP303" s="49"/>
      <c r="EQ303" s="49"/>
      <c r="ER303" s="49"/>
      <c r="ES303" s="49"/>
      <c r="ET303" s="49"/>
      <c r="EU303" s="49"/>
      <c r="EV303" s="49"/>
      <c r="EW303" s="49"/>
      <c r="EX303" s="49"/>
      <c r="EY303" s="49"/>
      <c r="EZ303" s="49"/>
      <c r="FA303" s="49"/>
    </row>
    <row r="304" spans="1:157" s="210" customFormat="1" ht="25.5" x14ac:dyDescent="0.25">
      <c r="A304" s="113">
        <f>IF(AND('[1]Cockpit Retorno'!$E$67=Sim,Mestre!M304=Mestre!$M$98),0,1)</f>
        <v>1</v>
      </c>
      <c r="B304" s="113">
        <f>IF(AND('[1]Cockpit Retorno'!$E$67=Sim,Mestre!L304=Mestre!$L$48),0,1)</f>
        <v>0</v>
      </c>
      <c r="C304" s="113">
        <f>IF(AND('[1]Cockpit Retorno'!$E$67=Sim,Mestre!M304=Mestre!$M$97),0,1)</f>
        <v>1</v>
      </c>
      <c r="D304" s="148" t="s">
        <v>7</v>
      </c>
      <c r="E304" s="115"/>
      <c r="F304" s="116" t="s">
        <v>107</v>
      </c>
      <c r="G304" s="149">
        <v>59</v>
      </c>
      <c r="H304" s="150" t="s">
        <v>7</v>
      </c>
      <c r="I304" s="151" t="str">
        <f t="shared" si="65"/>
        <v>Mercadorias</v>
      </c>
      <c r="J304" s="150" t="s">
        <v>15</v>
      </c>
      <c r="K304" s="152" t="s">
        <v>7</v>
      </c>
      <c r="L304" s="153" t="s">
        <v>15</v>
      </c>
      <c r="M304" s="154" t="s">
        <v>421</v>
      </c>
      <c r="N304" s="155" t="s">
        <v>450</v>
      </c>
      <c r="O304" s="155" t="s">
        <v>412</v>
      </c>
      <c r="P304" s="155"/>
      <c r="Q304" s="155"/>
      <c r="R304" s="155"/>
      <c r="S304" s="156"/>
      <c r="T304" s="156"/>
      <c r="U304" s="150"/>
      <c r="V304" s="150"/>
      <c r="W304" s="150"/>
      <c r="X304" s="157" t="s">
        <v>456</v>
      </c>
      <c r="Y304" s="150"/>
      <c r="Z304" s="150"/>
      <c r="AA304" s="158"/>
      <c r="AB304" s="155"/>
      <c r="AC304" s="150"/>
      <c r="AD304" s="155"/>
      <c r="AE304" s="155"/>
      <c r="AF304" s="150"/>
      <c r="AG304" s="159">
        <v>10</v>
      </c>
      <c r="AH304" s="211">
        <v>111.60000000000001</v>
      </c>
      <c r="AI304" s="202">
        <v>0</v>
      </c>
      <c r="AJ304" s="161">
        <v>0.12</v>
      </c>
      <c r="AK304" s="162"/>
      <c r="AL304" s="163"/>
      <c r="AM304" s="164">
        <f>(((IF(L304=$L$101,1,IF(L304=$L$47,1,0))*(AH304*(1-AK304)))*AG304)*(1-AL304))</f>
        <v>1116</v>
      </c>
      <c r="AN304" s="165">
        <f>IF(K304=$K$50,AM304,IF(K304=$K$53,AM304,IF(K304=$K$54,AM304,IF(K304=$K$55,AM304,IF(K304=$K$56,AM304,IF(K304=$K$57,AM304,IF(K304=$K$58,AM304,IF(K304=$K$65,AM304,IF(K304=$K$66,AM304,IF(K304=$K$67,AM304,IF(K304=$K$68,AM304,IF(K304=$K$69,AM304,IF(K304=$K$51,AM304,(AM304*(1+AI304)))))))))))))))</f>
        <v>1116</v>
      </c>
      <c r="AO304" s="166">
        <v>1.4</v>
      </c>
      <c r="AP304" s="160">
        <f t="shared" si="66"/>
        <v>1562.3999999999999</v>
      </c>
      <c r="AQ304" s="167">
        <f t="shared" si="73"/>
        <v>1353.7654086570574</v>
      </c>
      <c r="AR304" s="160">
        <f t="shared" si="67"/>
        <v>1562.3999999999999</v>
      </c>
      <c r="AS304" s="168">
        <f t="shared" si="68"/>
        <v>1.2612750638360886</v>
      </c>
      <c r="AT304" s="169" t="str">
        <f>K304</f>
        <v>MI</v>
      </c>
      <c r="AU304" s="169" t="str">
        <f>I304</f>
        <v>Mercadorias</v>
      </c>
      <c r="AV304" s="170"/>
      <c r="AW304" s="171">
        <f>IF(K304=$K$50,0,IF(K304=$K$53,0,IF(K304=$K$54,0,IF(K304=$K$55,0,IF(K304=$K$56,0,IF(K304=$K$57,0,IF(K304=$K$58,0,IF(K304=$K$65,0,IF(K304=$K$66,0,IF(K304=$K$67,0,IF(K304=$K$68,0,IF(K304=$K$69,0,IF(K304=$K$51,0,1))))))))))))*AM304*AI304)</f>
        <v>0</v>
      </c>
      <c r="AX304" s="172">
        <f>IF(K304=$K$50,0,IF(K304=$K$53,0,IF(K304=$K$54,0,IF(K304=$K$55,0,IF(K304=$K$56,0,IF(K304=$K$57,0,IF(K304=$K$58,0,IF(K304=$K$65,0,IF(K304=$K$66,0,IF(K304=$K$67,0,IF(K304=$K$68,0,IF(K304=$K$69,0,IF(K304=$K$51,0,1))))))))))))*AM304*AJ304*$AX$94)</f>
        <v>0</v>
      </c>
      <c r="AY304" s="172">
        <f>IF(K304=$K$53,0,IF(K304=$K$54,0,IF(K304=$K$55,0,IF(K304=$K$56,0,IF(K304=$K$58,0,IF(K304=$K$50,0,IF(K304=$K$65,0,IF(K304=$K$57,0,IF(K304=$K$51,0,AM304*$AY$102)))))))))</f>
        <v>18.414000000000001</v>
      </c>
      <c r="AZ304" s="172">
        <f>IF(K304=$K$53,0,IF(K304=$K$54,0,IF(K304=$K$55,0,IF(K304=$K$56,0,IF(K304=$K$58,0,IF(K304=$K$50,0,IF(K304=$K$65,0,IF(K304=$K$57,0,IF(K304=$K$51,0,AM304*$AZ$102)))))))))</f>
        <v>84.816000000000003</v>
      </c>
      <c r="BA304" s="172">
        <f t="shared" si="69"/>
        <v>103.23</v>
      </c>
      <c r="BB304" s="173">
        <f>IF($BA$97=1,AQ304*$BB$102,IF(K304=$K$50,0,IF(K304=$K$53,0,IF(K304=$K$54,0,IF(K304=$K$55,0,IF(K304=$K$56,0,IF(K304=$K$57,0,IF(K304=$K$58,0,IF(K304=$K$65,0,IF(K304=$K$66,0,IF(K304=$K$67,0,IF(K304=$K$68,0,IF(K304=$K$69,0,IF(K304=$K$51,0,1)))))))))))*AQ304*$BB$102)))</f>
        <v>0</v>
      </c>
      <c r="BC304" s="172">
        <f t="shared" si="70"/>
        <v>8.7994751562708728</v>
      </c>
      <c r="BD304" s="172">
        <f t="shared" si="71"/>
        <v>40.612962259711722</v>
      </c>
      <c r="BE304" s="172">
        <f>IF($BE$95=I304,$BE$97,IF(I304=$BE$96,$BE$97,1))*($BE$102*AQ304)*$AZ$97</f>
        <v>0</v>
      </c>
      <c r="BF304" s="172">
        <f>IF('[1]Cockpit Retorno'!$C$65=Sim,Mestre!BA304,SUM(BB304:BE304)+(IF(K304=$K$56,AQ304*MOE_IRRF_LR,0)))</f>
        <v>49.412437415982595</v>
      </c>
      <c r="BG304" s="174">
        <f>IF(AA304&gt;0,0,IF(Z304=$Z$82,AG304*1,(IF(Z304=$Z$81,AG304*1,0))))</f>
        <v>0</v>
      </c>
      <c r="BH304" s="174">
        <f>IF(AA304&gt;0,0,IF(Z304=$Z$83,AG304*1,IF(Z304=$Z$81,AG304*1,0)))</f>
        <v>0</v>
      </c>
      <c r="BI304" s="174">
        <f>IF(AA304&gt;0,0,IF(Z304=$Z$84,AG304*1,IF(Z304=$Z$93,AG304*2,IF(Z304=$Z$100,AG304,IF(Z304=$Z$81,AG304*2,IF(Z304=$Z$80,AG304*1,IF(Z304=$Z$79,AG304*3,IF(Z304=$Z$78,AG304*2,0))))))))</f>
        <v>0</v>
      </c>
      <c r="BJ304" s="174">
        <f>IF(AA304&gt;0,0,IF(Z304=$Z$85,AG304,IF(Z304=$Z$93,AG304,IF(Z304=$Z$100,AG304,IF(Z304=$Z$81,AG304*1,IF(Z304=$Z$80,AG304*2,IF(Z304=$Z$79,AG304*2,IF(Z304=$Z$78,AG304*2,0))))))))</f>
        <v>0</v>
      </c>
      <c r="BK304" s="174">
        <f>IF(AA304&gt;0,0,IF(Z304=$Z$92,AG304,0))</f>
        <v>0</v>
      </c>
      <c r="BL304" s="174">
        <f>IF(AA304&gt;0,0,IF(Z304=$Z$91,AG304,0))</f>
        <v>0</v>
      </c>
      <c r="BM304" s="174">
        <f>IF(AA304&gt;0,0,IF(Z304=$Z$86,AG304,0))</f>
        <v>0</v>
      </c>
      <c r="BN304" s="174">
        <f>IF(AA304&gt;0,0,IF(Z304=$Z$87,AG304,0))</f>
        <v>0</v>
      </c>
      <c r="BO304" s="174">
        <f>IF(AA304&gt;0,0,IF(Z304=$Z$88,AG304,0))</f>
        <v>0</v>
      </c>
      <c r="BP304" s="174">
        <f>IF(AA304&gt;0,0,IF(Z304=$Z$89,AG304,0))</f>
        <v>0</v>
      </c>
      <c r="BQ304" s="174">
        <f>IF(AA304&gt;0,0,IF(Z304=$Z$90,AG304,0))</f>
        <v>0</v>
      </c>
      <c r="BR304" s="174">
        <f>IF(Z304=$Z$82,AA304*AG304,0)</f>
        <v>0</v>
      </c>
      <c r="BS304" s="174">
        <f>IF(Z304=$Z$83,AA304*AG304,0)</f>
        <v>0</v>
      </c>
      <c r="BT304" s="174">
        <f>IF(AA304&lt;1,0,IF(Z304=$Z$84,AA304*AG304,IF(Z304=$Z$93,"ERRO",IF(Z304=$Z$100,"ERRO",0))))</f>
        <v>0</v>
      </c>
      <c r="BU304" s="174">
        <f>IF(AA304&lt;1,0,IF(Z304=$Z$85,AA304*AG304,IF(Z304=$Z$93,"ERRO",IF(Z304=$Z$100,"ERRO",0))))</f>
        <v>0</v>
      </c>
      <c r="BV304" s="174">
        <f>IF(Z304=$Z$92,AA304*AG304,0)</f>
        <v>0</v>
      </c>
      <c r="BW304" s="174">
        <f>IF(Z304=$Z$91,AA304*AG304,0)</f>
        <v>0</v>
      </c>
      <c r="BX304" s="174">
        <f>IF(Z304=$Z$86,AA304*AG304,0)</f>
        <v>0</v>
      </c>
      <c r="BY304" s="174">
        <f>IF(Z304=$Z$87,AA304*AG304,0)</f>
        <v>0</v>
      </c>
      <c r="BZ304" s="174">
        <f>IF(Z304=$Z$88,AA304*AG304,0)</f>
        <v>0</v>
      </c>
      <c r="CA304" s="174">
        <f>IF(Z304=$Z$89,AA304*AG304,0)</f>
        <v>0</v>
      </c>
      <c r="CB304" s="174">
        <f>IF(Z304=$Z$90,AA304*AG304,0)</f>
        <v>0</v>
      </c>
      <c r="CC304" s="175">
        <f>IFERROR(IF(L304=$L$49,AG304*AH304*(1+AI304)*(1-AK304)*(1-AL304),0),0)</f>
        <v>0</v>
      </c>
      <c r="CD304" s="203">
        <f>IF(I304=$CD$97,1,IF(I304=$CD$100,2,IF(K304=$K$66,1,IF(K304=$K$69,1,3))))</f>
        <v>1</v>
      </c>
      <c r="CE304" s="203">
        <f t="shared" si="14"/>
        <v>1.07</v>
      </c>
      <c r="CF304" s="204">
        <f t="shared" si="54"/>
        <v>1.2353999999999998</v>
      </c>
      <c r="CG304" s="203">
        <f t="shared" si="15"/>
        <v>1.42</v>
      </c>
      <c r="CH304" s="204">
        <f t="shared" si="55"/>
        <v>1.5478000000000001</v>
      </c>
      <c r="CI304" s="203">
        <f t="shared" si="16"/>
        <v>1.7</v>
      </c>
      <c r="CJ304" s="205">
        <f t="shared" si="56"/>
        <v>1.0486</v>
      </c>
      <c r="CK304" s="205">
        <f t="shared" si="57"/>
        <v>1.148922</v>
      </c>
      <c r="CL304" s="205">
        <f t="shared" si="58"/>
        <v>1.3915999999999999</v>
      </c>
      <c r="CM304" s="205">
        <f t="shared" si="59"/>
        <v>1.501366</v>
      </c>
      <c r="CN304" s="206">
        <f t="shared" si="60"/>
        <v>1.6319999999999999</v>
      </c>
      <c r="CO304" s="204">
        <f t="shared" si="61"/>
        <v>1.006656</v>
      </c>
      <c r="CP304" s="207">
        <f t="shared" si="62"/>
        <v>-53.817562584017409</v>
      </c>
      <c r="CQ304" s="208">
        <f t="shared" si="63"/>
        <v>1407.5829712410748</v>
      </c>
      <c r="CR304" s="209">
        <f t="shared" si="72"/>
        <v>49.412437415982595</v>
      </c>
      <c r="CS304" s="49"/>
      <c r="CT304" s="49"/>
      <c r="CU304" s="49"/>
      <c r="CV304" s="49"/>
      <c r="CW304" s="49"/>
      <c r="CX304" s="49"/>
      <c r="CY304" s="49"/>
      <c r="CZ304" s="49"/>
      <c r="DA304" s="49"/>
      <c r="DB304" s="49"/>
      <c r="DC304" s="49"/>
      <c r="DD304" s="49"/>
      <c r="DE304" s="49"/>
      <c r="DF304" s="49"/>
      <c r="DG304" s="49"/>
      <c r="DH304" s="49"/>
      <c r="DI304" s="49"/>
      <c r="DJ304" s="49"/>
      <c r="DK304" s="49"/>
      <c r="DL304" s="49"/>
      <c r="DM304" s="49"/>
      <c r="DN304" s="49"/>
      <c r="DO304" s="49"/>
      <c r="DP304" s="49"/>
      <c r="DQ304" s="49"/>
      <c r="DR304" s="49"/>
      <c r="DS304" s="49"/>
      <c r="DT304" s="49"/>
      <c r="DU304" s="49"/>
      <c r="DV304" s="49"/>
      <c r="DW304" s="49"/>
      <c r="DX304" s="49"/>
      <c r="DY304" s="49"/>
      <c r="DZ304" s="49"/>
      <c r="EA304" s="49"/>
      <c r="EB304" s="49"/>
      <c r="EC304" s="49"/>
      <c r="ED304" s="49"/>
      <c r="EE304" s="49"/>
      <c r="EF304" s="49"/>
      <c r="EG304" s="49"/>
      <c r="EH304" s="49"/>
      <c r="EI304" s="49"/>
      <c r="EJ304" s="49"/>
      <c r="EK304" s="49"/>
      <c r="EL304" s="49"/>
      <c r="EM304" s="49"/>
      <c r="EN304" s="49"/>
      <c r="EO304" s="49"/>
      <c r="EP304" s="49"/>
      <c r="EQ304" s="49"/>
      <c r="ER304" s="49"/>
      <c r="ES304" s="49"/>
      <c r="ET304" s="49"/>
      <c r="EU304" s="49"/>
      <c r="EV304" s="49"/>
      <c r="EW304" s="49"/>
      <c r="EX304" s="49"/>
      <c r="EY304" s="49"/>
      <c r="EZ304" s="49"/>
      <c r="FA304" s="49"/>
    </row>
    <row r="305" spans="1:157" s="210" customFormat="1" x14ac:dyDescent="0.25">
      <c r="A305" s="113">
        <f>IF(AND('[1]Cockpit Retorno'!$E$67=Sim,Mestre!M305=Mestre!$M$98),0,1)</f>
        <v>1</v>
      </c>
      <c r="B305" s="113">
        <f>IF(AND('[1]Cockpit Retorno'!$E$67=Sim,Mestre!L305=Mestre!$L$48),0,1)</f>
        <v>0</v>
      </c>
      <c r="C305" s="113">
        <f>IF(AND('[1]Cockpit Retorno'!$E$67=Sim,Mestre!M305=Mestre!$M$97),0,1)</f>
        <v>1</v>
      </c>
      <c r="D305" s="148" t="s">
        <v>7</v>
      </c>
      <c r="E305" s="115"/>
      <c r="F305" s="116" t="s">
        <v>107</v>
      </c>
      <c r="G305" s="149"/>
      <c r="H305" s="150" t="s">
        <v>7</v>
      </c>
      <c r="I305" s="151" t="str">
        <f t="shared" si="65"/>
        <v>Mercadorias</v>
      </c>
      <c r="J305" s="150" t="s">
        <v>15</v>
      </c>
      <c r="K305" s="152" t="s">
        <v>7</v>
      </c>
      <c r="L305" s="153" t="s">
        <v>15</v>
      </c>
      <c r="M305" s="154" t="s">
        <v>457</v>
      </c>
      <c r="N305" s="155" t="s">
        <v>450</v>
      </c>
      <c r="O305" s="155" t="s">
        <v>412</v>
      </c>
      <c r="P305" s="155"/>
      <c r="Q305" s="155"/>
      <c r="R305" s="155"/>
      <c r="S305" s="156"/>
      <c r="T305" s="156"/>
      <c r="U305" s="150"/>
      <c r="V305" s="150"/>
      <c r="W305" s="150"/>
      <c r="X305" s="157" t="s">
        <v>458</v>
      </c>
      <c r="Y305" s="150"/>
      <c r="Z305" s="150"/>
      <c r="AA305" s="158"/>
      <c r="AB305" s="155"/>
      <c r="AC305" s="150"/>
      <c r="AD305" s="155"/>
      <c r="AE305" s="155"/>
      <c r="AF305" s="150"/>
      <c r="AG305" s="159">
        <v>400</v>
      </c>
      <c r="AH305" s="211">
        <v>0.23250000000000001</v>
      </c>
      <c r="AI305" s="202">
        <v>0</v>
      </c>
      <c r="AJ305" s="161">
        <v>0.12</v>
      </c>
      <c r="AK305" s="162"/>
      <c r="AL305" s="163"/>
      <c r="AM305" s="164">
        <f>(((IF(L305=$L$101,1,IF(L305=$L$47,1,0))*(AH305*(1-AK305)))*AG305)*(1-AL305))</f>
        <v>93</v>
      </c>
      <c r="AN305" s="165">
        <f>IF(K305=$K$50,AM305,IF(K305=$K$53,AM305,IF(K305=$K$54,AM305,IF(K305=$K$55,AM305,IF(K305=$K$56,AM305,IF(K305=$K$57,AM305,IF(K305=$K$58,AM305,IF(K305=$K$65,AM305,IF(K305=$K$66,AM305,IF(K305=$K$67,AM305,IF(K305=$K$68,AM305,IF(K305=$K$69,AM305,IF(K305=$K$51,AM305,(AM305*(1+AI305)))))))))))))))</f>
        <v>93</v>
      </c>
      <c r="AO305" s="166">
        <v>1.4</v>
      </c>
      <c r="AP305" s="160">
        <f t="shared" si="66"/>
        <v>130.19999999999999</v>
      </c>
      <c r="AQ305" s="167">
        <f t="shared" si="73"/>
        <v>112.81378405475479</v>
      </c>
      <c r="AR305" s="160">
        <f t="shared" si="67"/>
        <v>130.19999999999999</v>
      </c>
      <c r="AS305" s="168">
        <f t="shared" si="68"/>
        <v>1.2612750638360886</v>
      </c>
      <c r="AT305" s="169" t="str">
        <f>K305</f>
        <v>MI</v>
      </c>
      <c r="AU305" s="169" t="str">
        <f>I305</f>
        <v>Mercadorias</v>
      </c>
      <c r="AV305" s="170"/>
      <c r="AW305" s="171">
        <f>IF(K305=$K$50,0,IF(K305=$K$53,0,IF(K305=$K$54,0,IF(K305=$K$55,0,IF(K305=$K$56,0,IF(K305=$K$57,0,IF(K305=$K$58,0,IF(K305=$K$65,0,IF(K305=$K$66,0,IF(K305=$K$67,0,IF(K305=$K$68,0,IF(K305=$K$69,0,IF(K305=$K$51,0,1))))))))))))*AM305*AI305)</f>
        <v>0</v>
      </c>
      <c r="AX305" s="172">
        <f>IF(K305=$K$50,0,IF(K305=$K$53,0,IF(K305=$K$54,0,IF(K305=$K$55,0,IF(K305=$K$56,0,IF(K305=$K$57,0,IF(K305=$K$58,0,IF(K305=$K$65,0,IF(K305=$K$66,0,IF(K305=$K$67,0,IF(K305=$K$68,0,IF(K305=$K$69,0,IF(K305=$K$51,0,1))))))))))))*AM305*AJ305*$AX$94)</f>
        <v>0</v>
      </c>
      <c r="AY305" s="172">
        <f>IF(K305=$K$53,0,IF(K305=$K$54,0,IF(K305=$K$55,0,IF(K305=$K$56,0,IF(K305=$K$58,0,IF(K305=$K$50,0,IF(K305=$K$65,0,IF(K305=$K$57,0,IF(K305=$K$51,0,AM305*$AY$102)))))))))</f>
        <v>1.5345</v>
      </c>
      <c r="AZ305" s="172">
        <f>IF(K305=$K$53,0,IF(K305=$K$54,0,IF(K305=$K$55,0,IF(K305=$K$56,0,IF(K305=$K$58,0,IF(K305=$K$50,0,IF(K305=$K$65,0,IF(K305=$K$57,0,IF(K305=$K$51,0,AM305*$AZ$102)))))))))</f>
        <v>7.0679999999999996</v>
      </c>
      <c r="BA305" s="172">
        <f t="shared" si="69"/>
        <v>8.6024999999999991</v>
      </c>
      <c r="BB305" s="173">
        <f>IF($BA$97=1,AQ305*$BB$102,IF(K305=$K$50,0,IF(K305=$K$53,0,IF(K305=$K$54,0,IF(K305=$K$55,0,IF(K305=$K$56,0,IF(K305=$K$57,0,IF(K305=$K$58,0,IF(K305=$K$65,0,IF(K305=$K$66,0,IF(K305=$K$67,0,IF(K305=$K$68,0,IF(K305=$K$69,0,IF(K305=$K$51,0,1)))))))))))*AQ305*$BB$102)))</f>
        <v>0</v>
      </c>
      <c r="BC305" s="172">
        <f t="shared" si="70"/>
        <v>0.73328959635590618</v>
      </c>
      <c r="BD305" s="172">
        <f t="shared" si="71"/>
        <v>3.3844135216426436</v>
      </c>
      <c r="BE305" s="172">
        <f>IF($BE$95=I305,$BE$97,IF(I305=$BE$96,$BE$97,1))*($BE$102*AQ305)*$AZ$97</f>
        <v>0</v>
      </c>
      <c r="BF305" s="172">
        <f>IF('[1]Cockpit Retorno'!$C$65=Sim,Mestre!BA305,SUM(BB305:BE305)+(IF(K305=$K$56,AQ305*MOE_IRRF_LR,0)))</f>
        <v>4.1177031179985502</v>
      </c>
      <c r="BG305" s="174">
        <f>IF(AA305&gt;0,0,IF(Z305=$Z$82,AG305*1,(IF(Z305=$Z$81,AG305*1,0))))</f>
        <v>0</v>
      </c>
      <c r="BH305" s="174">
        <f>IF(AA305&gt;0,0,IF(Z305=$Z$83,AG305*1,IF(Z305=$Z$81,AG305*1,0)))</f>
        <v>0</v>
      </c>
      <c r="BI305" s="174">
        <f>IF(AA305&gt;0,0,IF(Z305=$Z$84,AG305*1,IF(Z305=$Z$93,AG305*2,IF(Z305=$Z$100,AG305,IF(Z305=$Z$81,AG305*2,IF(Z305=$Z$80,AG305*1,IF(Z305=$Z$79,AG305*3,IF(Z305=$Z$78,AG305*2,0))))))))</f>
        <v>0</v>
      </c>
      <c r="BJ305" s="174">
        <f>IF(AA305&gt;0,0,IF(Z305=$Z$85,AG305,IF(Z305=$Z$93,AG305,IF(Z305=$Z$100,AG305,IF(Z305=$Z$81,AG305*1,IF(Z305=$Z$80,AG305*2,IF(Z305=$Z$79,AG305*2,IF(Z305=$Z$78,AG305*2,0))))))))</f>
        <v>0</v>
      </c>
      <c r="BK305" s="174">
        <f>IF(AA305&gt;0,0,IF(Z305=$Z$92,AG305,0))</f>
        <v>0</v>
      </c>
      <c r="BL305" s="174">
        <f>IF(AA305&gt;0,0,IF(Z305=$Z$91,AG305,0))</f>
        <v>0</v>
      </c>
      <c r="BM305" s="174">
        <f>IF(AA305&gt;0,0,IF(Z305=$Z$86,AG305,0))</f>
        <v>0</v>
      </c>
      <c r="BN305" s="174">
        <f>IF(AA305&gt;0,0,IF(Z305=$Z$87,AG305,0))</f>
        <v>0</v>
      </c>
      <c r="BO305" s="174">
        <f>IF(AA305&gt;0,0,IF(Z305=$Z$88,AG305,0))</f>
        <v>0</v>
      </c>
      <c r="BP305" s="174">
        <f>IF(AA305&gt;0,0,IF(Z305=$Z$89,AG305,0))</f>
        <v>0</v>
      </c>
      <c r="BQ305" s="174">
        <f>IF(AA305&gt;0,0,IF(Z305=$Z$90,AG305,0))</f>
        <v>0</v>
      </c>
      <c r="BR305" s="174">
        <f>IF(Z305=$Z$82,AA305*AG305,0)</f>
        <v>0</v>
      </c>
      <c r="BS305" s="174">
        <f>IF(Z305=$Z$83,AA305*AG305,0)</f>
        <v>0</v>
      </c>
      <c r="BT305" s="174">
        <f>IF(AA305&lt;1,0,IF(Z305=$Z$84,AA305*AG305,IF(Z305=$Z$93,"ERRO",IF(Z305=$Z$100,"ERRO",0))))</f>
        <v>0</v>
      </c>
      <c r="BU305" s="174">
        <f>IF(AA305&lt;1,0,IF(Z305=$Z$85,AA305*AG305,IF(Z305=$Z$93,"ERRO",IF(Z305=$Z$100,"ERRO",0))))</f>
        <v>0</v>
      </c>
      <c r="BV305" s="174">
        <f>IF(Z305=$Z$92,AA305*AG305,0)</f>
        <v>0</v>
      </c>
      <c r="BW305" s="174">
        <f>IF(Z305=$Z$91,AA305*AG305,0)</f>
        <v>0</v>
      </c>
      <c r="BX305" s="174">
        <f>IF(Z305=$Z$86,AA305*AG305,0)</f>
        <v>0</v>
      </c>
      <c r="BY305" s="174">
        <f>IF(Z305=$Z$87,AA305*AG305,0)</f>
        <v>0</v>
      </c>
      <c r="BZ305" s="174">
        <f>IF(Z305=$Z$88,AA305*AG305,0)</f>
        <v>0</v>
      </c>
      <c r="CA305" s="174">
        <f>IF(Z305=$Z$89,AA305*AG305,0)</f>
        <v>0</v>
      </c>
      <c r="CB305" s="174">
        <f>IF(Z305=$Z$90,AA305*AG305,0)</f>
        <v>0</v>
      </c>
      <c r="CC305" s="175">
        <f>IFERROR(IF(L305=$L$49,AG305*AH305*(1+AI305)*(1-AK305)*(1-AL305),0),0)</f>
        <v>0</v>
      </c>
      <c r="CD305" s="203">
        <f>IF(I305=$CD$97,1,IF(I305=$CD$100,2,IF(K305=$K$66,1,IF(K305=$K$69,1,3))))</f>
        <v>1</v>
      </c>
      <c r="CE305" s="203">
        <f t="shared" si="14"/>
        <v>1.07</v>
      </c>
      <c r="CF305" s="204">
        <f t="shared" si="54"/>
        <v>1.2353999999999998</v>
      </c>
      <c r="CG305" s="203">
        <f t="shared" si="15"/>
        <v>1.42</v>
      </c>
      <c r="CH305" s="204">
        <f t="shared" si="55"/>
        <v>1.5478000000000001</v>
      </c>
      <c r="CI305" s="203">
        <f t="shared" si="16"/>
        <v>1.7</v>
      </c>
      <c r="CJ305" s="205">
        <f t="shared" si="56"/>
        <v>1.0486</v>
      </c>
      <c r="CK305" s="205">
        <f t="shared" si="57"/>
        <v>1.148922</v>
      </c>
      <c r="CL305" s="205">
        <f t="shared" si="58"/>
        <v>1.3915999999999999</v>
      </c>
      <c r="CM305" s="205">
        <f t="shared" si="59"/>
        <v>1.501366</v>
      </c>
      <c r="CN305" s="206">
        <f t="shared" si="60"/>
        <v>1.6319999999999999</v>
      </c>
      <c r="CO305" s="204">
        <f t="shared" si="61"/>
        <v>1.006656</v>
      </c>
      <c r="CP305" s="207">
        <f t="shared" si="62"/>
        <v>-4.484796882001449</v>
      </c>
      <c r="CQ305" s="208">
        <f t="shared" si="63"/>
        <v>117.29858093675624</v>
      </c>
      <c r="CR305" s="209">
        <f t="shared" si="72"/>
        <v>4.1177031179985502</v>
      </c>
      <c r="CS305" s="49"/>
      <c r="CT305" s="49"/>
      <c r="CU305" s="49"/>
      <c r="CV305" s="49"/>
      <c r="CW305" s="49"/>
      <c r="CX305" s="49"/>
      <c r="CY305" s="49"/>
      <c r="CZ305" s="49"/>
      <c r="DA305" s="49"/>
      <c r="DB305" s="49"/>
      <c r="DC305" s="49"/>
      <c r="DD305" s="49"/>
      <c r="DE305" s="49"/>
      <c r="DF305" s="49"/>
      <c r="DG305" s="49"/>
      <c r="DH305" s="49"/>
      <c r="DI305" s="49"/>
      <c r="DJ305" s="49"/>
      <c r="DK305" s="49"/>
      <c r="DL305" s="49"/>
      <c r="DM305" s="49"/>
      <c r="DN305" s="49"/>
      <c r="DO305" s="49"/>
      <c r="DP305" s="49"/>
      <c r="DQ305" s="49"/>
      <c r="DR305" s="49"/>
      <c r="DS305" s="49"/>
      <c r="DT305" s="49"/>
      <c r="DU305" s="49"/>
      <c r="DV305" s="49"/>
      <c r="DW305" s="49"/>
      <c r="DX305" s="49"/>
      <c r="DY305" s="49"/>
      <c r="DZ305" s="49"/>
      <c r="EA305" s="49"/>
      <c r="EB305" s="49"/>
      <c r="EC305" s="49"/>
      <c r="ED305" s="49"/>
      <c r="EE305" s="49"/>
      <c r="EF305" s="49"/>
      <c r="EG305" s="49"/>
      <c r="EH305" s="49"/>
      <c r="EI305" s="49"/>
      <c r="EJ305" s="49"/>
      <c r="EK305" s="49"/>
      <c r="EL305" s="49"/>
      <c r="EM305" s="49"/>
      <c r="EN305" s="49"/>
      <c r="EO305" s="49"/>
      <c r="EP305" s="49"/>
      <c r="EQ305" s="49"/>
      <c r="ER305" s="49"/>
      <c r="ES305" s="49"/>
      <c r="ET305" s="49"/>
      <c r="EU305" s="49"/>
      <c r="EV305" s="49"/>
      <c r="EW305" s="49"/>
      <c r="EX305" s="49"/>
      <c r="EY305" s="49"/>
      <c r="EZ305" s="49"/>
      <c r="FA305" s="49"/>
    </row>
    <row r="306" spans="1:157" s="210" customFormat="1" x14ac:dyDescent="0.25">
      <c r="A306" s="113">
        <f>IF(AND('[1]Cockpit Retorno'!$E$67=Sim,Mestre!M306=Mestre!$M$98),0,1)</f>
        <v>1</v>
      </c>
      <c r="B306" s="113">
        <f>IF(AND('[1]Cockpit Retorno'!$E$67=Sim,Mestre!L306=Mestre!$L$48),0,1)</f>
        <v>0</v>
      </c>
      <c r="C306" s="113">
        <f>IF(AND('[1]Cockpit Retorno'!$E$67=Sim,Mestre!M306=Mestre!$M$97),0,1)</f>
        <v>1</v>
      </c>
      <c r="D306" s="148" t="s">
        <v>7</v>
      </c>
      <c r="E306" s="115"/>
      <c r="F306" s="116" t="s">
        <v>107</v>
      </c>
      <c r="G306" s="149"/>
      <c r="H306" s="150" t="s">
        <v>7</v>
      </c>
      <c r="I306" s="151" t="str">
        <f t="shared" si="65"/>
        <v>Mercadorias</v>
      </c>
      <c r="J306" s="150" t="s">
        <v>15</v>
      </c>
      <c r="K306" s="152" t="s">
        <v>7</v>
      </c>
      <c r="L306" s="153" t="s">
        <v>15</v>
      </c>
      <c r="M306" s="154" t="s">
        <v>457</v>
      </c>
      <c r="N306" s="155" t="s">
        <v>450</v>
      </c>
      <c r="O306" s="155" t="s">
        <v>412</v>
      </c>
      <c r="P306" s="155"/>
      <c r="Q306" s="155"/>
      <c r="R306" s="155"/>
      <c r="S306" s="156"/>
      <c r="T306" s="156"/>
      <c r="U306" s="150"/>
      <c r="V306" s="150"/>
      <c r="W306" s="150"/>
      <c r="X306" s="157" t="s">
        <v>459</v>
      </c>
      <c r="Y306" s="150"/>
      <c r="Z306" s="150"/>
      <c r="AA306" s="158"/>
      <c r="AB306" s="155"/>
      <c r="AC306" s="150"/>
      <c r="AD306" s="155"/>
      <c r="AE306" s="155"/>
      <c r="AF306" s="150"/>
      <c r="AG306" s="159">
        <v>400</v>
      </c>
      <c r="AH306" s="211">
        <v>0.23250000000000001</v>
      </c>
      <c r="AI306" s="202">
        <v>0</v>
      </c>
      <c r="AJ306" s="161">
        <v>7.0000000000000007E-2</v>
      </c>
      <c r="AK306" s="162"/>
      <c r="AL306" s="163"/>
      <c r="AM306" s="164">
        <f>(((IF(L306=$L$101,1,IF(L306=$L$47,1,0))*(AH306*(1-AK306)))*AG306)*(1-AL306))</f>
        <v>93</v>
      </c>
      <c r="AN306" s="165">
        <f>IF(K306=$K$50,AM306,IF(K306=$K$53,AM306,IF(K306=$K$54,AM306,IF(K306=$K$55,AM306,IF(K306=$K$56,AM306,IF(K306=$K$57,AM306,IF(K306=$K$58,AM306,IF(K306=$K$65,AM306,IF(K306=$K$66,AM306,IF(K306=$K$67,AM306,IF(K306=$K$68,AM306,IF(K306=$K$69,AM306,IF(K306=$K$51,AM306,(AM306*(1+AI306)))))))))))))))</f>
        <v>93</v>
      </c>
      <c r="AO306" s="166">
        <v>1.4</v>
      </c>
      <c r="AP306" s="160">
        <f t="shared" si="66"/>
        <v>130.19999999999999</v>
      </c>
      <c r="AQ306" s="167">
        <f t="shared" si="73"/>
        <v>112.81378405475479</v>
      </c>
      <c r="AR306" s="160">
        <f t="shared" si="67"/>
        <v>130.19999999999999</v>
      </c>
      <c r="AS306" s="168">
        <f t="shared" si="68"/>
        <v>1.2612750638360886</v>
      </c>
      <c r="AT306" s="169" t="str">
        <f>K306</f>
        <v>MI</v>
      </c>
      <c r="AU306" s="169" t="str">
        <f>I306</f>
        <v>Mercadorias</v>
      </c>
      <c r="AV306" s="170"/>
      <c r="AW306" s="171">
        <f>IF(K306=$K$50,0,IF(K306=$K$53,0,IF(K306=$K$54,0,IF(K306=$K$55,0,IF(K306=$K$56,0,IF(K306=$K$57,0,IF(K306=$K$58,0,IF(K306=$K$65,0,IF(K306=$K$66,0,IF(K306=$K$67,0,IF(K306=$K$68,0,IF(K306=$K$69,0,IF(K306=$K$51,0,1))))))))))))*AM306*AI306)</f>
        <v>0</v>
      </c>
      <c r="AX306" s="172">
        <f>IF(K306=$K$50,0,IF(K306=$K$53,0,IF(K306=$K$54,0,IF(K306=$K$55,0,IF(K306=$K$56,0,IF(K306=$K$57,0,IF(K306=$K$58,0,IF(K306=$K$65,0,IF(K306=$K$66,0,IF(K306=$K$67,0,IF(K306=$K$68,0,IF(K306=$K$69,0,IF(K306=$K$51,0,1))))))))))))*AM306*AJ306*$AX$94)</f>
        <v>0</v>
      </c>
      <c r="AY306" s="172">
        <f>IF(K306=$K$53,0,IF(K306=$K$54,0,IF(K306=$K$55,0,IF(K306=$K$56,0,IF(K306=$K$58,0,IF(K306=$K$50,0,IF(K306=$K$65,0,IF(K306=$K$57,0,IF(K306=$K$51,0,AM306*$AY$102)))))))))</f>
        <v>1.5345</v>
      </c>
      <c r="AZ306" s="172">
        <f>IF(K306=$K$53,0,IF(K306=$K$54,0,IF(K306=$K$55,0,IF(K306=$K$56,0,IF(K306=$K$58,0,IF(K306=$K$50,0,IF(K306=$K$65,0,IF(K306=$K$57,0,IF(K306=$K$51,0,AM306*$AZ$102)))))))))</f>
        <v>7.0679999999999996</v>
      </c>
      <c r="BA306" s="172">
        <f t="shared" si="69"/>
        <v>8.6024999999999991</v>
      </c>
      <c r="BB306" s="173">
        <f>IF($BA$97=1,AQ306*$BB$102,IF(K306=$K$50,0,IF(K306=$K$53,0,IF(K306=$K$54,0,IF(K306=$K$55,0,IF(K306=$K$56,0,IF(K306=$K$57,0,IF(K306=$K$58,0,IF(K306=$K$65,0,IF(K306=$K$66,0,IF(K306=$K$67,0,IF(K306=$K$68,0,IF(K306=$K$69,0,IF(K306=$K$51,0,1)))))))))))*AQ306*$BB$102)))</f>
        <v>0</v>
      </c>
      <c r="BC306" s="172">
        <f t="shared" si="70"/>
        <v>0.73328959635590618</v>
      </c>
      <c r="BD306" s="172">
        <f t="shared" si="71"/>
        <v>3.3844135216426436</v>
      </c>
      <c r="BE306" s="172">
        <f>IF($BE$95=I306,$BE$97,IF(I306=$BE$96,$BE$97,1))*($BE$102*AQ306)*$AZ$97</f>
        <v>0</v>
      </c>
      <c r="BF306" s="172">
        <f>IF('[1]Cockpit Retorno'!$C$65=Sim,Mestre!BA306,SUM(BB306:BE306)+(IF(K306=$K$56,AQ306*MOE_IRRF_LR,0)))</f>
        <v>4.1177031179985502</v>
      </c>
      <c r="BG306" s="174">
        <f>IF(AA306&gt;0,0,IF(Z306=$Z$82,AG306*1,(IF(Z306=$Z$81,AG306*1,0))))</f>
        <v>0</v>
      </c>
      <c r="BH306" s="174">
        <f>IF(AA306&gt;0,0,IF(Z306=$Z$83,AG306*1,IF(Z306=$Z$81,AG306*1,0)))</f>
        <v>0</v>
      </c>
      <c r="BI306" s="174">
        <f>IF(AA306&gt;0,0,IF(Z306=$Z$84,AG306*1,IF(Z306=$Z$93,AG306*2,IF(Z306=$Z$100,AG306,IF(Z306=$Z$81,AG306*2,IF(Z306=$Z$80,AG306*1,IF(Z306=$Z$79,AG306*3,IF(Z306=$Z$78,AG306*2,0))))))))</f>
        <v>0</v>
      </c>
      <c r="BJ306" s="174">
        <f>IF(AA306&gt;0,0,IF(Z306=$Z$85,AG306,IF(Z306=$Z$93,AG306,IF(Z306=$Z$100,AG306,IF(Z306=$Z$81,AG306*1,IF(Z306=$Z$80,AG306*2,IF(Z306=$Z$79,AG306*2,IF(Z306=$Z$78,AG306*2,0))))))))</f>
        <v>0</v>
      </c>
      <c r="BK306" s="174">
        <f>IF(AA306&gt;0,0,IF(Z306=$Z$92,AG306,0))</f>
        <v>0</v>
      </c>
      <c r="BL306" s="174">
        <f>IF(AA306&gt;0,0,IF(Z306=$Z$91,AG306,0))</f>
        <v>0</v>
      </c>
      <c r="BM306" s="174">
        <f>IF(AA306&gt;0,0,IF(Z306=$Z$86,AG306,0))</f>
        <v>0</v>
      </c>
      <c r="BN306" s="174">
        <f>IF(AA306&gt;0,0,IF(Z306=$Z$87,AG306,0))</f>
        <v>0</v>
      </c>
      <c r="BO306" s="174">
        <f>IF(AA306&gt;0,0,IF(Z306=$Z$88,AG306,0))</f>
        <v>0</v>
      </c>
      <c r="BP306" s="174">
        <f>IF(AA306&gt;0,0,IF(Z306=$Z$89,AG306,0))</f>
        <v>0</v>
      </c>
      <c r="BQ306" s="174">
        <f>IF(AA306&gt;0,0,IF(Z306=$Z$90,AG306,0))</f>
        <v>0</v>
      </c>
      <c r="BR306" s="174">
        <f>IF(Z306=$Z$82,AA306*AG306,0)</f>
        <v>0</v>
      </c>
      <c r="BS306" s="174">
        <f>IF(Z306=$Z$83,AA306*AG306,0)</f>
        <v>0</v>
      </c>
      <c r="BT306" s="174">
        <f>IF(AA306&lt;1,0,IF(Z306=$Z$84,AA306*AG306,IF(Z306=$Z$93,"ERRO",IF(Z306=$Z$100,"ERRO",0))))</f>
        <v>0</v>
      </c>
      <c r="BU306" s="174">
        <f>IF(AA306&lt;1,0,IF(Z306=$Z$85,AA306*AG306,IF(Z306=$Z$93,"ERRO",IF(Z306=$Z$100,"ERRO",0))))</f>
        <v>0</v>
      </c>
      <c r="BV306" s="174">
        <f>IF(Z306=$Z$92,AA306*AG306,0)</f>
        <v>0</v>
      </c>
      <c r="BW306" s="174">
        <f>IF(Z306=$Z$91,AA306*AG306,0)</f>
        <v>0</v>
      </c>
      <c r="BX306" s="174">
        <f>IF(Z306=$Z$86,AA306*AG306,0)</f>
        <v>0</v>
      </c>
      <c r="BY306" s="174">
        <f>IF(Z306=$Z$87,AA306*AG306,0)</f>
        <v>0</v>
      </c>
      <c r="BZ306" s="174">
        <f>IF(Z306=$Z$88,AA306*AG306,0)</f>
        <v>0</v>
      </c>
      <c r="CA306" s="174">
        <f>IF(Z306=$Z$89,AA306*AG306,0)</f>
        <v>0</v>
      </c>
      <c r="CB306" s="174">
        <f>IF(Z306=$Z$90,AA306*AG306,0)</f>
        <v>0</v>
      </c>
      <c r="CC306" s="175">
        <f>IFERROR(IF(L306=$L$49,AG306*AH306*(1+AI306)*(1-AK306)*(1-AL306),0),0)</f>
        <v>0</v>
      </c>
      <c r="CD306" s="203">
        <f>IF(I306=$CD$97,1,IF(I306=$CD$100,2,IF(K306=$K$66,1,IF(K306=$K$69,1,3))))</f>
        <v>1</v>
      </c>
      <c r="CE306" s="203">
        <f>IF($CD306=1,1.07,IF($CD306=2,1.07,1.3))</f>
        <v>1.07</v>
      </c>
      <c r="CF306" s="204">
        <f t="shared" si="54"/>
        <v>1.2353999999999998</v>
      </c>
      <c r="CG306" s="203">
        <f>IF($CD306=1,1.42,IF($CD306=2,1.47,2))</f>
        <v>1.42</v>
      </c>
      <c r="CH306" s="204">
        <f t="shared" si="55"/>
        <v>1.5478000000000001</v>
      </c>
      <c r="CI306" s="203">
        <f>IF($CD306=1,1.7,IF($CD306=2,1.7,2.4))</f>
        <v>1.7</v>
      </c>
      <c r="CJ306" s="205">
        <f t="shared" si="56"/>
        <v>1.0486</v>
      </c>
      <c r="CK306" s="205">
        <f t="shared" si="57"/>
        <v>1.148922</v>
      </c>
      <c r="CL306" s="205">
        <f t="shared" si="58"/>
        <v>1.3915999999999999</v>
      </c>
      <c r="CM306" s="205">
        <f t="shared" si="59"/>
        <v>1.501366</v>
      </c>
      <c r="CN306" s="206">
        <f t="shared" si="60"/>
        <v>1.6319999999999999</v>
      </c>
      <c r="CO306" s="204">
        <f t="shared" si="61"/>
        <v>1.006656</v>
      </c>
      <c r="CP306" s="207">
        <f t="shared" si="62"/>
        <v>-4.484796882001449</v>
      </c>
      <c r="CQ306" s="208">
        <f t="shared" si="63"/>
        <v>117.29858093675624</v>
      </c>
      <c r="CR306" s="209">
        <f t="shared" si="72"/>
        <v>4.1177031179985502</v>
      </c>
      <c r="CS306" s="49"/>
      <c r="CT306" s="49"/>
      <c r="CU306" s="49"/>
      <c r="CV306" s="49"/>
      <c r="CW306" s="49"/>
      <c r="CX306" s="49"/>
      <c r="CY306" s="49"/>
      <c r="CZ306" s="49"/>
      <c r="DA306" s="49"/>
      <c r="DB306" s="49"/>
      <c r="DC306" s="49"/>
      <c r="DD306" s="49"/>
      <c r="DE306" s="49"/>
      <c r="DF306" s="49"/>
      <c r="DG306" s="49"/>
      <c r="DH306" s="49"/>
      <c r="DI306" s="49"/>
      <c r="DJ306" s="49"/>
      <c r="DK306" s="49"/>
      <c r="DL306" s="49"/>
      <c r="DM306" s="49"/>
      <c r="DN306" s="49"/>
      <c r="DO306" s="49"/>
      <c r="DP306" s="49"/>
      <c r="DQ306" s="49"/>
      <c r="DR306" s="49"/>
      <c r="DS306" s="49"/>
      <c r="DT306" s="49"/>
      <c r="DU306" s="49"/>
      <c r="DV306" s="49"/>
      <c r="DW306" s="49"/>
      <c r="DX306" s="49"/>
      <c r="DY306" s="49"/>
      <c r="DZ306" s="49"/>
      <c r="EA306" s="49"/>
      <c r="EB306" s="49"/>
      <c r="EC306" s="49"/>
      <c r="ED306" s="49"/>
      <c r="EE306" s="49"/>
      <c r="EF306" s="49"/>
      <c r="EG306" s="49"/>
      <c r="EH306" s="49"/>
      <c r="EI306" s="49"/>
      <c r="EJ306" s="49"/>
      <c r="EK306" s="49"/>
      <c r="EL306" s="49"/>
      <c r="EM306" s="49"/>
      <c r="EN306" s="49"/>
      <c r="EO306" s="49"/>
      <c r="EP306" s="49"/>
      <c r="EQ306" s="49"/>
      <c r="ER306" s="49"/>
      <c r="ES306" s="49"/>
      <c r="ET306" s="49"/>
      <c r="EU306" s="49"/>
      <c r="EV306" s="49"/>
      <c r="EW306" s="49"/>
      <c r="EX306" s="49"/>
      <c r="EY306" s="49"/>
      <c r="EZ306" s="49"/>
      <c r="FA306" s="49"/>
    </row>
    <row r="307" spans="1:157" s="210" customFormat="1" ht="25.5" x14ac:dyDescent="0.25">
      <c r="A307" s="113">
        <f>IF(AND('[1]Cockpit Retorno'!$E$67=Sim,Mestre!M307=Mestre!$M$98),0,1)</f>
        <v>1</v>
      </c>
      <c r="B307" s="113">
        <f>IF(AND('[1]Cockpit Retorno'!$E$67=Sim,Mestre!L307=Mestre!$L$48),0,1)</f>
        <v>0</v>
      </c>
      <c r="C307" s="113">
        <f>IF(AND('[1]Cockpit Retorno'!$E$67=Sim,Mestre!M307=Mestre!$M$97),0,1)</f>
        <v>1</v>
      </c>
      <c r="D307" s="148" t="s">
        <v>7</v>
      </c>
      <c r="E307" s="115"/>
      <c r="F307" s="116" t="s">
        <v>107</v>
      </c>
      <c r="G307" s="149">
        <v>80</v>
      </c>
      <c r="H307" s="150" t="s">
        <v>7</v>
      </c>
      <c r="I307" s="151" t="str">
        <f t="shared" si="65"/>
        <v>Mercadorias</v>
      </c>
      <c r="J307" s="150" t="s">
        <v>15</v>
      </c>
      <c r="K307" s="152" t="s">
        <v>7</v>
      </c>
      <c r="L307" s="153" t="s">
        <v>15</v>
      </c>
      <c r="M307" s="154" t="s">
        <v>460</v>
      </c>
      <c r="N307" s="155" t="s">
        <v>450</v>
      </c>
      <c r="O307" s="155" t="s">
        <v>412</v>
      </c>
      <c r="P307" s="155"/>
      <c r="Q307" s="155"/>
      <c r="R307" s="155"/>
      <c r="S307" s="156"/>
      <c r="T307" s="156"/>
      <c r="U307" s="150"/>
      <c r="V307" s="150"/>
      <c r="W307" s="150"/>
      <c r="X307" s="157" t="s">
        <v>461</v>
      </c>
      <c r="Y307" s="150"/>
      <c r="Z307" s="150"/>
      <c r="AA307" s="158"/>
      <c r="AB307" s="155"/>
      <c r="AC307" s="150"/>
      <c r="AD307" s="155"/>
      <c r="AE307" s="155"/>
      <c r="AF307" s="150"/>
      <c r="AG307" s="159">
        <v>100</v>
      </c>
      <c r="AH307" s="211">
        <v>6.3239999999999998</v>
      </c>
      <c r="AI307" s="202">
        <v>0.05</v>
      </c>
      <c r="AJ307" s="161">
        <v>0.12</v>
      </c>
      <c r="AK307" s="162"/>
      <c r="AL307" s="163"/>
      <c r="AM307" s="164">
        <f>(((IF(L307=$L$101,1,IF(L307=$L$47,1,0))*(AH307*(1-AK307)))*AG307)*(1-AL307))</f>
        <v>632.4</v>
      </c>
      <c r="AN307" s="165">
        <f>IF(K307=$K$50,AM307,IF(K307=$K$53,AM307,IF(K307=$K$54,AM307,IF(K307=$K$55,AM307,IF(K307=$K$56,AM307,IF(K307=$K$57,AM307,IF(K307=$K$58,AM307,IF(K307=$K$65,AM307,IF(K307=$K$66,AM307,IF(K307=$K$67,AM307,IF(K307=$K$68,AM307,IF(K307=$K$69,AM307,IF(K307=$K$51,AM307,(AM307*(1+AI307)))))))))))))))</f>
        <v>664.02</v>
      </c>
      <c r="AO307" s="166">
        <v>1.4</v>
      </c>
      <c r="AP307" s="160">
        <f t="shared" si="66"/>
        <v>885.3599999999999</v>
      </c>
      <c r="AQ307" s="167">
        <f t="shared" si="73"/>
        <v>767.13373157233252</v>
      </c>
      <c r="AR307" s="160">
        <f t="shared" si="67"/>
        <v>929.62799999999993</v>
      </c>
      <c r="AS307" s="168">
        <f t="shared" si="68"/>
        <v>1.2012143465105605</v>
      </c>
      <c r="AT307" s="169" t="str">
        <f>K307</f>
        <v>MI</v>
      </c>
      <c r="AU307" s="169" t="str">
        <f>I307</f>
        <v>Mercadorias</v>
      </c>
      <c r="AV307" s="170"/>
      <c r="AW307" s="171">
        <f>IF(K307=$K$50,0,IF(K307=$K$53,0,IF(K307=$K$54,0,IF(K307=$K$55,0,IF(K307=$K$56,0,IF(K307=$K$57,0,IF(K307=$K$58,0,IF(K307=$K$65,0,IF(K307=$K$66,0,IF(K307=$K$67,0,IF(K307=$K$68,0,IF(K307=$K$69,0,IF(K307=$K$51,0,1))))))))))))*AM307*AI307)</f>
        <v>31.62</v>
      </c>
      <c r="AX307" s="172">
        <f>IF(K307=$K$50,0,IF(K307=$K$53,0,IF(K307=$K$54,0,IF(K307=$K$55,0,IF(K307=$K$56,0,IF(K307=$K$57,0,IF(K307=$K$58,0,IF(K307=$K$65,0,IF(K307=$K$66,0,IF(K307=$K$67,0,IF(K307=$K$68,0,IF(K307=$K$69,0,IF(K307=$K$51,0,1))))))))))))*AM307*AJ307*$AX$94)</f>
        <v>0</v>
      </c>
      <c r="AY307" s="172">
        <f>IF(K307=$K$53,0,IF(K307=$K$54,0,IF(K307=$K$55,0,IF(K307=$K$56,0,IF(K307=$K$58,0,IF(K307=$K$50,0,IF(K307=$K$65,0,IF(K307=$K$57,0,IF(K307=$K$51,0,AM307*$AY$102)))))))))</f>
        <v>10.4346</v>
      </c>
      <c r="AZ307" s="172">
        <f>IF(K307=$K$53,0,IF(K307=$K$54,0,IF(K307=$K$55,0,IF(K307=$K$56,0,IF(K307=$K$58,0,IF(K307=$K$50,0,IF(K307=$K$65,0,IF(K307=$K$57,0,IF(K307=$K$51,0,AM307*$AZ$102)))))))))</f>
        <v>48.062399999999997</v>
      </c>
      <c r="BA307" s="172">
        <f t="shared" si="69"/>
        <v>58.497</v>
      </c>
      <c r="BB307" s="173">
        <f>IF($BA$97=1,AQ307*$BB$102,IF(K307=$K$50,0,IF(K307=$K$53,0,IF(K307=$K$54,0,IF(K307=$K$55,0,IF(K307=$K$56,0,IF(K307=$K$57,0,IF(K307=$K$58,0,IF(K307=$K$65,0,IF(K307=$K$66,0,IF(K307=$K$67,0,IF(K307=$K$68,0,IF(K307=$K$69,0,IF(K307=$K$51,0,1)))))))))))*AQ307*$BB$102)))</f>
        <v>0</v>
      </c>
      <c r="BC307" s="172">
        <f t="shared" si="70"/>
        <v>4.9863692552201622</v>
      </c>
      <c r="BD307" s="172">
        <f t="shared" si="71"/>
        <v>23.014011947169976</v>
      </c>
      <c r="BE307" s="172">
        <f>IF($BE$95=I307,$BE$97,IF(I307=$BE$96,$BE$97,1))*($BE$102*AQ307)*$AZ$97</f>
        <v>0</v>
      </c>
      <c r="BF307" s="172">
        <f>IF('[1]Cockpit Retorno'!$C$65=Sim,Mestre!BA307,SUM(BB307:BE307)+(IF(K307=$K$56,AQ307*MOE_IRRF_LR,0)))</f>
        <v>28.000381202390138</v>
      </c>
      <c r="BG307" s="174">
        <f>IF(AA307&gt;0,0,IF(Z307=$Z$82,AG307*1,(IF(Z307=$Z$81,AG307*1,0))))</f>
        <v>0</v>
      </c>
      <c r="BH307" s="174">
        <f>IF(AA307&gt;0,0,IF(Z307=$Z$83,AG307*1,IF(Z307=$Z$81,AG307*1,0)))</f>
        <v>0</v>
      </c>
      <c r="BI307" s="174">
        <f>IF(AA307&gt;0,0,IF(Z307=$Z$84,AG307*1,IF(Z307=$Z$93,AG307*2,IF(Z307=$Z$100,AG307,IF(Z307=$Z$81,AG307*2,IF(Z307=$Z$80,AG307*1,IF(Z307=$Z$79,AG307*3,IF(Z307=$Z$78,AG307*2,0))))))))</f>
        <v>0</v>
      </c>
      <c r="BJ307" s="174">
        <f>IF(AA307&gt;0,0,IF(Z307=$Z$85,AG307,IF(Z307=$Z$93,AG307,IF(Z307=$Z$100,AG307,IF(Z307=$Z$81,AG307*1,IF(Z307=$Z$80,AG307*2,IF(Z307=$Z$79,AG307*2,IF(Z307=$Z$78,AG307*2,0))))))))</f>
        <v>0</v>
      </c>
      <c r="BK307" s="174">
        <f>IF(AA307&gt;0,0,IF(Z307=$Z$92,AG307,0))</f>
        <v>0</v>
      </c>
      <c r="BL307" s="174">
        <f>IF(AA307&gt;0,0,IF(Z307=$Z$91,AG307,0))</f>
        <v>0</v>
      </c>
      <c r="BM307" s="174">
        <f>IF(AA307&gt;0,0,IF(Z307=$Z$86,AG307,0))</f>
        <v>0</v>
      </c>
      <c r="BN307" s="174">
        <f>IF(AA307&gt;0,0,IF(Z307=$Z$87,AG307,0))</f>
        <v>0</v>
      </c>
      <c r="BO307" s="174">
        <f>IF(AA307&gt;0,0,IF(Z307=$Z$88,AG307,0))</f>
        <v>0</v>
      </c>
      <c r="BP307" s="174">
        <f>IF(AA307&gt;0,0,IF(Z307=$Z$89,AG307,0))</f>
        <v>0</v>
      </c>
      <c r="BQ307" s="174">
        <f>IF(AA307&gt;0,0,IF(Z307=$Z$90,AG307,0))</f>
        <v>0</v>
      </c>
      <c r="BR307" s="174">
        <f>IF(Z307=$Z$82,AA307*AG307,0)</f>
        <v>0</v>
      </c>
      <c r="BS307" s="174">
        <f>IF(Z307=$Z$83,AA307*AG307,0)</f>
        <v>0</v>
      </c>
      <c r="BT307" s="174">
        <f>IF(AA307&lt;1,0,IF(Z307=$Z$84,AA307*AG307,IF(Z307=$Z$93,"ERRO",IF(Z307=$Z$100,"ERRO",0))))</f>
        <v>0</v>
      </c>
      <c r="BU307" s="174">
        <f>IF(AA307&lt;1,0,IF(Z307=$Z$85,AA307*AG307,IF(Z307=$Z$93,"ERRO",IF(Z307=$Z$100,"ERRO",0))))</f>
        <v>0</v>
      </c>
      <c r="BV307" s="174">
        <f>IF(Z307=$Z$92,AA307*AG307,0)</f>
        <v>0</v>
      </c>
      <c r="BW307" s="174">
        <f>IF(Z307=$Z$91,AA307*AG307,0)</f>
        <v>0</v>
      </c>
      <c r="BX307" s="174">
        <f>IF(Z307=$Z$86,AA307*AG307,0)</f>
        <v>0</v>
      </c>
      <c r="BY307" s="174">
        <f>IF(Z307=$Z$87,AA307*AG307,0)</f>
        <v>0</v>
      </c>
      <c r="BZ307" s="174">
        <f>IF(Z307=$Z$88,AA307*AG307,0)</f>
        <v>0</v>
      </c>
      <c r="CA307" s="174">
        <f>IF(Z307=$Z$89,AA307*AG307,0)</f>
        <v>0</v>
      </c>
      <c r="CB307" s="174">
        <f>IF(Z307=$Z$90,AA307*AG307,0)</f>
        <v>0</v>
      </c>
      <c r="CC307" s="175">
        <f>IFERROR(IF(L307=$L$49,AG307*AH307*(1+AI307)*(1-AK307)*(1-AL307),0),0)</f>
        <v>0</v>
      </c>
      <c r="CD307" s="203">
        <f>IF(I307=$CD$97,1,IF(I307=$CD$100,2,IF(K307=$K$66,1,IF(K307=$K$69,1,3))))</f>
        <v>1</v>
      </c>
      <c r="CE307" s="203">
        <f t="shared" si="14"/>
        <v>1.07</v>
      </c>
      <c r="CF307" s="204">
        <f t="shared" si="54"/>
        <v>1.2353999999999998</v>
      </c>
      <c r="CG307" s="203">
        <f t="shared" si="15"/>
        <v>1.42</v>
      </c>
      <c r="CH307" s="204">
        <f t="shared" si="55"/>
        <v>1.5478000000000001</v>
      </c>
      <c r="CI307" s="203">
        <f t="shared" si="16"/>
        <v>1.7</v>
      </c>
      <c r="CJ307" s="205">
        <f t="shared" si="56"/>
        <v>1.0486</v>
      </c>
      <c r="CK307" s="205">
        <f t="shared" si="57"/>
        <v>1.148922</v>
      </c>
      <c r="CL307" s="205">
        <f t="shared" si="58"/>
        <v>1.3915999999999999</v>
      </c>
      <c r="CM307" s="205">
        <f t="shared" si="59"/>
        <v>1.501366</v>
      </c>
      <c r="CN307" s="206">
        <f t="shared" si="60"/>
        <v>1.6319999999999999</v>
      </c>
      <c r="CO307" s="204">
        <f t="shared" si="61"/>
        <v>1.006656</v>
      </c>
      <c r="CP307" s="207">
        <f t="shared" si="62"/>
        <v>-30.496618797609862</v>
      </c>
      <c r="CQ307" s="208">
        <f t="shared" si="63"/>
        <v>797.63035036994233</v>
      </c>
      <c r="CR307" s="209">
        <f t="shared" si="72"/>
        <v>28.000381202390138</v>
      </c>
      <c r="CS307" s="49"/>
      <c r="CT307" s="49"/>
      <c r="CU307" s="49"/>
      <c r="CV307" s="49"/>
      <c r="CW307" s="49"/>
      <c r="CX307" s="49"/>
      <c r="CY307" s="49"/>
      <c r="CZ307" s="49"/>
      <c r="DA307" s="49"/>
      <c r="DB307" s="49"/>
      <c r="DC307" s="49"/>
      <c r="DD307" s="49"/>
      <c r="DE307" s="49"/>
      <c r="DF307" s="49"/>
      <c r="DG307" s="49"/>
      <c r="DH307" s="49"/>
      <c r="DI307" s="49"/>
      <c r="DJ307" s="49"/>
      <c r="DK307" s="49"/>
      <c r="DL307" s="49"/>
      <c r="DM307" s="49"/>
      <c r="DN307" s="49"/>
      <c r="DO307" s="49"/>
      <c r="DP307" s="49"/>
      <c r="DQ307" s="49"/>
      <c r="DR307" s="49"/>
      <c r="DS307" s="49"/>
      <c r="DT307" s="49"/>
      <c r="DU307" s="49"/>
      <c r="DV307" s="49"/>
      <c r="DW307" s="49"/>
      <c r="DX307" s="49"/>
      <c r="DY307" s="49"/>
      <c r="DZ307" s="49"/>
      <c r="EA307" s="49"/>
      <c r="EB307" s="49"/>
      <c r="EC307" s="49"/>
      <c r="ED307" s="49"/>
      <c r="EE307" s="49"/>
      <c r="EF307" s="49"/>
      <c r="EG307" s="49"/>
      <c r="EH307" s="49"/>
      <c r="EI307" s="49"/>
      <c r="EJ307" s="49"/>
      <c r="EK307" s="49"/>
      <c r="EL307" s="49"/>
      <c r="EM307" s="49"/>
      <c r="EN307" s="49"/>
      <c r="EO307" s="49"/>
      <c r="EP307" s="49"/>
      <c r="EQ307" s="49"/>
      <c r="ER307" s="49"/>
      <c r="ES307" s="49"/>
      <c r="ET307" s="49"/>
      <c r="EU307" s="49"/>
      <c r="EV307" s="49"/>
      <c r="EW307" s="49"/>
      <c r="EX307" s="49"/>
      <c r="EY307" s="49"/>
      <c r="EZ307" s="49"/>
      <c r="FA307" s="49"/>
    </row>
    <row r="308" spans="1:157" s="210" customFormat="1" ht="25.5" x14ac:dyDescent="0.25">
      <c r="A308" s="113">
        <f>IF(AND('[1]Cockpit Retorno'!$E$67=Sim,Mestre!M308=Mestre!$M$98),0,1)</f>
        <v>1</v>
      </c>
      <c r="B308" s="113">
        <f>IF(AND('[1]Cockpit Retorno'!$E$67=Sim,Mestre!L308=Mestre!$L$48),0,1)</f>
        <v>0</v>
      </c>
      <c r="C308" s="113">
        <f>IF(AND('[1]Cockpit Retorno'!$E$67=Sim,Mestre!M308=Mestre!$M$97),0,1)</f>
        <v>1</v>
      </c>
      <c r="D308" s="148" t="s">
        <v>7</v>
      </c>
      <c r="E308" s="115"/>
      <c r="F308" s="116" t="s">
        <v>107</v>
      </c>
      <c r="G308" s="149"/>
      <c r="H308" s="150" t="s">
        <v>7</v>
      </c>
      <c r="I308" s="151" t="str">
        <f t="shared" si="65"/>
        <v>Mercadorias</v>
      </c>
      <c r="J308" s="150" t="s">
        <v>15</v>
      </c>
      <c r="K308" s="152" t="s">
        <v>7</v>
      </c>
      <c r="L308" s="153" t="s">
        <v>15</v>
      </c>
      <c r="M308" s="154" t="s">
        <v>460</v>
      </c>
      <c r="N308" s="155" t="s">
        <v>450</v>
      </c>
      <c r="O308" s="155" t="s">
        <v>412</v>
      </c>
      <c r="P308" s="155"/>
      <c r="Q308" s="155"/>
      <c r="R308" s="155"/>
      <c r="S308" s="156"/>
      <c r="T308" s="156"/>
      <c r="U308" s="150"/>
      <c r="V308" s="150"/>
      <c r="W308" s="150"/>
      <c r="X308" s="157" t="s">
        <v>462</v>
      </c>
      <c r="Y308" s="150"/>
      <c r="Z308" s="150"/>
      <c r="AA308" s="158"/>
      <c r="AB308" s="155"/>
      <c r="AC308" s="150"/>
      <c r="AD308" s="155"/>
      <c r="AE308" s="155"/>
      <c r="AF308" s="150"/>
      <c r="AG308" s="159">
        <v>12</v>
      </c>
      <c r="AH308" s="211">
        <v>51.150000000000006</v>
      </c>
      <c r="AI308" s="202">
        <v>0</v>
      </c>
      <c r="AJ308" s="161">
        <v>0.12</v>
      </c>
      <c r="AK308" s="162"/>
      <c r="AL308" s="163"/>
      <c r="AM308" s="164">
        <f>(((IF(L308=$L$101,1,IF(L308=$L$47,1,0))*(AH308*(1-AK308)))*AG308)*(1-AL308))</f>
        <v>613.80000000000007</v>
      </c>
      <c r="AN308" s="165">
        <f>IF(K308=$K$50,AM308,IF(K308=$K$53,AM308,IF(K308=$K$54,AM308,IF(K308=$K$55,AM308,IF(K308=$K$56,AM308,IF(K308=$K$57,AM308,IF(K308=$K$58,AM308,IF(K308=$K$65,AM308,IF(K308=$K$66,AM308,IF(K308=$K$67,AM308,IF(K308=$K$68,AM308,IF(K308=$K$69,AM308,IF(K308=$K$51,AM308,(AM308*(1+AI308)))))))))))))))</f>
        <v>613.80000000000007</v>
      </c>
      <c r="AO308" s="166">
        <v>1.4</v>
      </c>
      <c r="AP308" s="160">
        <f t="shared" si="66"/>
        <v>859.32</v>
      </c>
      <c r="AQ308" s="167">
        <f t="shared" si="73"/>
        <v>744.57097476138176</v>
      </c>
      <c r="AR308" s="160">
        <f t="shared" si="67"/>
        <v>859.32</v>
      </c>
      <c r="AS308" s="168">
        <f t="shared" si="68"/>
        <v>1.2612750638360888</v>
      </c>
      <c r="AT308" s="169" t="str">
        <f>K308</f>
        <v>MI</v>
      </c>
      <c r="AU308" s="169" t="str">
        <f>I308</f>
        <v>Mercadorias</v>
      </c>
      <c r="AV308" s="170"/>
      <c r="AW308" s="171">
        <f>IF(K308=$K$50,0,IF(K308=$K$53,0,IF(K308=$K$54,0,IF(K308=$K$55,0,IF(K308=$K$56,0,IF(K308=$K$57,0,IF(K308=$K$58,0,IF(K308=$K$65,0,IF(K308=$K$66,0,IF(K308=$K$67,0,IF(K308=$K$68,0,IF(K308=$K$69,0,IF(K308=$K$51,0,1))))))))))))*AM308*AI308)</f>
        <v>0</v>
      </c>
      <c r="AX308" s="172">
        <f>IF(K308=$K$50,0,IF(K308=$K$53,0,IF(K308=$K$54,0,IF(K308=$K$55,0,IF(K308=$K$56,0,IF(K308=$K$57,0,IF(K308=$K$58,0,IF(K308=$K$65,0,IF(K308=$K$66,0,IF(K308=$K$67,0,IF(K308=$K$68,0,IF(K308=$K$69,0,IF(K308=$K$51,0,1))))))))))))*AM308*AJ308*$AX$94)</f>
        <v>0</v>
      </c>
      <c r="AY308" s="172">
        <f>IF(K308=$K$53,0,IF(K308=$K$54,0,IF(K308=$K$55,0,IF(K308=$K$56,0,IF(K308=$K$58,0,IF(K308=$K$50,0,IF(K308=$K$65,0,IF(K308=$K$57,0,IF(K308=$K$51,0,AM308*$AY$102)))))))))</f>
        <v>10.127700000000001</v>
      </c>
      <c r="AZ308" s="172">
        <f>IF(K308=$K$53,0,IF(K308=$K$54,0,IF(K308=$K$55,0,IF(K308=$K$56,0,IF(K308=$K$58,0,IF(K308=$K$50,0,IF(K308=$K$65,0,IF(K308=$K$57,0,IF(K308=$K$51,0,AM308*$AZ$102)))))))))</f>
        <v>46.648800000000001</v>
      </c>
      <c r="BA308" s="172">
        <f t="shared" si="69"/>
        <v>56.776499999999999</v>
      </c>
      <c r="BB308" s="173">
        <f>IF($BA$97=1,AQ308*$BB$102,IF(K308=$K$50,0,IF(K308=$K$53,0,IF(K308=$K$54,0,IF(K308=$K$55,0,IF(K308=$K$56,0,IF(K308=$K$57,0,IF(K308=$K$58,0,IF(K308=$K$65,0,IF(K308=$K$66,0,IF(K308=$K$67,0,IF(K308=$K$68,0,IF(K308=$K$69,0,IF(K308=$K$51,0,1)))))))))))*AQ308*$BB$102)))</f>
        <v>0</v>
      </c>
      <c r="BC308" s="172">
        <f t="shared" si="70"/>
        <v>4.8397113359489818</v>
      </c>
      <c r="BD308" s="172">
        <f t="shared" si="71"/>
        <v>22.337129242841453</v>
      </c>
      <c r="BE308" s="172">
        <f>IF($BE$95=I308,$BE$97,IF(I308=$BE$96,$BE$97,1))*($BE$102*AQ308)*$AZ$97</f>
        <v>0</v>
      </c>
      <c r="BF308" s="172">
        <f>IF('[1]Cockpit Retorno'!$C$65=Sim,Mestre!BA308,SUM(BB308:BE308)+(IF(K308=$K$56,AQ308*MOE_IRRF_LR,0)))</f>
        <v>27.176840578790433</v>
      </c>
      <c r="BG308" s="174">
        <f>IF(AA308&gt;0,0,IF(Z308=$Z$82,AG308*1,(IF(Z308=$Z$81,AG308*1,0))))</f>
        <v>0</v>
      </c>
      <c r="BH308" s="174">
        <f>IF(AA308&gt;0,0,IF(Z308=$Z$83,AG308*1,IF(Z308=$Z$81,AG308*1,0)))</f>
        <v>0</v>
      </c>
      <c r="BI308" s="174">
        <f>IF(AA308&gt;0,0,IF(Z308=$Z$84,AG308*1,IF(Z308=$Z$93,AG308*2,IF(Z308=$Z$100,AG308,IF(Z308=$Z$81,AG308*2,IF(Z308=$Z$80,AG308*1,IF(Z308=$Z$79,AG308*3,IF(Z308=$Z$78,AG308*2,0))))))))</f>
        <v>0</v>
      </c>
      <c r="BJ308" s="174">
        <f>IF(AA308&gt;0,0,IF(Z308=$Z$85,AG308,IF(Z308=$Z$93,AG308,IF(Z308=$Z$100,AG308,IF(Z308=$Z$81,AG308*1,IF(Z308=$Z$80,AG308*2,IF(Z308=$Z$79,AG308*2,IF(Z308=$Z$78,AG308*2,0))))))))</f>
        <v>0</v>
      </c>
      <c r="BK308" s="174">
        <f>IF(AA308&gt;0,0,IF(Z308=$Z$92,AG308,0))</f>
        <v>0</v>
      </c>
      <c r="BL308" s="174">
        <f>IF(AA308&gt;0,0,IF(Z308=$Z$91,AG308,0))</f>
        <v>0</v>
      </c>
      <c r="BM308" s="174">
        <f>IF(AA308&gt;0,0,IF(Z308=$Z$86,AG308,0))</f>
        <v>0</v>
      </c>
      <c r="BN308" s="174">
        <f>IF(AA308&gt;0,0,IF(Z308=$Z$87,AG308,0))</f>
        <v>0</v>
      </c>
      <c r="BO308" s="174">
        <f>IF(AA308&gt;0,0,IF(Z308=$Z$88,AG308,0))</f>
        <v>0</v>
      </c>
      <c r="BP308" s="174">
        <f>IF(AA308&gt;0,0,IF(Z308=$Z$89,AG308,0))</f>
        <v>0</v>
      </c>
      <c r="BQ308" s="174">
        <f>IF(AA308&gt;0,0,IF(Z308=$Z$90,AG308,0))</f>
        <v>0</v>
      </c>
      <c r="BR308" s="174">
        <f>IF(Z308=$Z$82,AA308*AG308,0)</f>
        <v>0</v>
      </c>
      <c r="BS308" s="174">
        <f>IF(Z308=$Z$83,AA308*AG308,0)</f>
        <v>0</v>
      </c>
      <c r="BT308" s="174">
        <f>IF(AA308&lt;1,0,IF(Z308=$Z$84,AA308*AG308,IF(Z308=$Z$93,"ERRO",IF(Z308=$Z$100,"ERRO",0))))</f>
        <v>0</v>
      </c>
      <c r="BU308" s="174">
        <f>IF(AA308&lt;1,0,IF(Z308=$Z$85,AA308*AG308,IF(Z308=$Z$93,"ERRO",IF(Z308=$Z$100,"ERRO",0))))</f>
        <v>0</v>
      </c>
      <c r="BV308" s="174">
        <f>IF(Z308=$Z$92,AA308*AG308,0)</f>
        <v>0</v>
      </c>
      <c r="BW308" s="174">
        <f>IF(Z308=$Z$91,AA308*AG308,0)</f>
        <v>0</v>
      </c>
      <c r="BX308" s="174">
        <f>IF(Z308=$Z$86,AA308*AG308,0)</f>
        <v>0</v>
      </c>
      <c r="BY308" s="174">
        <f>IF(Z308=$Z$87,AA308*AG308,0)</f>
        <v>0</v>
      </c>
      <c r="BZ308" s="174">
        <f>IF(Z308=$Z$88,AA308*AG308,0)</f>
        <v>0</v>
      </c>
      <c r="CA308" s="174">
        <f>IF(Z308=$Z$89,AA308*AG308,0)</f>
        <v>0</v>
      </c>
      <c r="CB308" s="174">
        <f>IF(Z308=$Z$90,AA308*AG308,0)</f>
        <v>0</v>
      </c>
      <c r="CC308" s="175">
        <f>IFERROR(IF(L308=$L$49,AG308*AH308*(1+AI308)*(1-AK308)*(1-AL308),0),0)</f>
        <v>0</v>
      </c>
      <c r="CD308" s="203">
        <f>IF(I308=$CD$97,1,IF(I308=$CD$100,2,IF(K308=$K$66,1,IF(K308=$K$69,1,3))))</f>
        <v>1</v>
      </c>
      <c r="CE308" s="203">
        <f>IF($CD308=1,1.07,IF($CD308=2,1.07,1.3))</f>
        <v>1.07</v>
      </c>
      <c r="CF308" s="204">
        <f t="shared" si="54"/>
        <v>1.2353999999999998</v>
      </c>
      <c r="CG308" s="203">
        <f>IF($CD308=1,1.42,IF($CD308=2,1.47,2))</f>
        <v>1.42</v>
      </c>
      <c r="CH308" s="204">
        <f t="shared" si="55"/>
        <v>1.5478000000000001</v>
      </c>
      <c r="CI308" s="203">
        <f>IF($CD308=1,1.7,IF($CD308=2,1.7,2.4))</f>
        <v>1.7</v>
      </c>
      <c r="CJ308" s="205">
        <f t="shared" si="56"/>
        <v>1.0486</v>
      </c>
      <c r="CK308" s="205">
        <f t="shared" si="57"/>
        <v>1.148922</v>
      </c>
      <c r="CL308" s="205">
        <f t="shared" si="58"/>
        <v>1.3915999999999999</v>
      </c>
      <c r="CM308" s="205">
        <f t="shared" si="59"/>
        <v>1.501366</v>
      </c>
      <c r="CN308" s="206">
        <f t="shared" si="60"/>
        <v>1.6319999999999999</v>
      </c>
      <c r="CO308" s="204">
        <f t="shared" si="61"/>
        <v>1.006656</v>
      </c>
      <c r="CP308" s="207">
        <f t="shared" si="62"/>
        <v>-29.599659421209566</v>
      </c>
      <c r="CQ308" s="208">
        <f t="shared" si="63"/>
        <v>774.17063418259136</v>
      </c>
      <c r="CR308" s="209">
        <f t="shared" si="72"/>
        <v>27.176840578790433</v>
      </c>
      <c r="CS308" s="49"/>
      <c r="CT308" s="49"/>
      <c r="CU308" s="49"/>
      <c r="CV308" s="49"/>
      <c r="CW308" s="49"/>
      <c r="CX308" s="49"/>
      <c r="CY308" s="49"/>
      <c r="CZ308" s="49"/>
      <c r="DA308" s="49"/>
      <c r="DB308" s="49"/>
      <c r="DC308" s="49"/>
      <c r="DD308" s="49"/>
      <c r="DE308" s="49"/>
      <c r="DF308" s="49"/>
      <c r="DG308" s="49"/>
      <c r="DH308" s="49"/>
      <c r="DI308" s="49"/>
      <c r="DJ308" s="49"/>
      <c r="DK308" s="49"/>
      <c r="DL308" s="49"/>
      <c r="DM308" s="49"/>
      <c r="DN308" s="49"/>
      <c r="DO308" s="49"/>
      <c r="DP308" s="49"/>
      <c r="DQ308" s="49"/>
      <c r="DR308" s="49"/>
      <c r="DS308" s="49"/>
      <c r="DT308" s="49"/>
      <c r="DU308" s="49"/>
      <c r="DV308" s="49"/>
      <c r="DW308" s="49"/>
      <c r="DX308" s="49"/>
      <c r="DY308" s="49"/>
      <c r="DZ308" s="49"/>
      <c r="EA308" s="49"/>
      <c r="EB308" s="49"/>
      <c r="EC308" s="49"/>
      <c r="ED308" s="49"/>
      <c r="EE308" s="49"/>
      <c r="EF308" s="49"/>
      <c r="EG308" s="49"/>
      <c r="EH308" s="49"/>
      <c r="EI308" s="49"/>
      <c r="EJ308" s="49"/>
      <c r="EK308" s="49"/>
      <c r="EL308" s="49"/>
      <c r="EM308" s="49"/>
      <c r="EN308" s="49"/>
      <c r="EO308" s="49"/>
      <c r="EP308" s="49"/>
      <c r="EQ308" s="49"/>
      <c r="ER308" s="49"/>
      <c r="ES308" s="49"/>
      <c r="ET308" s="49"/>
      <c r="EU308" s="49"/>
      <c r="EV308" s="49"/>
      <c r="EW308" s="49"/>
      <c r="EX308" s="49"/>
      <c r="EY308" s="49"/>
      <c r="EZ308" s="49"/>
      <c r="FA308" s="49"/>
    </row>
    <row r="309" spans="1:157" s="210" customFormat="1" x14ac:dyDescent="0.25">
      <c r="A309" s="113">
        <f>IF(AND('[1]Cockpit Retorno'!$E$67=Sim,Mestre!M309=Mestre!$M$98),0,1)</f>
        <v>1</v>
      </c>
      <c r="B309" s="113">
        <f>IF(AND('[1]Cockpit Retorno'!$E$67=Sim,Mestre!L309=Mestre!$L$48),0,1)</f>
        <v>0</v>
      </c>
      <c r="C309" s="113">
        <f>IF(AND('[1]Cockpit Retorno'!$E$67=Sim,Mestre!M309=Mestre!$M$97),0,1)</f>
        <v>1</v>
      </c>
      <c r="D309" s="148" t="s">
        <v>7</v>
      </c>
      <c r="E309" s="115"/>
      <c r="F309" s="116" t="s">
        <v>107</v>
      </c>
      <c r="G309" s="149"/>
      <c r="H309" s="150" t="s">
        <v>7</v>
      </c>
      <c r="I309" s="151" t="str">
        <f t="shared" si="65"/>
        <v>Mercadorias</v>
      </c>
      <c r="J309" s="150" t="s">
        <v>15</v>
      </c>
      <c r="K309" s="152" t="s">
        <v>7</v>
      </c>
      <c r="L309" s="153" t="s">
        <v>15</v>
      </c>
      <c r="M309" s="154" t="s">
        <v>460</v>
      </c>
      <c r="N309" s="155" t="s">
        <v>450</v>
      </c>
      <c r="O309" s="155" t="s">
        <v>412</v>
      </c>
      <c r="P309" s="155"/>
      <c r="Q309" s="155"/>
      <c r="R309" s="155"/>
      <c r="S309" s="156"/>
      <c r="T309" s="156"/>
      <c r="U309" s="150"/>
      <c r="V309" s="150"/>
      <c r="W309" s="150"/>
      <c r="X309" s="157" t="s">
        <v>463</v>
      </c>
      <c r="Y309" s="150"/>
      <c r="Z309" s="150"/>
      <c r="AA309" s="158"/>
      <c r="AB309" s="155"/>
      <c r="AC309" s="150"/>
      <c r="AD309" s="155"/>
      <c r="AE309" s="155"/>
      <c r="AF309" s="150"/>
      <c r="AG309" s="159">
        <v>16</v>
      </c>
      <c r="AH309" s="211">
        <v>11.16</v>
      </c>
      <c r="AI309" s="202">
        <v>0</v>
      </c>
      <c r="AJ309" s="161">
        <v>0.12</v>
      </c>
      <c r="AK309" s="162"/>
      <c r="AL309" s="163"/>
      <c r="AM309" s="164">
        <f>(((IF(L309=$L$101,1,IF(L309=$L$47,1,0))*(AH309*(1-AK309)))*AG309)*(1-AL309))</f>
        <v>178.56</v>
      </c>
      <c r="AN309" s="165">
        <f>IF(K309=$K$50,AM309,IF(K309=$K$53,AM309,IF(K309=$K$54,AM309,IF(K309=$K$55,AM309,IF(K309=$K$56,AM309,IF(K309=$K$57,AM309,IF(K309=$K$58,AM309,IF(K309=$K$65,AM309,IF(K309=$K$66,AM309,IF(K309=$K$67,AM309,IF(K309=$K$68,AM309,IF(K309=$K$69,AM309,IF(K309=$K$51,AM309,(AM309*(1+AI309)))))))))))))))</f>
        <v>178.56</v>
      </c>
      <c r="AO309" s="166">
        <v>1.4</v>
      </c>
      <c r="AP309" s="160">
        <f t="shared" si="66"/>
        <v>249.98399999999998</v>
      </c>
      <c r="AQ309" s="167">
        <f t="shared" si="73"/>
        <v>216.60246538512919</v>
      </c>
      <c r="AR309" s="160">
        <f t="shared" si="67"/>
        <v>249.98399999999998</v>
      </c>
      <c r="AS309" s="168">
        <f t="shared" si="68"/>
        <v>1.2612750638360886</v>
      </c>
      <c r="AT309" s="169" t="str">
        <f>K309</f>
        <v>MI</v>
      </c>
      <c r="AU309" s="169" t="str">
        <f>I309</f>
        <v>Mercadorias</v>
      </c>
      <c r="AV309" s="170"/>
      <c r="AW309" s="171">
        <f>IF(K309=$K$50,0,IF(K309=$K$53,0,IF(K309=$K$54,0,IF(K309=$K$55,0,IF(K309=$K$56,0,IF(K309=$K$57,0,IF(K309=$K$58,0,IF(K309=$K$65,0,IF(K309=$K$66,0,IF(K309=$K$67,0,IF(K309=$K$68,0,IF(K309=$K$69,0,IF(K309=$K$51,0,1))))))))))))*AM309*AI309)</f>
        <v>0</v>
      </c>
      <c r="AX309" s="172">
        <f>IF(K309=$K$50,0,IF(K309=$K$53,0,IF(K309=$K$54,0,IF(K309=$K$55,0,IF(K309=$K$56,0,IF(K309=$K$57,0,IF(K309=$K$58,0,IF(K309=$K$65,0,IF(K309=$K$66,0,IF(K309=$K$67,0,IF(K309=$K$68,0,IF(K309=$K$69,0,IF(K309=$K$51,0,1))))))))))))*AM309*AJ309*$AX$94)</f>
        <v>0</v>
      </c>
      <c r="AY309" s="172">
        <f>IF(K309=$K$53,0,IF(K309=$K$54,0,IF(K309=$K$55,0,IF(K309=$K$56,0,IF(K309=$K$58,0,IF(K309=$K$50,0,IF(K309=$K$65,0,IF(K309=$K$57,0,IF(K309=$K$51,0,AM309*$AY$102)))))))))</f>
        <v>2.94624</v>
      </c>
      <c r="AZ309" s="172">
        <f>IF(K309=$K$53,0,IF(K309=$K$54,0,IF(K309=$K$55,0,IF(K309=$K$56,0,IF(K309=$K$58,0,IF(K309=$K$50,0,IF(K309=$K$65,0,IF(K309=$K$57,0,IF(K309=$K$51,0,AM309*$AZ$102)))))))))</f>
        <v>13.57056</v>
      </c>
      <c r="BA309" s="172">
        <f t="shared" si="69"/>
        <v>16.5168</v>
      </c>
      <c r="BB309" s="173">
        <f>IF($BA$97=1,AQ309*$BB$102,IF(K309=$K$50,0,IF(K309=$K$53,0,IF(K309=$K$54,0,IF(K309=$K$55,0,IF(K309=$K$56,0,IF(K309=$K$57,0,IF(K309=$K$58,0,IF(K309=$K$65,0,IF(K309=$K$66,0,IF(K309=$K$67,0,IF(K309=$K$68,0,IF(K309=$K$69,0,IF(K309=$K$51,0,1)))))))))))*AQ309*$BB$102)))</f>
        <v>0</v>
      </c>
      <c r="BC309" s="172">
        <f t="shared" si="70"/>
        <v>1.4079160250033398</v>
      </c>
      <c r="BD309" s="172">
        <f t="shared" si="71"/>
        <v>6.4980739615538754</v>
      </c>
      <c r="BE309" s="172">
        <f>IF($BE$95=I309,$BE$97,IF(I309=$BE$96,$BE$97,1))*($BE$102*AQ309)*$AZ$97</f>
        <v>0</v>
      </c>
      <c r="BF309" s="172">
        <f>IF('[1]Cockpit Retorno'!$C$65=Sim,Mestre!BA309,SUM(BB309:BE309)+(IF(K309=$K$56,AQ309*MOE_IRRF_LR,0)))</f>
        <v>7.9059899865572154</v>
      </c>
      <c r="BG309" s="174">
        <f>IF(AA309&gt;0,0,IF(Z309=$Z$82,AG309*1,(IF(Z309=$Z$81,AG309*1,0))))</f>
        <v>0</v>
      </c>
      <c r="BH309" s="174">
        <f>IF(AA309&gt;0,0,IF(Z309=$Z$83,AG309*1,IF(Z309=$Z$81,AG309*1,0)))</f>
        <v>0</v>
      </c>
      <c r="BI309" s="174">
        <f>IF(AA309&gt;0,0,IF(Z309=$Z$84,AG309*1,IF(Z309=$Z$93,AG309*2,IF(Z309=$Z$100,AG309,IF(Z309=$Z$81,AG309*2,IF(Z309=$Z$80,AG309*1,IF(Z309=$Z$79,AG309*3,IF(Z309=$Z$78,AG309*2,0))))))))</f>
        <v>0</v>
      </c>
      <c r="BJ309" s="174">
        <f>IF(AA309&gt;0,0,IF(Z309=$Z$85,AG309,IF(Z309=$Z$93,AG309,IF(Z309=$Z$100,AG309,IF(Z309=$Z$81,AG309*1,IF(Z309=$Z$80,AG309*2,IF(Z309=$Z$79,AG309*2,IF(Z309=$Z$78,AG309*2,0))))))))</f>
        <v>0</v>
      </c>
      <c r="BK309" s="174">
        <f>IF(AA309&gt;0,0,IF(Z309=$Z$92,AG309,0))</f>
        <v>0</v>
      </c>
      <c r="BL309" s="174">
        <f>IF(AA309&gt;0,0,IF(Z309=$Z$91,AG309,0))</f>
        <v>0</v>
      </c>
      <c r="BM309" s="174">
        <f>IF(AA309&gt;0,0,IF(Z309=$Z$86,AG309,0))</f>
        <v>0</v>
      </c>
      <c r="BN309" s="174">
        <f>IF(AA309&gt;0,0,IF(Z309=$Z$87,AG309,0))</f>
        <v>0</v>
      </c>
      <c r="BO309" s="174">
        <f>IF(AA309&gt;0,0,IF(Z309=$Z$88,AG309,0))</f>
        <v>0</v>
      </c>
      <c r="BP309" s="174">
        <f>IF(AA309&gt;0,0,IF(Z309=$Z$89,AG309,0))</f>
        <v>0</v>
      </c>
      <c r="BQ309" s="174">
        <f>IF(AA309&gt;0,0,IF(Z309=$Z$90,AG309,0))</f>
        <v>0</v>
      </c>
      <c r="BR309" s="174">
        <f>IF(Z309=$Z$82,AA309*AG309,0)</f>
        <v>0</v>
      </c>
      <c r="BS309" s="174">
        <f>IF(Z309=$Z$83,AA309*AG309,0)</f>
        <v>0</v>
      </c>
      <c r="BT309" s="174">
        <f>IF(AA309&lt;1,0,IF(Z309=$Z$84,AA309*AG309,IF(Z309=$Z$93,"ERRO",IF(Z309=$Z$100,"ERRO",0))))</f>
        <v>0</v>
      </c>
      <c r="BU309" s="174">
        <f>IF(AA309&lt;1,0,IF(Z309=$Z$85,AA309*AG309,IF(Z309=$Z$93,"ERRO",IF(Z309=$Z$100,"ERRO",0))))</f>
        <v>0</v>
      </c>
      <c r="BV309" s="174">
        <f>IF(Z309=$Z$92,AA309*AG309,0)</f>
        <v>0</v>
      </c>
      <c r="BW309" s="174">
        <f>IF(Z309=$Z$91,AA309*AG309,0)</f>
        <v>0</v>
      </c>
      <c r="BX309" s="174">
        <f>IF(Z309=$Z$86,AA309*AG309,0)</f>
        <v>0</v>
      </c>
      <c r="BY309" s="174">
        <f>IF(Z309=$Z$87,AA309*AG309,0)</f>
        <v>0</v>
      </c>
      <c r="BZ309" s="174">
        <f>IF(Z309=$Z$88,AA309*AG309,0)</f>
        <v>0</v>
      </c>
      <c r="CA309" s="174">
        <f>IF(Z309=$Z$89,AA309*AG309,0)</f>
        <v>0</v>
      </c>
      <c r="CB309" s="174">
        <f>IF(Z309=$Z$90,AA309*AG309,0)</f>
        <v>0</v>
      </c>
      <c r="CC309" s="175">
        <f>IFERROR(IF(L309=$L$49,AG309*AH309*(1+AI309)*(1-AK309)*(1-AL309),0),0)</f>
        <v>0</v>
      </c>
      <c r="CD309" s="203">
        <f>IF(I309=$CD$97,1,IF(I309=$CD$100,2,IF(K309=$K$66,1,IF(K309=$K$69,1,3))))</f>
        <v>1</v>
      </c>
      <c r="CE309" s="203">
        <f t="shared" si="14"/>
        <v>1.07</v>
      </c>
      <c r="CF309" s="204">
        <f t="shared" si="54"/>
        <v>1.2353999999999998</v>
      </c>
      <c r="CG309" s="203">
        <f t="shared" si="15"/>
        <v>1.42</v>
      </c>
      <c r="CH309" s="204">
        <f t="shared" si="55"/>
        <v>1.5478000000000001</v>
      </c>
      <c r="CI309" s="203">
        <f t="shared" si="16"/>
        <v>1.7</v>
      </c>
      <c r="CJ309" s="205">
        <f t="shared" si="56"/>
        <v>1.0486</v>
      </c>
      <c r="CK309" s="205">
        <f t="shared" si="57"/>
        <v>1.148922</v>
      </c>
      <c r="CL309" s="205">
        <f t="shared" si="58"/>
        <v>1.3915999999999999</v>
      </c>
      <c r="CM309" s="205">
        <f t="shared" si="59"/>
        <v>1.501366</v>
      </c>
      <c r="CN309" s="206">
        <f t="shared" si="60"/>
        <v>1.6319999999999999</v>
      </c>
      <c r="CO309" s="204">
        <f t="shared" si="61"/>
        <v>1.006656</v>
      </c>
      <c r="CP309" s="207">
        <f t="shared" si="62"/>
        <v>-8.6108100134427836</v>
      </c>
      <c r="CQ309" s="208">
        <f t="shared" si="63"/>
        <v>225.21327539857197</v>
      </c>
      <c r="CR309" s="209">
        <f t="shared" si="72"/>
        <v>7.9059899865572154</v>
      </c>
      <c r="CS309" s="49"/>
      <c r="CT309" s="49"/>
      <c r="CU309" s="49"/>
      <c r="CV309" s="49"/>
      <c r="CW309" s="49"/>
      <c r="CX309" s="49"/>
      <c r="CY309" s="49"/>
      <c r="CZ309" s="49"/>
      <c r="DA309" s="49"/>
      <c r="DB309" s="49"/>
      <c r="DC309" s="49"/>
      <c r="DD309" s="49"/>
      <c r="DE309" s="49"/>
      <c r="DF309" s="49"/>
      <c r="DG309" s="49"/>
      <c r="DH309" s="49"/>
      <c r="DI309" s="49"/>
      <c r="DJ309" s="49"/>
      <c r="DK309" s="49"/>
      <c r="DL309" s="49"/>
      <c r="DM309" s="49"/>
      <c r="DN309" s="49"/>
      <c r="DO309" s="49"/>
      <c r="DP309" s="49"/>
      <c r="DQ309" s="49"/>
      <c r="DR309" s="49"/>
      <c r="DS309" s="49"/>
      <c r="DT309" s="49"/>
      <c r="DU309" s="49"/>
      <c r="DV309" s="49"/>
      <c r="DW309" s="49"/>
      <c r="DX309" s="49"/>
      <c r="DY309" s="49"/>
      <c r="DZ309" s="49"/>
      <c r="EA309" s="49"/>
      <c r="EB309" s="49"/>
      <c r="EC309" s="49"/>
      <c r="ED309" s="49"/>
      <c r="EE309" s="49"/>
      <c r="EF309" s="49"/>
      <c r="EG309" s="49"/>
      <c r="EH309" s="49"/>
      <c r="EI309" s="49"/>
      <c r="EJ309" s="49"/>
      <c r="EK309" s="49"/>
      <c r="EL309" s="49"/>
      <c r="EM309" s="49"/>
      <c r="EN309" s="49"/>
      <c r="EO309" s="49"/>
      <c r="EP309" s="49"/>
      <c r="EQ309" s="49"/>
      <c r="ER309" s="49"/>
      <c r="ES309" s="49"/>
      <c r="ET309" s="49"/>
      <c r="EU309" s="49"/>
      <c r="EV309" s="49"/>
      <c r="EW309" s="49"/>
      <c r="EX309" s="49"/>
      <c r="EY309" s="49"/>
      <c r="EZ309" s="49"/>
      <c r="FA309" s="49"/>
    </row>
    <row r="310" spans="1:157" s="210" customFormat="1" ht="25.5" x14ac:dyDescent="0.25">
      <c r="A310" s="113">
        <f>IF(AND('[1]Cockpit Retorno'!$E$67=Sim,Mestre!M310=Mestre!$M$98),0,1)</f>
        <v>1</v>
      </c>
      <c r="B310" s="113">
        <f>IF(AND('[1]Cockpit Retorno'!$E$67=Sim,Mestre!L310=Mestre!$L$48),0,1)</f>
        <v>0</v>
      </c>
      <c r="C310" s="113">
        <f>IF(AND('[1]Cockpit Retorno'!$E$67=Sim,Mestre!M310=Mestre!$M$97),0,1)</f>
        <v>1</v>
      </c>
      <c r="D310" s="148" t="s">
        <v>7</v>
      </c>
      <c r="E310" s="115"/>
      <c r="F310" s="116" t="s">
        <v>107</v>
      </c>
      <c r="G310" s="149"/>
      <c r="H310" s="150" t="s">
        <v>7</v>
      </c>
      <c r="I310" s="151" t="str">
        <f t="shared" si="65"/>
        <v>Mercadorias</v>
      </c>
      <c r="J310" s="150" t="s">
        <v>15</v>
      </c>
      <c r="K310" s="152" t="s">
        <v>7</v>
      </c>
      <c r="L310" s="153" t="s">
        <v>15</v>
      </c>
      <c r="M310" s="154" t="s">
        <v>430</v>
      </c>
      <c r="N310" s="155" t="s">
        <v>450</v>
      </c>
      <c r="O310" s="155" t="s">
        <v>412</v>
      </c>
      <c r="P310" s="155"/>
      <c r="Q310" s="155"/>
      <c r="R310" s="155"/>
      <c r="S310" s="156"/>
      <c r="T310" s="156"/>
      <c r="U310" s="150"/>
      <c r="V310" s="150"/>
      <c r="W310" s="150"/>
      <c r="X310" s="157" t="s">
        <v>464</v>
      </c>
      <c r="Y310" s="150"/>
      <c r="Z310" s="150"/>
      <c r="AA310" s="158"/>
      <c r="AB310" s="155"/>
      <c r="AC310" s="150"/>
      <c r="AD310" s="155"/>
      <c r="AE310" s="155"/>
      <c r="AF310" s="150"/>
      <c r="AG310" s="159">
        <f>AG297/2*3</f>
        <v>1035</v>
      </c>
      <c r="AH310" s="211">
        <v>2.6970000000000001</v>
      </c>
      <c r="AI310" s="202">
        <v>0</v>
      </c>
      <c r="AJ310" s="161">
        <v>0.12</v>
      </c>
      <c r="AK310" s="162"/>
      <c r="AL310" s="163"/>
      <c r="AM310" s="164">
        <f>(((IF(L310=$L$101,1,IF(L310=$L$47,1,0))*(AH310*(1-AK310)))*AG310)*(1-AL310))</f>
        <v>2791.395</v>
      </c>
      <c r="AN310" s="165">
        <f>IF(K310=$K$50,AM310,IF(K310=$K$53,AM310,IF(K310=$K$54,AM310,IF(K310=$K$55,AM310,IF(K310=$K$56,AM310,IF(K310=$K$57,AM310,IF(K310=$K$58,AM310,IF(K310=$K$65,AM310,IF(K310=$K$66,AM310,IF(K310=$K$67,AM310,IF(K310=$K$68,AM310,IF(K310=$K$69,AM310,IF(K310=$K$51,AM310,(AM310*(1+AI310)))))))))))))))</f>
        <v>2791.395</v>
      </c>
      <c r="AO310" s="166">
        <v>1.4</v>
      </c>
      <c r="AP310" s="160">
        <f t="shared" si="66"/>
        <v>3907.9529999999995</v>
      </c>
      <c r="AQ310" s="167">
        <f t="shared" si="73"/>
        <v>3386.105728403465</v>
      </c>
      <c r="AR310" s="160">
        <f t="shared" si="67"/>
        <v>3907.9529999999995</v>
      </c>
      <c r="AS310" s="168">
        <f t="shared" si="68"/>
        <v>1.2612750638360886</v>
      </c>
      <c r="AT310" s="169" t="str">
        <f>K310</f>
        <v>MI</v>
      </c>
      <c r="AU310" s="169" t="str">
        <f>I310</f>
        <v>Mercadorias</v>
      </c>
      <c r="AV310" s="170"/>
      <c r="AW310" s="171">
        <f>IF(K310=$K$50,0,IF(K310=$K$53,0,IF(K310=$K$54,0,IF(K310=$K$55,0,IF(K310=$K$56,0,IF(K310=$K$57,0,IF(K310=$K$58,0,IF(K310=$K$65,0,IF(K310=$K$66,0,IF(K310=$K$67,0,IF(K310=$K$68,0,IF(K310=$K$69,0,IF(K310=$K$51,0,1))))))))))))*AM310*AI310)</f>
        <v>0</v>
      </c>
      <c r="AX310" s="172">
        <f>IF(K310=$K$50,0,IF(K310=$K$53,0,IF(K310=$K$54,0,IF(K310=$K$55,0,IF(K310=$K$56,0,IF(K310=$K$57,0,IF(K310=$K$58,0,IF(K310=$K$65,0,IF(K310=$K$66,0,IF(K310=$K$67,0,IF(K310=$K$68,0,IF(K310=$K$69,0,IF(K310=$K$51,0,1))))))))))))*AM310*AJ310*$AX$94)</f>
        <v>0</v>
      </c>
      <c r="AY310" s="172">
        <f>IF(K310=$K$53,0,IF(K310=$K$54,0,IF(K310=$K$55,0,IF(K310=$K$56,0,IF(K310=$K$58,0,IF(K310=$K$50,0,IF(K310=$K$65,0,IF(K310=$K$57,0,IF(K310=$K$51,0,AM310*$AY$102)))))))))</f>
        <v>46.058017500000005</v>
      </c>
      <c r="AZ310" s="172">
        <f>IF(K310=$K$53,0,IF(K310=$K$54,0,IF(K310=$K$55,0,IF(K310=$K$56,0,IF(K310=$K$58,0,IF(K310=$K$50,0,IF(K310=$K$65,0,IF(K310=$K$57,0,IF(K310=$K$51,0,AM310*$AZ$102)))))))))</f>
        <v>212.14601999999999</v>
      </c>
      <c r="BA310" s="172">
        <f t="shared" si="69"/>
        <v>258.20403750000003</v>
      </c>
      <c r="BB310" s="173">
        <f>IF($BA$97=1,AQ310*$BB$102,IF(K310=$K$50,0,IF(K310=$K$53,0,IF(K310=$K$54,0,IF(K310=$K$55,0,IF(K310=$K$56,0,IF(K310=$K$57,0,IF(K310=$K$58,0,IF(K310=$K$65,0,IF(K310=$K$66,0,IF(K310=$K$67,0,IF(K310=$K$68,0,IF(K310=$K$69,0,IF(K310=$K$51,0,1)))))))))))*AQ310*$BB$102)))</f>
        <v>0</v>
      </c>
      <c r="BC310" s="172">
        <f t="shared" si="70"/>
        <v>22.009687234622525</v>
      </c>
      <c r="BD310" s="172">
        <f t="shared" si="71"/>
        <v>101.58317185210394</v>
      </c>
      <c r="BE310" s="172">
        <f>IF($BE$95=I310,$BE$97,IF(I310=$BE$96,$BE$97,1))*($BE$102*AQ310)*$AZ$97</f>
        <v>0</v>
      </c>
      <c r="BF310" s="172">
        <f>IF('[1]Cockpit Retorno'!$C$65=Sim,Mestre!BA310,SUM(BB310:BE310)+(IF(K310=$K$56,AQ310*MOE_IRRF_LR,0)))</f>
        <v>123.59285908672646</v>
      </c>
      <c r="BG310" s="174">
        <f>IF(AA310&gt;0,0,IF(Z310=$Z$82,AG310*1,(IF(Z310=$Z$81,AG310*1,0))))</f>
        <v>0</v>
      </c>
      <c r="BH310" s="174">
        <f>IF(AA310&gt;0,0,IF(Z310=$Z$83,AG310*1,IF(Z310=$Z$81,AG310*1,0)))</f>
        <v>0</v>
      </c>
      <c r="BI310" s="174">
        <f>IF(AA310&gt;0,0,IF(Z310=$Z$84,AG310*1,IF(Z310=$Z$93,AG310*2,IF(Z310=$Z$100,AG310,IF(Z310=$Z$81,AG310*2,IF(Z310=$Z$80,AG310*1,IF(Z310=$Z$79,AG310*3,IF(Z310=$Z$78,AG310*2,0))))))))</f>
        <v>0</v>
      </c>
      <c r="BJ310" s="174">
        <f>IF(AA310&gt;0,0,IF(Z310=$Z$85,AG310,IF(Z310=$Z$93,AG310,IF(Z310=$Z$100,AG310,IF(Z310=$Z$81,AG310*1,IF(Z310=$Z$80,AG310*2,IF(Z310=$Z$79,AG310*2,IF(Z310=$Z$78,AG310*2,0))))))))</f>
        <v>0</v>
      </c>
      <c r="BK310" s="174">
        <f>IF(AA310&gt;0,0,IF(Z310=$Z$92,AG310,0))</f>
        <v>0</v>
      </c>
      <c r="BL310" s="174">
        <f>IF(AA310&gt;0,0,IF(Z310=$Z$91,AG310,0))</f>
        <v>0</v>
      </c>
      <c r="BM310" s="174">
        <f>IF(AA310&gt;0,0,IF(Z310=$Z$86,AG310,0))</f>
        <v>0</v>
      </c>
      <c r="BN310" s="174">
        <f>IF(AA310&gt;0,0,IF(Z310=$Z$87,AG310,0))</f>
        <v>0</v>
      </c>
      <c r="BO310" s="174">
        <f>IF(AA310&gt;0,0,IF(Z310=$Z$88,AG310,0))</f>
        <v>0</v>
      </c>
      <c r="BP310" s="174">
        <f>IF(AA310&gt;0,0,IF(Z310=$Z$89,AG310,0))</f>
        <v>0</v>
      </c>
      <c r="BQ310" s="174">
        <f>IF(AA310&gt;0,0,IF(Z310=$Z$90,AG310,0))</f>
        <v>0</v>
      </c>
      <c r="BR310" s="174">
        <f>IF(Z310=$Z$82,AA310*AG310,0)</f>
        <v>0</v>
      </c>
      <c r="BS310" s="174">
        <f>IF(Z310=$Z$83,AA310*AG310,0)</f>
        <v>0</v>
      </c>
      <c r="BT310" s="174">
        <f>IF(AA310&lt;1,0,IF(Z310=$Z$84,AA310*AG310,IF(Z310=$Z$93,"ERRO",IF(Z310=$Z$100,"ERRO",0))))</f>
        <v>0</v>
      </c>
      <c r="BU310" s="174">
        <f>IF(AA310&lt;1,0,IF(Z310=$Z$85,AA310*AG310,IF(Z310=$Z$93,"ERRO",IF(Z310=$Z$100,"ERRO",0))))</f>
        <v>0</v>
      </c>
      <c r="BV310" s="174">
        <f>IF(Z310=$Z$92,AA310*AG310,0)</f>
        <v>0</v>
      </c>
      <c r="BW310" s="174">
        <f>IF(Z310=$Z$91,AA310*AG310,0)</f>
        <v>0</v>
      </c>
      <c r="BX310" s="174">
        <f>IF(Z310=$Z$86,AA310*AG310,0)</f>
        <v>0</v>
      </c>
      <c r="BY310" s="174">
        <f>IF(Z310=$Z$87,AA310*AG310,0)</f>
        <v>0</v>
      </c>
      <c r="BZ310" s="174">
        <f>IF(Z310=$Z$88,AA310*AG310,0)</f>
        <v>0</v>
      </c>
      <c r="CA310" s="174">
        <f>IF(Z310=$Z$89,AA310*AG310,0)</f>
        <v>0</v>
      </c>
      <c r="CB310" s="174">
        <f>IF(Z310=$Z$90,AA310*AG310,0)</f>
        <v>0</v>
      </c>
      <c r="CC310" s="175">
        <f>IFERROR(IF(L310=$L$49,AG310*AH310*(1+AI310)*(1-AK310)*(1-AL310),0),0)</f>
        <v>0</v>
      </c>
      <c r="CD310" s="203">
        <f>IF(I310=$CD$97,1,IF(I310=$CD$100,2,IF(K310=$K$66,1,IF(K310=$K$69,1,3))))</f>
        <v>1</v>
      </c>
      <c r="CE310" s="203">
        <f t="shared" si="14"/>
        <v>1.07</v>
      </c>
      <c r="CF310" s="204">
        <f t="shared" si="54"/>
        <v>1.2353999999999998</v>
      </c>
      <c r="CG310" s="203">
        <f t="shared" si="15"/>
        <v>1.42</v>
      </c>
      <c r="CH310" s="204">
        <f t="shared" si="55"/>
        <v>1.5478000000000001</v>
      </c>
      <c r="CI310" s="203">
        <f t="shared" si="16"/>
        <v>1.7</v>
      </c>
      <c r="CJ310" s="205">
        <f t="shared" si="56"/>
        <v>1.0486</v>
      </c>
      <c r="CK310" s="205">
        <f t="shared" si="57"/>
        <v>1.148922</v>
      </c>
      <c r="CL310" s="205">
        <f t="shared" si="58"/>
        <v>1.3915999999999999</v>
      </c>
      <c r="CM310" s="205">
        <f t="shared" si="59"/>
        <v>1.501366</v>
      </c>
      <c r="CN310" s="206">
        <f t="shared" si="60"/>
        <v>1.6319999999999999</v>
      </c>
      <c r="CO310" s="204">
        <f t="shared" si="61"/>
        <v>1.006656</v>
      </c>
      <c r="CP310" s="207">
        <f t="shared" si="62"/>
        <v>-134.61117841327356</v>
      </c>
      <c r="CQ310" s="208">
        <f t="shared" si="63"/>
        <v>3520.7169068167386</v>
      </c>
      <c r="CR310" s="209">
        <f t="shared" si="72"/>
        <v>123.59285908672646</v>
      </c>
      <c r="CS310" s="49"/>
      <c r="CT310" s="49"/>
      <c r="CU310" s="49"/>
      <c r="CV310" s="49"/>
      <c r="CW310" s="49"/>
      <c r="CX310" s="49"/>
      <c r="CY310" s="49"/>
      <c r="CZ310" s="49"/>
      <c r="DA310" s="49"/>
      <c r="DB310" s="49"/>
      <c r="DC310" s="49"/>
      <c r="DD310" s="49"/>
      <c r="DE310" s="49"/>
      <c r="DF310" s="49"/>
      <c r="DG310" s="49"/>
      <c r="DH310" s="49"/>
      <c r="DI310" s="49"/>
      <c r="DJ310" s="49"/>
      <c r="DK310" s="49"/>
      <c r="DL310" s="49"/>
      <c r="DM310" s="49"/>
      <c r="DN310" s="49"/>
      <c r="DO310" s="49"/>
      <c r="DP310" s="49"/>
      <c r="DQ310" s="49"/>
      <c r="DR310" s="49"/>
      <c r="DS310" s="49"/>
      <c r="DT310" s="49"/>
      <c r="DU310" s="49"/>
      <c r="DV310" s="49"/>
      <c r="DW310" s="49"/>
      <c r="DX310" s="49"/>
      <c r="DY310" s="49"/>
      <c r="DZ310" s="49"/>
      <c r="EA310" s="49"/>
      <c r="EB310" s="49"/>
      <c r="EC310" s="49"/>
      <c r="ED310" s="49"/>
      <c r="EE310" s="49"/>
      <c r="EF310" s="49"/>
      <c r="EG310" s="49"/>
      <c r="EH310" s="49"/>
      <c r="EI310" s="49"/>
      <c r="EJ310" s="49"/>
      <c r="EK310" s="49"/>
      <c r="EL310" s="49"/>
      <c r="EM310" s="49"/>
      <c r="EN310" s="49"/>
      <c r="EO310" s="49"/>
      <c r="EP310" s="49"/>
      <c r="EQ310" s="49"/>
      <c r="ER310" s="49"/>
      <c r="ES310" s="49"/>
      <c r="ET310" s="49"/>
      <c r="EU310" s="49"/>
      <c r="EV310" s="49"/>
      <c r="EW310" s="49"/>
      <c r="EX310" s="49"/>
      <c r="EY310" s="49"/>
      <c r="EZ310" s="49"/>
      <c r="FA310" s="49"/>
    </row>
    <row r="311" spans="1:157" s="210" customFormat="1" x14ac:dyDescent="0.25">
      <c r="A311" s="113">
        <f>IF(AND('[1]Cockpit Retorno'!$E$67=Sim,Mestre!M311=Mestre!$M$98),0,1)</f>
        <v>1</v>
      </c>
      <c r="B311" s="113">
        <f>IF(AND('[1]Cockpit Retorno'!$E$67=Sim,Mestre!L311=Mestre!$L$48),0,1)</f>
        <v>0</v>
      </c>
      <c r="C311" s="113">
        <f>IF(AND('[1]Cockpit Retorno'!$E$67=Sim,Mestre!M311=Mestre!$M$97),0,1)</f>
        <v>1</v>
      </c>
      <c r="D311" s="148" t="s">
        <v>7</v>
      </c>
      <c r="E311" s="115"/>
      <c r="F311" s="116" t="s">
        <v>107</v>
      </c>
      <c r="G311" s="149"/>
      <c r="H311" s="150" t="s">
        <v>7</v>
      </c>
      <c r="I311" s="151" t="str">
        <f t="shared" si="65"/>
        <v>Mercadorias</v>
      </c>
      <c r="J311" s="150" t="s">
        <v>15</v>
      </c>
      <c r="K311" s="152" t="s">
        <v>7</v>
      </c>
      <c r="L311" s="153" t="s">
        <v>15</v>
      </c>
      <c r="M311" s="154" t="s">
        <v>465</v>
      </c>
      <c r="N311" s="155" t="s">
        <v>450</v>
      </c>
      <c r="O311" s="155" t="s">
        <v>412</v>
      </c>
      <c r="P311" s="155"/>
      <c r="Q311" s="155"/>
      <c r="R311" s="155"/>
      <c r="S311" s="156"/>
      <c r="T311" s="156"/>
      <c r="U311" s="150"/>
      <c r="V311" s="150"/>
      <c r="W311" s="150"/>
      <c r="X311" s="157" t="s">
        <v>466</v>
      </c>
      <c r="Y311" s="150"/>
      <c r="Z311" s="150"/>
      <c r="AA311" s="158"/>
      <c r="AB311" s="155"/>
      <c r="AC311" s="150"/>
      <c r="AD311" s="155"/>
      <c r="AE311" s="155"/>
      <c r="AF311" s="150"/>
      <c r="AG311" s="159">
        <v>200</v>
      </c>
      <c r="AH311" s="211">
        <v>13.950000000000001</v>
      </c>
      <c r="AI311" s="202">
        <v>0</v>
      </c>
      <c r="AJ311" s="161">
        <v>0.12</v>
      </c>
      <c r="AK311" s="162"/>
      <c r="AL311" s="163"/>
      <c r="AM311" s="164">
        <f>(((IF(L311=$L$101,1,IF(L311=$L$47,1,0))*(AH311*(1-AK311)))*AG311)*(1-AL311))</f>
        <v>2790</v>
      </c>
      <c r="AN311" s="165">
        <f>IF(K311=$K$50,AM311,IF(K311=$K$53,AM311,IF(K311=$K$54,AM311,IF(K311=$K$55,AM311,IF(K311=$K$56,AM311,IF(K311=$K$57,AM311,IF(K311=$K$58,AM311,IF(K311=$K$65,AM311,IF(K311=$K$66,AM311,IF(K311=$K$67,AM311,IF(K311=$K$68,AM311,IF(K311=$K$69,AM311,IF(K311=$K$51,AM311,(AM311*(1+AI311)))))))))))))))</f>
        <v>2790</v>
      </c>
      <c r="AO311" s="166">
        <v>1.4</v>
      </c>
      <c r="AP311" s="160">
        <f t="shared" si="66"/>
        <v>3905.9999999999995</v>
      </c>
      <c r="AQ311" s="167">
        <f t="shared" si="73"/>
        <v>3384.4135216426434</v>
      </c>
      <c r="AR311" s="160">
        <f t="shared" si="67"/>
        <v>3905.9999999999995</v>
      </c>
      <c r="AS311" s="168">
        <f t="shared" si="68"/>
        <v>1.2612750638360886</v>
      </c>
      <c r="AT311" s="169" t="str">
        <f>K311</f>
        <v>MI</v>
      </c>
      <c r="AU311" s="169" t="str">
        <f>I311</f>
        <v>Mercadorias</v>
      </c>
      <c r="AV311" s="170"/>
      <c r="AW311" s="171">
        <f>IF(K311=$K$50,0,IF(K311=$K$53,0,IF(K311=$K$54,0,IF(K311=$K$55,0,IF(K311=$K$56,0,IF(K311=$K$57,0,IF(K311=$K$58,0,IF(K311=$K$65,0,IF(K311=$K$66,0,IF(K311=$K$67,0,IF(K311=$K$68,0,IF(K311=$K$69,0,IF(K311=$K$51,0,1))))))))))))*AM311*AI311)</f>
        <v>0</v>
      </c>
      <c r="AX311" s="172">
        <f>IF(K311=$K$50,0,IF(K311=$K$53,0,IF(K311=$K$54,0,IF(K311=$K$55,0,IF(K311=$K$56,0,IF(K311=$K$57,0,IF(K311=$K$58,0,IF(K311=$K$65,0,IF(K311=$K$66,0,IF(K311=$K$67,0,IF(K311=$K$68,0,IF(K311=$K$69,0,IF(K311=$K$51,0,1))))))))))))*AM311*AJ311*$AX$94)</f>
        <v>0</v>
      </c>
      <c r="AY311" s="172">
        <f>IF(K311=$K$53,0,IF(K311=$K$54,0,IF(K311=$K$55,0,IF(K311=$K$56,0,IF(K311=$K$58,0,IF(K311=$K$50,0,IF(K311=$K$65,0,IF(K311=$K$57,0,IF(K311=$K$51,0,AM311*$AY$102)))))))))</f>
        <v>46.035000000000004</v>
      </c>
      <c r="AZ311" s="172">
        <f>IF(K311=$K$53,0,IF(K311=$K$54,0,IF(K311=$K$55,0,IF(K311=$K$56,0,IF(K311=$K$58,0,IF(K311=$K$50,0,IF(K311=$K$65,0,IF(K311=$K$57,0,IF(K311=$K$51,0,AM311*$AZ$102)))))))))</f>
        <v>212.04</v>
      </c>
      <c r="BA311" s="172">
        <f t="shared" si="69"/>
        <v>258.07499999999999</v>
      </c>
      <c r="BB311" s="173">
        <f>IF($BA$97=1,AQ311*$BB$102,IF(K311=$K$50,0,IF(K311=$K$53,0,IF(K311=$K$54,0,IF(K311=$K$55,0,IF(K311=$K$56,0,IF(K311=$K$57,0,IF(K311=$K$58,0,IF(K311=$K$65,0,IF(K311=$K$66,0,IF(K311=$K$67,0,IF(K311=$K$68,0,IF(K311=$K$69,0,IF(K311=$K$51,0,1)))))))))))*AQ311*$BB$102)))</f>
        <v>0</v>
      </c>
      <c r="BC311" s="172">
        <f t="shared" si="70"/>
        <v>21.998687890677186</v>
      </c>
      <c r="BD311" s="172">
        <f t="shared" si="71"/>
        <v>101.5324056492793</v>
      </c>
      <c r="BE311" s="172">
        <f>IF($BE$95=I311,$BE$97,IF(I311=$BE$96,$BE$97,1))*($BE$102*AQ311)*$AZ$97</f>
        <v>0</v>
      </c>
      <c r="BF311" s="172">
        <f>IF('[1]Cockpit Retorno'!$C$65=Sim,Mestre!BA311,SUM(BB311:BE311)+(IF(K311=$K$56,AQ311*MOE_IRRF_LR,0)))</f>
        <v>123.53109353995649</v>
      </c>
      <c r="BG311" s="174">
        <f>IF(AA311&gt;0,0,IF(Z311=$Z$82,AG311*1,(IF(Z311=$Z$81,AG311*1,0))))</f>
        <v>0</v>
      </c>
      <c r="BH311" s="174">
        <f>IF(AA311&gt;0,0,IF(Z311=$Z$83,AG311*1,IF(Z311=$Z$81,AG311*1,0)))</f>
        <v>0</v>
      </c>
      <c r="BI311" s="174">
        <f>IF(AA311&gt;0,0,IF(Z311=$Z$84,AG311*1,IF(Z311=$Z$93,AG311*2,IF(Z311=$Z$100,AG311,IF(Z311=$Z$81,AG311*2,IF(Z311=$Z$80,AG311*1,IF(Z311=$Z$79,AG311*3,IF(Z311=$Z$78,AG311*2,0))))))))</f>
        <v>0</v>
      </c>
      <c r="BJ311" s="174">
        <f>IF(AA311&gt;0,0,IF(Z311=$Z$85,AG311,IF(Z311=$Z$93,AG311,IF(Z311=$Z$100,AG311,IF(Z311=$Z$81,AG311*1,IF(Z311=$Z$80,AG311*2,IF(Z311=$Z$79,AG311*2,IF(Z311=$Z$78,AG311*2,0))))))))</f>
        <v>0</v>
      </c>
      <c r="BK311" s="174">
        <f>IF(AA311&gt;0,0,IF(Z311=$Z$92,AG311,0))</f>
        <v>0</v>
      </c>
      <c r="BL311" s="174">
        <f>IF(AA311&gt;0,0,IF(Z311=$Z$91,AG311,0))</f>
        <v>0</v>
      </c>
      <c r="BM311" s="174">
        <f>IF(AA311&gt;0,0,IF(Z311=$Z$86,AG311,0))</f>
        <v>0</v>
      </c>
      <c r="BN311" s="174">
        <f>IF(AA311&gt;0,0,IF(Z311=$Z$87,AG311,0))</f>
        <v>0</v>
      </c>
      <c r="BO311" s="174">
        <f>IF(AA311&gt;0,0,IF(Z311=$Z$88,AG311,0))</f>
        <v>0</v>
      </c>
      <c r="BP311" s="174">
        <f>IF(AA311&gt;0,0,IF(Z311=$Z$89,AG311,0))</f>
        <v>0</v>
      </c>
      <c r="BQ311" s="174">
        <f>IF(AA311&gt;0,0,IF(Z311=$Z$90,AG311,0))</f>
        <v>0</v>
      </c>
      <c r="BR311" s="174">
        <f>IF(Z311=$Z$82,AA311*AG311,0)</f>
        <v>0</v>
      </c>
      <c r="BS311" s="174">
        <f>IF(Z311=$Z$83,AA311*AG311,0)</f>
        <v>0</v>
      </c>
      <c r="BT311" s="174">
        <f>IF(AA311&lt;1,0,IF(Z311=$Z$84,AA311*AG311,IF(Z311=$Z$93,"ERRO",IF(Z311=$Z$100,"ERRO",0))))</f>
        <v>0</v>
      </c>
      <c r="BU311" s="174">
        <f>IF(AA311&lt;1,0,IF(Z311=$Z$85,AA311*AG311,IF(Z311=$Z$93,"ERRO",IF(Z311=$Z$100,"ERRO",0))))</f>
        <v>0</v>
      </c>
      <c r="BV311" s="174">
        <f>IF(Z311=$Z$92,AA311*AG311,0)</f>
        <v>0</v>
      </c>
      <c r="BW311" s="174">
        <f>IF(Z311=$Z$91,AA311*AG311,0)</f>
        <v>0</v>
      </c>
      <c r="BX311" s="174">
        <f>IF(Z311=$Z$86,AA311*AG311,0)</f>
        <v>0</v>
      </c>
      <c r="BY311" s="174">
        <f>IF(Z311=$Z$87,AA311*AG311,0)</f>
        <v>0</v>
      </c>
      <c r="BZ311" s="174">
        <f>IF(Z311=$Z$88,AA311*AG311,0)</f>
        <v>0</v>
      </c>
      <c r="CA311" s="174">
        <f>IF(Z311=$Z$89,AA311*AG311,0)</f>
        <v>0</v>
      </c>
      <c r="CB311" s="174">
        <f>IF(Z311=$Z$90,AA311*AG311,0)</f>
        <v>0</v>
      </c>
      <c r="CC311" s="175">
        <f>IFERROR(IF(L311=$L$49,AG311*AH311*(1+AI311)*(1-AK311)*(1-AL311),0),0)</f>
        <v>0</v>
      </c>
      <c r="CD311" s="203">
        <f>IF(I311=$CD$97,1,IF(I311=$CD$100,2,IF(K311=$K$66,1,IF(K311=$K$69,1,3))))</f>
        <v>1</v>
      </c>
      <c r="CE311" s="203">
        <f t="shared" si="14"/>
        <v>1.07</v>
      </c>
      <c r="CF311" s="204">
        <f t="shared" si="54"/>
        <v>1.2353999999999998</v>
      </c>
      <c r="CG311" s="203">
        <f t="shared" si="15"/>
        <v>1.42</v>
      </c>
      <c r="CH311" s="204">
        <f t="shared" si="55"/>
        <v>1.5478000000000001</v>
      </c>
      <c r="CI311" s="203">
        <f t="shared" si="16"/>
        <v>1.7</v>
      </c>
      <c r="CJ311" s="205">
        <f t="shared" si="56"/>
        <v>1.0486</v>
      </c>
      <c r="CK311" s="205">
        <f t="shared" si="57"/>
        <v>1.148922</v>
      </c>
      <c r="CL311" s="205">
        <f t="shared" si="58"/>
        <v>1.3915999999999999</v>
      </c>
      <c r="CM311" s="205">
        <f t="shared" si="59"/>
        <v>1.501366</v>
      </c>
      <c r="CN311" s="206">
        <f t="shared" si="60"/>
        <v>1.6319999999999999</v>
      </c>
      <c r="CO311" s="204">
        <f t="shared" si="61"/>
        <v>1.006656</v>
      </c>
      <c r="CP311" s="207">
        <f t="shared" si="62"/>
        <v>-134.5439064600435</v>
      </c>
      <c r="CQ311" s="208">
        <f t="shared" si="63"/>
        <v>3518.9574281026871</v>
      </c>
      <c r="CR311" s="209">
        <f t="shared" si="72"/>
        <v>123.53109353995649</v>
      </c>
      <c r="CS311" s="49"/>
      <c r="CT311" s="49"/>
      <c r="CU311" s="49"/>
      <c r="CV311" s="49"/>
      <c r="CW311" s="49"/>
      <c r="CX311" s="49"/>
      <c r="CY311" s="49"/>
      <c r="CZ311" s="49"/>
      <c r="DA311" s="49"/>
      <c r="DB311" s="49"/>
      <c r="DC311" s="49"/>
      <c r="DD311" s="49"/>
      <c r="DE311" s="49"/>
      <c r="DF311" s="49"/>
      <c r="DG311" s="49"/>
      <c r="DH311" s="49"/>
      <c r="DI311" s="49"/>
      <c r="DJ311" s="49"/>
      <c r="DK311" s="49"/>
      <c r="DL311" s="49"/>
      <c r="DM311" s="49"/>
      <c r="DN311" s="49"/>
      <c r="DO311" s="49"/>
      <c r="DP311" s="49"/>
      <c r="DQ311" s="49"/>
      <c r="DR311" s="49"/>
      <c r="DS311" s="49"/>
      <c r="DT311" s="49"/>
      <c r="DU311" s="49"/>
      <c r="DV311" s="49"/>
      <c r="DW311" s="49"/>
      <c r="DX311" s="49"/>
      <c r="DY311" s="49"/>
      <c r="DZ311" s="49"/>
      <c r="EA311" s="49"/>
      <c r="EB311" s="49"/>
      <c r="EC311" s="49"/>
      <c r="ED311" s="49"/>
      <c r="EE311" s="49"/>
      <c r="EF311" s="49"/>
      <c r="EG311" s="49"/>
      <c r="EH311" s="49"/>
      <c r="EI311" s="49"/>
      <c r="EJ311" s="49"/>
      <c r="EK311" s="49"/>
      <c r="EL311" s="49"/>
      <c r="EM311" s="49"/>
      <c r="EN311" s="49"/>
      <c r="EO311" s="49"/>
      <c r="EP311" s="49"/>
      <c r="EQ311" s="49"/>
      <c r="ER311" s="49"/>
      <c r="ES311" s="49"/>
      <c r="ET311" s="49"/>
      <c r="EU311" s="49"/>
      <c r="EV311" s="49"/>
      <c r="EW311" s="49"/>
      <c r="EX311" s="49"/>
      <c r="EY311" s="49"/>
      <c r="EZ311" s="49"/>
      <c r="FA311" s="49"/>
    </row>
    <row r="312" spans="1:157" s="210" customFormat="1" ht="25.5" x14ac:dyDescent="0.25">
      <c r="A312" s="113">
        <f>IF(AND('[1]Cockpit Retorno'!$E$67=Sim,Mestre!M312=Mestre!$M$98),0,1)</f>
        <v>1</v>
      </c>
      <c r="B312" s="113">
        <f>IF(AND('[1]Cockpit Retorno'!$E$67=Sim,Mestre!L312=Mestre!$L$48),0,1)</f>
        <v>0</v>
      </c>
      <c r="C312" s="113">
        <f>IF(AND('[1]Cockpit Retorno'!$E$67=Sim,Mestre!M312=Mestre!$M$97),0,1)</f>
        <v>1</v>
      </c>
      <c r="D312" s="148" t="s">
        <v>7</v>
      </c>
      <c r="E312" s="115"/>
      <c r="F312" s="116" t="s">
        <v>107</v>
      </c>
      <c r="G312" s="149"/>
      <c r="H312" s="150" t="s">
        <v>7</v>
      </c>
      <c r="I312" s="151" t="str">
        <f t="shared" si="65"/>
        <v>Mercadorias</v>
      </c>
      <c r="J312" s="150" t="s">
        <v>15</v>
      </c>
      <c r="K312" s="152" t="s">
        <v>7</v>
      </c>
      <c r="L312" s="153" t="s">
        <v>15</v>
      </c>
      <c r="M312" s="154" t="s">
        <v>465</v>
      </c>
      <c r="N312" s="155" t="s">
        <v>450</v>
      </c>
      <c r="O312" s="155" t="s">
        <v>412</v>
      </c>
      <c r="P312" s="155"/>
      <c r="Q312" s="155"/>
      <c r="R312" s="155"/>
      <c r="S312" s="156"/>
      <c r="T312" s="156"/>
      <c r="U312" s="150"/>
      <c r="V312" s="150"/>
      <c r="W312" s="150"/>
      <c r="X312" s="157" t="s">
        <v>467</v>
      </c>
      <c r="Y312" s="150"/>
      <c r="Z312" s="150"/>
      <c r="AA312" s="158"/>
      <c r="AB312" s="155"/>
      <c r="AC312" s="150"/>
      <c r="AD312" s="155"/>
      <c r="AE312" s="155"/>
      <c r="AF312" s="150"/>
      <c r="AG312" s="159">
        <v>400</v>
      </c>
      <c r="AH312" s="211">
        <v>3.7014</v>
      </c>
      <c r="AI312" s="202">
        <v>0</v>
      </c>
      <c r="AJ312" s="161">
        <v>7.0000000000000007E-2</v>
      </c>
      <c r="AK312" s="162"/>
      <c r="AL312" s="163"/>
      <c r="AM312" s="164">
        <f>(((IF(L312=$L$101,1,IF(L312=$L$47,1,0))*(AH312*(1-AK312)))*AG312)*(1-AL312))</f>
        <v>1480.56</v>
      </c>
      <c r="AN312" s="165">
        <f>IF(K312=$K$50,AM312,IF(K312=$K$53,AM312,IF(K312=$K$54,AM312,IF(K312=$K$55,AM312,IF(K312=$K$56,AM312,IF(K312=$K$57,AM312,IF(K312=$K$58,AM312,IF(K312=$K$65,AM312,IF(K312=$K$66,AM312,IF(K312=$K$67,AM312,IF(K312=$K$68,AM312,IF(K312=$K$69,AM312,IF(K312=$K$51,AM312,(AM312*(1+AI312)))))))))))))))</f>
        <v>1480.56</v>
      </c>
      <c r="AO312" s="166">
        <v>1.4</v>
      </c>
      <c r="AP312" s="160">
        <f t="shared" si="66"/>
        <v>2072.7839999999997</v>
      </c>
      <c r="AQ312" s="167">
        <f t="shared" si="73"/>
        <v>1795.9954421516961</v>
      </c>
      <c r="AR312" s="160">
        <f t="shared" si="67"/>
        <v>2072.7839999999997</v>
      </c>
      <c r="AS312" s="168">
        <f t="shared" si="68"/>
        <v>1.2612750638360886</v>
      </c>
      <c r="AT312" s="169" t="str">
        <f>K312</f>
        <v>MI</v>
      </c>
      <c r="AU312" s="169" t="str">
        <f>I312</f>
        <v>Mercadorias</v>
      </c>
      <c r="AV312" s="170"/>
      <c r="AW312" s="171">
        <f>IF(K312=$K$50,0,IF(K312=$K$53,0,IF(K312=$K$54,0,IF(K312=$K$55,0,IF(K312=$K$56,0,IF(K312=$K$57,0,IF(K312=$K$58,0,IF(K312=$K$65,0,IF(K312=$K$66,0,IF(K312=$K$67,0,IF(K312=$K$68,0,IF(K312=$K$69,0,IF(K312=$K$51,0,1))))))))))))*AM312*AI312)</f>
        <v>0</v>
      </c>
      <c r="AX312" s="172">
        <f>IF(K312=$K$50,0,IF(K312=$K$53,0,IF(K312=$K$54,0,IF(K312=$K$55,0,IF(K312=$K$56,0,IF(K312=$K$57,0,IF(K312=$K$58,0,IF(K312=$K$65,0,IF(K312=$K$66,0,IF(K312=$K$67,0,IF(K312=$K$68,0,IF(K312=$K$69,0,IF(K312=$K$51,0,1))))))))))))*AM312*AJ312*$AX$94)</f>
        <v>0</v>
      </c>
      <c r="AY312" s="172">
        <f>IF(K312=$K$53,0,IF(K312=$K$54,0,IF(K312=$K$55,0,IF(K312=$K$56,0,IF(K312=$K$58,0,IF(K312=$K$50,0,IF(K312=$K$65,0,IF(K312=$K$57,0,IF(K312=$K$51,0,AM312*$AY$102)))))))))</f>
        <v>24.42924</v>
      </c>
      <c r="AZ312" s="172">
        <f>IF(K312=$K$53,0,IF(K312=$K$54,0,IF(K312=$K$55,0,IF(K312=$K$56,0,IF(K312=$K$58,0,IF(K312=$K$50,0,IF(K312=$K$65,0,IF(K312=$K$57,0,IF(K312=$K$51,0,AM312*$AZ$102)))))))))</f>
        <v>112.52256</v>
      </c>
      <c r="BA312" s="172">
        <f t="shared" si="69"/>
        <v>136.95179999999999</v>
      </c>
      <c r="BB312" s="173">
        <f>IF($BA$97=1,AQ312*$BB$102,IF(K312=$K$50,0,IF(K312=$K$53,0,IF(K312=$K$54,0,IF(K312=$K$55,0,IF(K312=$K$56,0,IF(K312=$K$57,0,IF(K312=$K$58,0,IF(K312=$K$65,0,IF(K312=$K$66,0,IF(K312=$K$67,0,IF(K312=$K$68,0,IF(K312=$K$69,0,IF(K312=$K$51,0,1)))))))))))*AQ312*$BB$102)))</f>
        <v>0</v>
      </c>
      <c r="BC312" s="172">
        <f t="shared" si="70"/>
        <v>11.673970373986025</v>
      </c>
      <c r="BD312" s="172">
        <f t="shared" si="71"/>
        <v>53.879863264550885</v>
      </c>
      <c r="BE312" s="172">
        <f>IF($BE$95=I312,$BE$97,IF(I312=$BE$96,$BE$97,1))*($BE$102*AQ312)*$AZ$97</f>
        <v>0</v>
      </c>
      <c r="BF312" s="172">
        <f>IF('[1]Cockpit Retorno'!$C$65=Sim,Mestre!BA312,SUM(BB312:BE312)+(IF(K312=$K$56,AQ312*MOE_IRRF_LR,0)))</f>
        <v>65.553833638536915</v>
      </c>
      <c r="BG312" s="174">
        <f>IF(AA312&gt;0,0,IF(Z312=$Z$82,AG312*1,(IF(Z312=$Z$81,AG312*1,0))))</f>
        <v>0</v>
      </c>
      <c r="BH312" s="174">
        <f>IF(AA312&gt;0,0,IF(Z312=$Z$83,AG312*1,IF(Z312=$Z$81,AG312*1,0)))</f>
        <v>0</v>
      </c>
      <c r="BI312" s="174">
        <f>IF(AA312&gt;0,0,IF(Z312=$Z$84,AG312*1,IF(Z312=$Z$93,AG312*2,IF(Z312=$Z$100,AG312,IF(Z312=$Z$81,AG312*2,IF(Z312=$Z$80,AG312*1,IF(Z312=$Z$79,AG312*3,IF(Z312=$Z$78,AG312*2,0))))))))</f>
        <v>0</v>
      </c>
      <c r="BJ312" s="174">
        <f>IF(AA312&gt;0,0,IF(Z312=$Z$85,AG312,IF(Z312=$Z$93,AG312,IF(Z312=$Z$100,AG312,IF(Z312=$Z$81,AG312*1,IF(Z312=$Z$80,AG312*2,IF(Z312=$Z$79,AG312*2,IF(Z312=$Z$78,AG312*2,0))))))))</f>
        <v>0</v>
      </c>
      <c r="BK312" s="174">
        <f>IF(AA312&gt;0,0,IF(Z312=$Z$92,AG312,0))</f>
        <v>0</v>
      </c>
      <c r="BL312" s="174">
        <f>IF(AA312&gt;0,0,IF(Z312=$Z$91,AG312,0))</f>
        <v>0</v>
      </c>
      <c r="BM312" s="174">
        <f>IF(AA312&gt;0,0,IF(Z312=$Z$86,AG312,0))</f>
        <v>0</v>
      </c>
      <c r="BN312" s="174">
        <f>IF(AA312&gt;0,0,IF(Z312=$Z$87,AG312,0))</f>
        <v>0</v>
      </c>
      <c r="BO312" s="174">
        <f>IF(AA312&gt;0,0,IF(Z312=$Z$88,AG312,0))</f>
        <v>0</v>
      </c>
      <c r="BP312" s="174">
        <f>IF(AA312&gt;0,0,IF(Z312=$Z$89,AG312,0))</f>
        <v>0</v>
      </c>
      <c r="BQ312" s="174">
        <f>IF(AA312&gt;0,0,IF(Z312=$Z$90,AG312,0))</f>
        <v>0</v>
      </c>
      <c r="BR312" s="174">
        <f>IF(Z312=$Z$82,AA312*AG312,0)</f>
        <v>0</v>
      </c>
      <c r="BS312" s="174">
        <f>IF(Z312=$Z$83,AA312*AG312,0)</f>
        <v>0</v>
      </c>
      <c r="BT312" s="174">
        <f>IF(AA312&lt;1,0,IF(Z312=$Z$84,AA312*AG312,IF(Z312=$Z$93,"ERRO",IF(Z312=$Z$100,"ERRO",0))))</f>
        <v>0</v>
      </c>
      <c r="BU312" s="174">
        <f>IF(AA312&lt;1,0,IF(Z312=$Z$85,AA312*AG312,IF(Z312=$Z$93,"ERRO",IF(Z312=$Z$100,"ERRO",0))))</f>
        <v>0</v>
      </c>
      <c r="BV312" s="174">
        <f>IF(Z312=$Z$92,AA312*AG312,0)</f>
        <v>0</v>
      </c>
      <c r="BW312" s="174">
        <f>IF(Z312=$Z$91,AA312*AG312,0)</f>
        <v>0</v>
      </c>
      <c r="BX312" s="174">
        <f>IF(Z312=$Z$86,AA312*AG312,0)</f>
        <v>0</v>
      </c>
      <c r="BY312" s="174">
        <f>IF(Z312=$Z$87,AA312*AG312,0)</f>
        <v>0</v>
      </c>
      <c r="BZ312" s="174">
        <f>IF(Z312=$Z$88,AA312*AG312,0)</f>
        <v>0</v>
      </c>
      <c r="CA312" s="174">
        <f>IF(Z312=$Z$89,AA312*AG312,0)</f>
        <v>0</v>
      </c>
      <c r="CB312" s="174">
        <f>IF(Z312=$Z$90,AA312*AG312,0)</f>
        <v>0</v>
      </c>
      <c r="CC312" s="175">
        <f>IFERROR(IF(L312=$L$49,AG312*AH312*(1+AI312)*(1-AK312)*(1-AL312),0),0)</f>
        <v>0</v>
      </c>
      <c r="CD312" s="203">
        <f>IF(I312=$CD$97,1,IF(I312=$CD$100,2,IF(K312=$K$66,1,IF(K312=$K$69,1,3))))</f>
        <v>1</v>
      </c>
      <c r="CE312" s="203">
        <f>IF($CD312=1,1.07,IF($CD312=2,1.07,1.3))</f>
        <v>1.07</v>
      </c>
      <c r="CF312" s="204">
        <f t="shared" si="54"/>
        <v>1.2353999999999998</v>
      </c>
      <c r="CG312" s="203">
        <f>IF($CD312=1,1.42,IF($CD312=2,1.47,2))</f>
        <v>1.42</v>
      </c>
      <c r="CH312" s="204">
        <f t="shared" si="55"/>
        <v>1.5478000000000001</v>
      </c>
      <c r="CI312" s="203">
        <f>IF($CD312=1,1.7,IF($CD312=2,1.7,2.4))</f>
        <v>1.7</v>
      </c>
      <c r="CJ312" s="205">
        <f t="shared" si="56"/>
        <v>1.0486</v>
      </c>
      <c r="CK312" s="205">
        <f t="shared" si="57"/>
        <v>1.148922</v>
      </c>
      <c r="CL312" s="205">
        <f t="shared" si="58"/>
        <v>1.3915999999999999</v>
      </c>
      <c r="CM312" s="205">
        <f t="shared" si="59"/>
        <v>1.501366</v>
      </c>
      <c r="CN312" s="206">
        <f t="shared" si="60"/>
        <v>1.6319999999999999</v>
      </c>
      <c r="CO312" s="204">
        <f t="shared" si="61"/>
        <v>1.006656</v>
      </c>
      <c r="CP312" s="207">
        <f t="shared" si="62"/>
        <v>-71.397966361463077</v>
      </c>
      <c r="CQ312" s="208">
        <f t="shared" si="63"/>
        <v>1867.3934085131591</v>
      </c>
      <c r="CR312" s="209">
        <f t="shared" si="72"/>
        <v>65.553833638536915</v>
      </c>
      <c r="CS312" s="49"/>
      <c r="CT312" s="49"/>
      <c r="CU312" s="49"/>
      <c r="CV312" s="49"/>
      <c r="CW312" s="49"/>
      <c r="CX312" s="49"/>
      <c r="CY312" s="49"/>
      <c r="CZ312" s="49"/>
      <c r="DA312" s="49"/>
      <c r="DB312" s="49"/>
      <c r="DC312" s="49"/>
      <c r="DD312" s="49"/>
      <c r="DE312" s="49"/>
      <c r="DF312" s="49"/>
      <c r="DG312" s="49"/>
      <c r="DH312" s="49"/>
      <c r="DI312" s="49"/>
      <c r="DJ312" s="49"/>
      <c r="DK312" s="49"/>
      <c r="DL312" s="49"/>
      <c r="DM312" s="49"/>
      <c r="DN312" s="49"/>
      <c r="DO312" s="49"/>
      <c r="DP312" s="49"/>
      <c r="DQ312" s="49"/>
      <c r="DR312" s="49"/>
      <c r="DS312" s="49"/>
      <c r="DT312" s="49"/>
      <c r="DU312" s="49"/>
      <c r="DV312" s="49"/>
      <c r="DW312" s="49"/>
      <c r="DX312" s="49"/>
      <c r="DY312" s="49"/>
      <c r="DZ312" s="49"/>
      <c r="EA312" s="49"/>
      <c r="EB312" s="49"/>
      <c r="EC312" s="49"/>
      <c r="ED312" s="49"/>
      <c r="EE312" s="49"/>
      <c r="EF312" s="49"/>
      <c r="EG312" s="49"/>
      <c r="EH312" s="49"/>
      <c r="EI312" s="49"/>
      <c r="EJ312" s="49"/>
      <c r="EK312" s="49"/>
      <c r="EL312" s="49"/>
      <c r="EM312" s="49"/>
      <c r="EN312" s="49"/>
      <c r="EO312" s="49"/>
      <c r="EP312" s="49"/>
      <c r="EQ312" s="49"/>
      <c r="ER312" s="49"/>
      <c r="ES312" s="49"/>
      <c r="ET312" s="49"/>
      <c r="EU312" s="49"/>
      <c r="EV312" s="49"/>
      <c r="EW312" s="49"/>
      <c r="EX312" s="49"/>
      <c r="EY312" s="49"/>
      <c r="EZ312" s="49"/>
      <c r="FA312" s="49"/>
    </row>
    <row r="313" spans="1:157" s="210" customFormat="1" ht="25.5" x14ac:dyDescent="0.25">
      <c r="A313" s="113">
        <f>IF(AND('[1]Cockpit Retorno'!$E$67=Sim,Mestre!M313=Mestre!$M$98),0,1)</f>
        <v>1</v>
      </c>
      <c r="B313" s="113">
        <f>IF(AND('[1]Cockpit Retorno'!$E$67=Sim,Mestre!L313=Mestre!$L$48),0,1)</f>
        <v>1</v>
      </c>
      <c r="C313" s="113">
        <f>IF(AND('[1]Cockpit Retorno'!$E$67=Sim,Mestre!M313=Mestre!$M$97),0,1)</f>
        <v>1</v>
      </c>
      <c r="D313" s="148" t="s">
        <v>7</v>
      </c>
      <c r="E313" s="115"/>
      <c r="F313" s="116" t="s">
        <v>107</v>
      </c>
      <c r="G313" s="149">
        <v>22</v>
      </c>
      <c r="H313" s="150" t="s">
        <v>7</v>
      </c>
      <c r="I313" s="151" t="str">
        <f t="shared" si="65"/>
        <v>Mercadorias</v>
      </c>
      <c r="J313" s="150" t="s">
        <v>15</v>
      </c>
      <c r="K313" s="152" t="s">
        <v>7</v>
      </c>
      <c r="L313" s="153" t="s">
        <v>21</v>
      </c>
      <c r="M313" s="154" t="s">
        <v>468</v>
      </c>
      <c r="N313" s="155" t="s">
        <v>450</v>
      </c>
      <c r="O313" s="155" t="s">
        <v>469</v>
      </c>
      <c r="P313" s="155"/>
      <c r="Q313" s="155"/>
      <c r="R313" s="155"/>
      <c r="S313" s="156"/>
      <c r="T313" s="156"/>
      <c r="U313" s="150"/>
      <c r="V313" s="150"/>
      <c r="W313" s="150"/>
      <c r="X313" s="157" t="s">
        <v>470</v>
      </c>
      <c r="Y313" s="150"/>
      <c r="Z313" s="150"/>
      <c r="AA313" s="158"/>
      <c r="AB313" s="155"/>
      <c r="AC313" s="150"/>
      <c r="AD313" s="155"/>
      <c r="AE313" s="155"/>
      <c r="AF313" s="150"/>
      <c r="AG313" s="159">
        <v>2500</v>
      </c>
      <c r="AH313" s="159">
        <v>19.148700000000002</v>
      </c>
      <c r="AI313" s="202">
        <v>0</v>
      </c>
      <c r="AJ313" s="161">
        <v>0.12</v>
      </c>
      <c r="AK313" s="162"/>
      <c r="AL313" s="163"/>
      <c r="AM313" s="164">
        <f>(((IF(L313=$L$101,1,IF(L313=$L$47,1,0))*(AH313*(1-AK313)))*AG313)*(1-AL313))</f>
        <v>0</v>
      </c>
      <c r="AN313" s="165">
        <f>IF(K313=$K$50,AM313,IF(K313=$K$53,AM313,IF(K313=$K$54,AM313,IF(K313=$K$55,AM313,IF(K313=$K$56,AM313,IF(K313=$K$57,AM313,IF(K313=$K$58,AM313,IF(K313=$K$65,AM313,IF(K313=$K$66,AM313,IF(K313=$K$67,AM313,IF(K313=$K$68,AM313,IF(K313=$K$69,AM313,IF(K313=$K$51,AM313,(AM313*(1+AI313)))))))))))))))</f>
        <v>0</v>
      </c>
      <c r="AO313" s="166">
        <v>1.4</v>
      </c>
      <c r="AP313" s="160">
        <f t="shared" si="66"/>
        <v>0</v>
      </c>
      <c r="AQ313" s="167">
        <f t="shared" si="73"/>
        <v>0</v>
      </c>
      <c r="AR313" s="160">
        <f t="shared" si="67"/>
        <v>0</v>
      </c>
      <c r="AS313" s="168">
        <f t="shared" si="68"/>
        <v>0</v>
      </c>
      <c r="AT313" s="169" t="str">
        <f>K313</f>
        <v>MI</v>
      </c>
      <c r="AU313" s="169" t="str">
        <f>I313</f>
        <v>Mercadorias</v>
      </c>
      <c r="AV313" s="170"/>
      <c r="AW313" s="171">
        <f>IF(K313=$K$50,0,IF(K313=$K$53,0,IF(K313=$K$54,0,IF(K313=$K$55,0,IF(K313=$K$56,0,IF(K313=$K$57,0,IF(K313=$K$58,0,IF(K313=$K$65,0,IF(K313=$K$66,0,IF(K313=$K$67,0,IF(K313=$K$68,0,IF(K313=$K$69,0,IF(K313=$K$51,0,1))))))))))))*AM313*AI313)</f>
        <v>0</v>
      </c>
      <c r="AX313" s="172">
        <f>IF(K313=$K$50,0,IF(K313=$K$53,0,IF(K313=$K$54,0,IF(K313=$K$55,0,IF(K313=$K$56,0,IF(K313=$K$57,0,IF(K313=$K$58,0,IF(K313=$K$65,0,IF(K313=$K$66,0,IF(K313=$K$67,0,IF(K313=$K$68,0,IF(K313=$K$69,0,IF(K313=$K$51,0,1))))))))))))*AM313*AJ313*$AX$94)</f>
        <v>0</v>
      </c>
      <c r="AY313" s="172">
        <f>IF(K313=$K$53,0,IF(K313=$K$54,0,IF(K313=$K$55,0,IF(K313=$K$56,0,IF(K313=$K$58,0,IF(K313=$K$50,0,IF(K313=$K$65,0,IF(K313=$K$57,0,IF(K313=$K$51,0,AM313*$AY$102)))))))))</f>
        <v>0</v>
      </c>
      <c r="AZ313" s="172">
        <f>IF(K313=$K$53,0,IF(K313=$K$54,0,IF(K313=$K$55,0,IF(K313=$K$56,0,IF(K313=$K$58,0,IF(K313=$K$50,0,IF(K313=$K$65,0,IF(K313=$K$57,0,IF(K313=$K$51,0,AM313*$AZ$102)))))))))</f>
        <v>0</v>
      </c>
      <c r="BA313" s="172">
        <f t="shared" si="69"/>
        <v>0</v>
      </c>
      <c r="BB313" s="173">
        <f>IF($BA$97=1,AQ313*$BB$102,IF(K313=$K$50,0,IF(K313=$K$53,0,IF(K313=$K$54,0,IF(K313=$K$55,0,IF(K313=$K$56,0,IF(K313=$K$57,0,IF(K313=$K$58,0,IF(K313=$K$65,0,IF(K313=$K$66,0,IF(K313=$K$67,0,IF(K313=$K$68,0,IF(K313=$K$69,0,IF(K313=$K$51,0,1)))))))))))*AQ313*$BB$102)))</f>
        <v>0</v>
      </c>
      <c r="BC313" s="172">
        <f t="shared" si="70"/>
        <v>0</v>
      </c>
      <c r="BD313" s="172">
        <f t="shared" si="71"/>
        <v>0</v>
      </c>
      <c r="BE313" s="172">
        <f>IF($BE$95=I313,$BE$97,IF(I313=$BE$96,$BE$97,1))*($BE$102*AQ313)*$AZ$97</f>
        <v>0</v>
      </c>
      <c r="BF313" s="172">
        <f>IF('[1]Cockpit Retorno'!$C$65=Sim,Mestre!BA313,SUM(BB313:BE313)+(IF(K313=$K$56,AQ313*MOE_IRRF_LR,0)))</f>
        <v>0</v>
      </c>
      <c r="BG313" s="174">
        <f>IF(AA313&gt;0,0,IF(Z313=$Z$82,AG313*1,(IF(Z313=$Z$81,AG313*1,0))))</f>
        <v>0</v>
      </c>
      <c r="BH313" s="174">
        <f>IF(AA313&gt;0,0,IF(Z313=$Z$83,AG313*1,IF(Z313=$Z$81,AG313*1,0)))</f>
        <v>0</v>
      </c>
      <c r="BI313" s="174">
        <f>IF(AA313&gt;0,0,IF(Z313=$Z$84,AG313*1,IF(Z313=$Z$93,AG313*2,IF(Z313=$Z$100,AG313,IF(Z313=$Z$81,AG313*2,IF(Z313=$Z$80,AG313*1,IF(Z313=$Z$79,AG313*3,IF(Z313=$Z$78,AG313*2,0))))))))</f>
        <v>0</v>
      </c>
      <c r="BJ313" s="174">
        <f>IF(AA313&gt;0,0,IF(Z313=$Z$85,AG313,IF(Z313=$Z$93,AG313,IF(Z313=$Z$100,AG313,IF(Z313=$Z$81,AG313*1,IF(Z313=$Z$80,AG313*2,IF(Z313=$Z$79,AG313*2,IF(Z313=$Z$78,AG313*2,0))))))))</f>
        <v>0</v>
      </c>
      <c r="BK313" s="174">
        <f>IF(AA313&gt;0,0,IF(Z313=$Z$92,AG313,0))</f>
        <v>0</v>
      </c>
      <c r="BL313" s="174">
        <f>IF(AA313&gt;0,0,IF(Z313=$Z$91,AG313,0))</f>
        <v>0</v>
      </c>
      <c r="BM313" s="174">
        <f>IF(AA313&gt;0,0,IF(Z313=$Z$86,AG313,0))</f>
        <v>0</v>
      </c>
      <c r="BN313" s="174">
        <f>IF(AA313&gt;0,0,IF(Z313=$Z$87,AG313,0))</f>
        <v>0</v>
      </c>
      <c r="BO313" s="174">
        <f>IF(AA313&gt;0,0,IF(Z313=$Z$88,AG313,0))</f>
        <v>0</v>
      </c>
      <c r="BP313" s="174">
        <f>IF(AA313&gt;0,0,IF(Z313=$Z$89,AG313,0))</f>
        <v>0</v>
      </c>
      <c r="BQ313" s="174">
        <f>IF(AA313&gt;0,0,IF(Z313=$Z$90,AG313,0))</f>
        <v>0</v>
      </c>
      <c r="BR313" s="174">
        <f>IF(Z313=$Z$82,AA313*AG313,0)</f>
        <v>0</v>
      </c>
      <c r="BS313" s="174">
        <f>IF(Z313=$Z$83,AA313*AG313,0)</f>
        <v>0</v>
      </c>
      <c r="BT313" s="174">
        <f>IF(AA313&lt;1,0,IF(Z313=$Z$84,AA313*AG313,IF(Z313=$Z$93,"ERRO",IF(Z313=$Z$100,"ERRO",0))))</f>
        <v>0</v>
      </c>
      <c r="BU313" s="174">
        <f>IF(AA313&lt;1,0,IF(Z313=$Z$85,AA313*AG313,IF(Z313=$Z$93,"ERRO",IF(Z313=$Z$100,"ERRO",0))))</f>
        <v>0</v>
      </c>
      <c r="BV313" s="174">
        <f>IF(Z313=$Z$92,AA313*AG313,0)</f>
        <v>0</v>
      </c>
      <c r="BW313" s="174">
        <f>IF(Z313=$Z$91,AA313*AG313,0)</f>
        <v>0</v>
      </c>
      <c r="BX313" s="174">
        <f>IF(Z313=$Z$86,AA313*AG313,0)</f>
        <v>0</v>
      </c>
      <c r="BY313" s="174">
        <f>IF(Z313=$Z$87,AA313*AG313,0)</f>
        <v>0</v>
      </c>
      <c r="BZ313" s="174">
        <f>IF(Z313=$Z$88,AA313*AG313,0)</f>
        <v>0</v>
      </c>
      <c r="CA313" s="174">
        <f>IF(Z313=$Z$89,AA313*AG313,0)</f>
        <v>0</v>
      </c>
      <c r="CB313" s="174">
        <f>IF(Z313=$Z$90,AA313*AG313,0)</f>
        <v>0</v>
      </c>
      <c r="CC313" s="175">
        <f>IFERROR(IF(L313=$L$49,AG313*AH313*(1+AI313)*(1-AK313)*(1-AL313),0),0)</f>
        <v>47871.750000000007</v>
      </c>
      <c r="CD313" s="203">
        <f>IF(I313=$CD$97,1,IF(I313=$CD$100,2,IF(K313=$K$66,1,IF(K313=$K$69,1,3))))</f>
        <v>1</v>
      </c>
      <c r="CE313" s="203">
        <f t="shared" si="14"/>
        <v>1.07</v>
      </c>
      <c r="CF313" s="204">
        <f t="shared" si="54"/>
        <v>1.2353999999999998</v>
      </c>
      <c r="CG313" s="203">
        <f t="shared" si="15"/>
        <v>1.42</v>
      </c>
      <c r="CH313" s="204">
        <f t="shared" si="55"/>
        <v>1.5478000000000001</v>
      </c>
      <c r="CI313" s="203">
        <f t="shared" si="16"/>
        <v>1.7</v>
      </c>
      <c r="CJ313" s="205">
        <f t="shared" si="56"/>
        <v>1.0486</v>
      </c>
      <c r="CK313" s="205">
        <f t="shared" si="57"/>
        <v>1.148922</v>
      </c>
      <c r="CL313" s="205">
        <f t="shared" si="58"/>
        <v>1.3915999999999999</v>
      </c>
      <c r="CM313" s="205">
        <f t="shared" si="59"/>
        <v>1.501366</v>
      </c>
      <c r="CN313" s="206">
        <f t="shared" si="60"/>
        <v>1.6319999999999999</v>
      </c>
      <c r="CO313" s="204">
        <f t="shared" si="61"/>
        <v>1.006656</v>
      </c>
      <c r="CP313" s="207">
        <f t="shared" si="62"/>
        <v>0</v>
      </c>
      <c r="CQ313" s="208">
        <f t="shared" si="63"/>
        <v>0</v>
      </c>
      <c r="CR313" s="209">
        <f t="shared" si="72"/>
        <v>0</v>
      </c>
      <c r="CS313" s="49"/>
      <c r="CT313" s="49"/>
      <c r="CU313" s="49"/>
      <c r="CV313" s="49"/>
      <c r="CW313" s="49"/>
      <c r="CX313" s="49"/>
      <c r="CY313" s="49"/>
      <c r="CZ313" s="49"/>
      <c r="DA313" s="49"/>
      <c r="DB313" s="49"/>
      <c r="DC313" s="49"/>
      <c r="DD313" s="49"/>
      <c r="DE313" s="49"/>
      <c r="DF313" s="49"/>
      <c r="DG313" s="49"/>
      <c r="DH313" s="49"/>
      <c r="DI313" s="49"/>
      <c r="DJ313" s="49"/>
      <c r="DK313" s="49"/>
      <c r="DL313" s="49"/>
      <c r="DM313" s="49"/>
      <c r="DN313" s="49"/>
      <c r="DO313" s="49"/>
      <c r="DP313" s="49"/>
      <c r="DQ313" s="49"/>
      <c r="DR313" s="49"/>
      <c r="DS313" s="49"/>
      <c r="DT313" s="49"/>
      <c r="DU313" s="49"/>
      <c r="DV313" s="49"/>
      <c r="DW313" s="49"/>
      <c r="DX313" s="49"/>
      <c r="DY313" s="49"/>
      <c r="DZ313" s="49"/>
      <c r="EA313" s="49"/>
      <c r="EB313" s="49"/>
      <c r="EC313" s="49"/>
      <c r="ED313" s="49"/>
      <c r="EE313" s="49"/>
      <c r="EF313" s="49"/>
      <c r="EG313" s="49"/>
      <c r="EH313" s="49"/>
      <c r="EI313" s="49"/>
      <c r="EJ313" s="49"/>
      <c r="EK313" s="49"/>
      <c r="EL313" s="49"/>
      <c r="EM313" s="49"/>
      <c r="EN313" s="49"/>
      <c r="EO313" s="49"/>
      <c r="EP313" s="49"/>
      <c r="EQ313" s="49"/>
      <c r="ER313" s="49"/>
      <c r="ES313" s="49"/>
      <c r="ET313" s="49"/>
      <c r="EU313" s="49"/>
      <c r="EV313" s="49"/>
      <c r="EW313" s="49"/>
      <c r="EX313" s="49"/>
      <c r="EY313" s="49"/>
      <c r="EZ313" s="49"/>
      <c r="FA313" s="49"/>
    </row>
    <row r="314" spans="1:157" s="210" customFormat="1" ht="25.5" x14ac:dyDescent="0.25">
      <c r="A314" s="113">
        <f>IF(AND('[1]Cockpit Retorno'!$E$67=Sim,Mestre!M314=Mestre!$M$98),0,1)</f>
        <v>1</v>
      </c>
      <c r="B314" s="113">
        <f>IF(AND('[1]Cockpit Retorno'!$E$67=Sim,Mestre!L314=Mestre!$L$48),0,1)</f>
        <v>0</v>
      </c>
      <c r="C314" s="113">
        <f>IF(AND('[1]Cockpit Retorno'!$E$67=Sim,Mestre!M314=Mestre!$M$97),0,1)</f>
        <v>1</v>
      </c>
      <c r="D314" s="148" t="s">
        <v>7</v>
      </c>
      <c r="E314" s="115"/>
      <c r="F314" s="116" t="s">
        <v>107</v>
      </c>
      <c r="G314" s="149">
        <v>58</v>
      </c>
      <c r="H314" s="150" t="s">
        <v>7</v>
      </c>
      <c r="I314" s="151" t="str">
        <f t="shared" si="65"/>
        <v>Mercadorias</v>
      </c>
      <c r="J314" s="150" t="s">
        <v>15</v>
      </c>
      <c r="K314" s="152" t="s">
        <v>7</v>
      </c>
      <c r="L314" s="153" t="s">
        <v>15</v>
      </c>
      <c r="M314" s="154"/>
      <c r="N314" s="155" t="s">
        <v>450</v>
      </c>
      <c r="O314" s="155" t="s">
        <v>412</v>
      </c>
      <c r="P314" s="155"/>
      <c r="Q314" s="155"/>
      <c r="R314" s="155"/>
      <c r="S314" s="156"/>
      <c r="T314" s="156"/>
      <c r="U314" s="150"/>
      <c r="V314" s="150"/>
      <c r="W314" s="150"/>
      <c r="X314" s="157" t="s">
        <v>471</v>
      </c>
      <c r="Y314" s="150"/>
      <c r="Z314" s="150"/>
      <c r="AA314" s="158"/>
      <c r="AB314" s="155"/>
      <c r="AC314" s="150"/>
      <c r="AD314" s="155"/>
      <c r="AE314" s="155"/>
      <c r="AF314" s="150"/>
      <c r="AG314" s="159">
        <v>6</v>
      </c>
      <c r="AH314" s="211">
        <v>1069.5</v>
      </c>
      <c r="AI314" s="202">
        <v>0</v>
      </c>
      <c r="AJ314" s="161">
        <v>0.12</v>
      </c>
      <c r="AK314" s="162"/>
      <c r="AL314" s="163"/>
      <c r="AM314" s="164">
        <f>(((IF(L314=$L$101,1,IF(L314=$L$47,1,0))*(AH314*(1-AK314)))*AG314)*(1-AL314))</f>
        <v>6417</v>
      </c>
      <c r="AN314" s="165">
        <f>IF(K314=$K$50,AM314,IF(K314=$K$53,AM314,IF(K314=$K$54,AM314,IF(K314=$K$55,AM314,IF(K314=$K$56,AM314,IF(K314=$K$57,AM314,IF(K314=$K$58,AM314,IF(K314=$K$65,AM314,IF(K314=$K$66,AM314,IF(K314=$K$67,AM314,IF(K314=$K$68,AM314,IF(K314=$K$69,AM314,IF(K314=$K$51,AM314,(AM314*(1+AI314)))))))))))))))</f>
        <v>6417</v>
      </c>
      <c r="AO314" s="166">
        <v>1.4</v>
      </c>
      <c r="AP314" s="160">
        <f t="shared" si="66"/>
        <v>8983.7999999999993</v>
      </c>
      <c r="AQ314" s="167">
        <f t="shared" si="73"/>
        <v>7784.1510997780806</v>
      </c>
      <c r="AR314" s="160">
        <f t="shared" si="67"/>
        <v>8983.7999999999993</v>
      </c>
      <c r="AS314" s="168">
        <f t="shared" si="68"/>
        <v>1.2612750638360886</v>
      </c>
      <c r="AT314" s="169" t="str">
        <f>K314</f>
        <v>MI</v>
      </c>
      <c r="AU314" s="169" t="str">
        <f>I314</f>
        <v>Mercadorias</v>
      </c>
      <c r="AV314" s="170"/>
      <c r="AW314" s="171">
        <f>IF(K314=$K$50,0,IF(K314=$K$53,0,IF(K314=$K$54,0,IF(K314=$K$55,0,IF(K314=$K$56,0,IF(K314=$K$57,0,IF(K314=$K$58,0,IF(K314=$K$65,0,IF(K314=$K$66,0,IF(K314=$K$67,0,IF(K314=$K$68,0,IF(K314=$K$69,0,IF(K314=$K$51,0,1))))))))))))*AM314*AI314)</f>
        <v>0</v>
      </c>
      <c r="AX314" s="172">
        <f>IF(K314=$K$50,0,IF(K314=$K$53,0,IF(K314=$K$54,0,IF(K314=$K$55,0,IF(K314=$K$56,0,IF(K314=$K$57,0,IF(K314=$K$58,0,IF(K314=$K$65,0,IF(K314=$K$66,0,IF(K314=$K$67,0,IF(K314=$K$68,0,IF(K314=$K$69,0,IF(K314=$K$51,0,1))))))))))))*AM314*AJ314*$AX$94)</f>
        <v>0</v>
      </c>
      <c r="AY314" s="172">
        <f>IF(K314=$K$53,0,IF(K314=$K$54,0,IF(K314=$K$55,0,IF(K314=$K$56,0,IF(K314=$K$58,0,IF(K314=$K$50,0,IF(K314=$K$65,0,IF(K314=$K$57,0,IF(K314=$K$51,0,AM314*$AY$102)))))))))</f>
        <v>105.88050000000001</v>
      </c>
      <c r="AZ314" s="172">
        <f>IF(K314=$K$53,0,IF(K314=$K$54,0,IF(K314=$K$55,0,IF(K314=$K$56,0,IF(K314=$K$58,0,IF(K314=$K$50,0,IF(K314=$K$65,0,IF(K314=$K$57,0,IF(K314=$K$51,0,AM314*$AZ$102)))))))))</f>
        <v>487.69200000000001</v>
      </c>
      <c r="BA314" s="172">
        <f t="shared" si="69"/>
        <v>593.57249999999999</v>
      </c>
      <c r="BB314" s="173">
        <f>IF($BA$97=1,AQ314*$BB$102,IF(K314=$K$50,0,IF(K314=$K$53,0,IF(K314=$K$54,0,IF(K314=$K$55,0,IF(K314=$K$56,0,IF(K314=$K$57,0,IF(K314=$K$58,0,IF(K314=$K$65,0,IF(K314=$K$66,0,IF(K314=$K$67,0,IF(K314=$K$68,0,IF(K314=$K$69,0,IF(K314=$K$51,0,1)))))))))))*AQ314*$BB$102)))</f>
        <v>0</v>
      </c>
      <c r="BC314" s="172">
        <f t="shared" si="70"/>
        <v>50.59698214855753</v>
      </c>
      <c r="BD314" s="172">
        <f t="shared" si="71"/>
        <v>233.5245329933424</v>
      </c>
      <c r="BE314" s="172">
        <f>IF($BE$95=I314,$BE$97,IF(I314=$BE$96,$BE$97,1))*($BE$102*AQ314)*$AZ$97</f>
        <v>0</v>
      </c>
      <c r="BF314" s="172">
        <f>IF('[1]Cockpit Retorno'!$C$65=Sim,Mestre!BA314,SUM(BB314:BE314)+(IF(K314=$K$56,AQ314*MOE_IRRF_LR,0)))</f>
        <v>284.12151514189992</v>
      </c>
      <c r="BG314" s="174">
        <f>IF(AA314&gt;0,0,IF(Z314=$Z$82,AG314*1,(IF(Z314=$Z$81,AG314*1,0))))</f>
        <v>0</v>
      </c>
      <c r="BH314" s="174">
        <f>IF(AA314&gt;0,0,IF(Z314=$Z$83,AG314*1,IF(Z314=$Z$81,AG314*1,0)))</f>
        <v>0</v>
      </c>
      <c r="BI314" s="174">
        <f>IF(AA314&gt;0,0,IF(Z314=$Z$84,AG314*1,IF(Z314=$Z$93,AG314*2,IF(Z314=$Z$100,AG314,IF(Z314=$Z$81,AG314*2,IF(Z314=$Z$80,AG314*1,IF(Z314=$Z$79,AG314*3,IF(Z314=$Z$78,AG314*2,0))))))))</f>
        <v>0</v>
      </c>
      <c r="BJ314" s="174">
        <f>IF(AA314&gt;0,0,IF(Z314=$Z$85,AG314,IF(Z314=$Z$93,AG314,IF(Z314=$Z$100,AG314,IF(Z314=$Z$81,AG314*1,IF(Z314=$Z$80,AG314*2,IF(Z314=$Z$79,AG314*2,IF(Z314=$Z$78,AG314*2,0))))))))</f>
        <v>0</v>
      </c>
      <c r="BK314" s="174">
        <f>IF(AA314&gt;0,0,IF(Z314=$Z$92,AG314,0))</f>
        <v>0</v>
      </c>
      <c r="BL314" s="174">
        <f>IF(AA314&gt;0,0,IF(Z314=$Z$91,AG314,0))</f>
        <v>0</v>
      </c>
      <c r="BM314" s="174">
        <f>IF(AA314&gt;0,0,IF(Z314=$Z$86,AG314,0))</f>
        <v>0</v>
      </c>
      <c r="BN314" s="174">
        <f>IF(AA314&gt;0,0,IF(Z314=$Z$87,AG314,0))</f>
        <v>0</v>
      </c>
      <c r="BO314" s="174">
        <f>IF(AA314&gt;0,0,IF(Z314=$Z$88,AG314,0))</f>
        <v>0</v>
      </c>
      <c r="BP314" s="174">
        <f>IF(AA314&gt;0,0,IF(Z314=$Z$89,AG314,0))</f>
        <v>0</v>
      </c>
      <c r="BQ314" s="174">
        <f>IF(AA314&gt;0,0,IF(Z314=$Z$90,AG314,0))</f>
        <v>0</v>
      </c>
      <c r="BR314" s="174">
        <f>IF(Z314=$Z$82,AA314*AG314,0)</f>
        <v>0</v>
      </c>
      <c r="BS314" s="174">
        <f>IF(Z314=$Z$83,AA314*AG314,0)</f>
        <v>0</v>
      </c>
      <c r="BT314" s="174">
        <f>IF(AA314&lt;1,0,IF(Z314=$Z$84,AA314*AG314,IF(Z314=$Z$93,"ERRO",IF(Z314=$Z$100,"ERRO",0))))</f>
        <v>0</v>
      </c>
      <c r="BU314" s="174">
        <f>IF(AA314&lt;1,0,IF(Z314=$Z$85,AA314*AG314,IF(Z314=$Z$93,"ERRO",IF(Z314=$Z$100,"ERRO",0))))</f>
        <v>0</v>
      </c>
      <c r="BV314" s="174">
        <f>IF(Z314=$Z$92,AA314*AG314,0)</f>
        <v>0</v>
      </c>
      <c r="BW314" s="174">
        <f>IF(Z314=$Z$91,AA314*AG314,0)</f>
        <v>0</v>
      </c>
      <c r="BX314" s="174">
        <f>IF(Z314=$Z$86,AA314*AG314,0)</f>
        <v>0</v>
      </c>
      <c r="BY314" s="174">
        <f>IF(Z314=$Z$87,AA314*AG314,0)</f>
        <v>0</v>
      </c>
      <c r="BZ314" s="174">
        <f>IF(Z314=$Z$88,AA314*AG314,0)</f>
        <v>0</v>
      </c>
      <c r="CA314" s="174">
        <f>IF(Z314=$Z$89,AA314*AG314,0)</f>
        <v>0</v>
      </c>
      <c r="CB314" s="174">
        <f>IF(Z314=$Z$90,AA314*AG314,0)</f>
        <v>0</v>
      </c>
      <c r="CC314" s="175">
        <f>IFERROR(IF(L314=$L$49,AG314*AH314*(1+AI314)*(1-AK314)*(1-AL314),0),0)</f>
        <v>0</v>
      </c>
      <c r="CD314" s="203">
        <f>IF(I314=$CD$97,1,IF(I314=$CD$100,2,IF(K314=$K$66,1,IF(K314=$K$69,1,3))))</f>
        <v>1</v>
      </c>
      <c r="CE314" s="203">
        <f t="shared" si="14"/>
        <v>1.07</v>
      </c>
      <c r="CF314" s="204">
        <f t="shared" si="54"/>
        <v>1.2353999999999998</v>
      </c>
      <c r="CG314" s="203">
        <f t="shared" si="15"/>
        <v>1.42</v>
      </c>
      <c r="CH314" s="204">
        <f t="shared" si="55"/>
        <v>1.5478000000000001</v>
      </c>
      <c r="CI314" s="203">
        <f t="shared" si="16"/>
        <v>1.7</v>
      </c>
      <c r="CJ314" s="205">
        <f t="shared" si="56"/>
        <v>1.0486</v>
      </c>
      <c r="CK314" s="205">
        <f t="shared" si="57"/>
        <v>1.148922</v>
      </c>
      <c r="CL314" s="205">
        <f t="shared" si="58"/>
        <v>1.3915999999999999</v>
      </c>
      <c r="CM314" s="205">
        <f t="shared" si="59"/>
        <v>1.501366</v>
      </c>
      <c r="CN314" s="206">
        <f t="shared" si="60"/>
        <v>1.6319999999999999</v>
      </c>
      <c r="CO314" s="204">
        <f t="shared" si="61"/>
        <v>1.006656</v>
      </c>
      <c r="CP314" s="207">
        <f t="shared" si="62"/>
        <v>-309.45098485810007</v>
      </c>
      <c r="CQ314" s="208">
        <f t="shared" si="63"/>
        <v>8093.6020846361807</v>
      </c>
      <c r="CR314" s="209">
        <f t="shared" si="72"/>
        <v>284.12151514189992</v>
      </c>
      <c r="CS314" s="49"/>
      <c r="CT314" s="49"/>
      <c r="CU314" s="49"/>
      <c r="CV314" s="49"/>
      <c r="CW314" s="49"/>
      <c r="CX314" s="49"/>
      <c r="CY314" s="49"/>
      <c r="CZ314" s="49"/>
      <c r="DA314" s="49"/>
      <c r="DB314" s="49"/>
      <c r="DC314" s="49"/>
      <c r="DD314" s="49"/>
      <c r="DE314" s="49"/>
      <c r="DF314" s="49"/>
      <c r="DG314" s="49"/>
      <c r="DH314" s="49"/>
      <c r="DI314" s="49"/>
      <c r="DJ314" s="49"/>
      <c r="DK314" s="49"/>
      <c r="DL314" s="49"/>
      <c r="DM314" s="49"/>
      <c r="DN314" s="49"/>
      <c r="DO314" s="49"/>
      <c r="DP314" s="49"/>
      <c r="DQ314" s="49"/>
      <c r="DR314" s="49"/>
      <c r="DS314" s="49"/>
      <c r="DT314" s="49"/>
      <c r="DU314" s="49"/>
      <c r="DV314" s="49"/>
      <c r="DW314" s="49"/>
      <c r="DX314" s="49"/>
      <c r="DY314" s="49"/>
      <c r="DZ314" s="49"/>
      <c r="EA314" s="49"/>
      <c r="EB314" s="49"/>
      <c r="EC314" s="49"/>
      <c r="ED314" s="49"/>
      <c r="EE314" s="49"/>
      <c r="EF314" s="49"/>
      <c r="EG314" s="49"/>
      <c r="EH314" s="49"/>
      <c r="EI314" s="49"/>
      <c r="EJ314" s="49"/>
      <c r="EK314" s="49"/>
      <c r="EL314" s="49"/>
      <c r="EM314" s="49"/>
      <c r="EN314" s="49"/>
      <c r="EO314" s="49"/>
      <c r="EP314" s="49"/>
      <c r="EQ314" s="49"/>
      <c r="ER314" s="49"/>
      <c r="ES314" s="49"/>
      <c r="ET314" s="49"/>
      <c r="EU314" s="49"/>
      <c r="EV314" s="49"/>
      <c r="EW314" s="49"/>
      <c r="EX314" s="49"/>
      <c r="EY314" s="49"/>
      <c r="EZ314" s="49"/>
      <c r="FA314" s="49"/>
    </row>
    <row r="315" spans="1:157" s="210" customFormat="1" ht="25.5" x14ac:dyDescent="0.25">
      <c r="A315" s="113">
        <f>IF(AND('[1]Cockpit Retorno'!$E$67=Sim,Mestre!M315=Mestre!$M$98),0,1)</f>
        <v>1</v>
      </c>
      <c r="B315" s="113">
        <f>IF(AND('[1]Cockpit Retorno'!$E$67=Sim,Mestre!L315=Mestre!$L$48),0,1)</f>
        <v>0</v>
      </c>
      <c r="C315" s="113">
        <f>IF(AND('[1]Cockpit Retorno'!$E$67=Sim,Mestre!M315=Mestre!$M$97),0,1)</f>
        <v>1</v>
      </c>
      <c r="D315" s="148" t="s">
        <v>7</v>
      </c>
      <c r="E315" s="115"/>
      <c r="F315" s="116" t="s">
        <v>107</v>
      </c>
      <c r="G315" s="149">
        <v>66</v>
      </c>
      <c r="H315" s="150" t="s">
        <v>7</v>
      </c>
      <c r="I315" s="151" t="str">
        <f t="shared" si="65"/>
        <v>Mercadorias</v>
      </c>
      <c r="J315" s="150" t="s">
        <v>15</v>
      </c>
      <c r="K315" s="151" t="s">
        <v>7</v>
      </c>
      <c r="L315" s="153" t="s">
        <v>15</v>
      </c>
      <c r="M315" s="154" t="s">
        <v>465</v>
      </c>
      <c r="N315" s="155" t="s">
        <v>472</v>
      </c>
      <c r="O315" s="155" t="s">
        <v>473</v>
      </c>
      <c r="P315" s="155" t="s">
        <v>43</v>
      </c>
      <c r="Q315" s="155" t="s">
        <v>43</v>
      </c>
      <c r="R315" s="155" t="s">
        <v>43</v>
      </c>
      <c r="S315" s="156" t="s">
        <v>43</v>
      </c>
      <c r="T315" s="156" t="s">
        <v>43</v>
      </c>
      <c r="U315" s="150" t="s">
        <v>43</v>
      </c>
      <c r="V315" s="150" t="s">
        <v>43</v>
      </c>
      <c r="W315" s="150" t="s">
        <v>43</v>
      </c>
      <c r="X315" s="157" t="s">
        <v>474</v>
      </c>
      <c r="Y315" s="150" t="s">
        <v>43</v>
      </c>
      <c r="Z315" s="150" t="s">
        <v>43</v>
      </c>
      <c r="AA315" s="150">
        <v>0</v>
      </c>
      <c r="AB315" s="155" t="s">
        <v>43</v>
      </c>
      <c r="AC315" s="150" t="s">
        <v>43</v>
      </c>
      <c r="AD315" s="155" t="s">
        <v>43</v>
      </c>
      <c r="AE315" s="155"/>
      <c r="AF315" s="150" t="s">
        <v>43</v>
      </c>
      <c r="AG315" s="159">
        <v>128</v>
      </c>
      <c r="AH315" s="159">
        <v>75.097500000000011</v>
      </c>
      <c r="AI315" s="202">
        <v>0</v>
      </c>
      <c r="AJ315" s="161">
        <v>0.12</v>
      </c>
      <c r="AK315" s="162"/>
      <c r="AL315" s="163"/>
      <c r="AM315" s="164">
        <f>(((IF(L315=$L$101,1,IF(L315=$L$47,1,0))*(AH315*(1-AK315)))*AG315)*(1-AL315))</f>
        <v>9612.4800000000014</v>
      </c>
      <c r="AN315" s="165">
        <f>IF(K315=$K$50,AM315,IF(K315=$K$53,AM315,IF(K315=$K$54,AM315,IF(K315=$K$55,AM315,IF(K315=$K$56,AM315,IF(K315=$K$57,AM315,IF(K315=$K$58,AM315,IF(K315=$K$65,AM315,IF(K315=$K$66,AM315,IF(K315=$K$67,AM315,IF(K315=$K$68,AM315,IF(K315=$K$69,AM315,IF(K315=$K$51,AM315,(AM315*(1+AI315)))))))))))))))</f>
        <v>9612.4800000000014</v>
      </c>
      <c r="AO315" s="166">
        <v>1.4</v>
      </c>
      <c r="AP315" s="160">
        <f t="shared" si="66"/>
        <v>13457.472000000002</v>
      </c>
      <c r="AQ315" s="167">
        <f t="shared" ref="AQ315:AQ350" si="74">AP315*Fator_Venda</f>
        <v>11660.432719899458</v>
      </c>
      <c r="AR315" s="160">
        <f t="shared" si="67"/>
        <v>13457.472000000002</v>
      </c>
      <c r="AS315" s="168">
        <f t="shared" si="68"/>
        <v>1.2612750638360888</v>
      </c>
      <c r="AT315" s="169" t="str">
        <f>K315</f>
        <v>MI</v>
      </c>
      <c r="AU315" s="169" t="str">
        <f>I315</f>
        <v>Mercadorias</v>
      </c>
      <c r="AV315" s="170"/>
      <c r="AW315" s="171">
        <f>IF(K315=$K$50,0,IF(K315=$K$53,0,IF(K315=$K$54,0,IF(K315=$K$55,0,IF(K315=$K$56,0,IF(K315=$K$57,0,IF(K315=$K$58,0,IF(K315=$K$65,0,IF(K315=$K$66,0,IF(K315=$K$67,0,IF(K315=$K$68,0,IF(K315=$K$69,0,IF(K315=$K$51,0,1))))))))))))*AM315*AI315)</f>
        <v>0</v>
      </c>
      <c r="AX315" s="172">
        <f>IF(K315=$K$50,0,IF(K315=$K$53,0,IF(K315=$K$54,0,IF(K315=$K$55,0,IF(K315=$K$56,0,IF(K315=$K$57,0,IF(K315=$K$58,0,IF(K315=$K$65,0,IF(K315=$K$66,0,IF(K315=$K$67,0,IF(K315=$K$68,0,IF(K315=$K$69,0,IF(K315=$K$51,0,1))))))))))))*AM315*AJ315*$AX$94)</f>
        <v>0</v>
      </c>
      <c r="AY315" s="172">
        <f>IF(K315=$K$53,0,IF(K315=$K$54,0,IF(K315=$K$55,0,IF(K315=$K$56,0,IF(K315=$K$58,0,IF(K315=$K$50,0,IF(K315=$K$65,0,IF(K315=$K$57,0,IF(K315=$K$51,0,AM315*$AY$102)))))))))</f>
        <v>158.60592000000003</v>
      </c>
      <c r="AZ315" s="172">
        <f>IF(K315=$K$53,0,IF(K315=$K$54,0,IF(K315=$K$55,0,IF(K315=$K$56,0,IF(K315=$K$58,0,IF(K315=$K$50,0,IF(K315=$K$65,0,IF(K315=$K$57,0,IF(K315=$K$51,0,AM315*$AZ$102)))))))))</f>
        <v>730.54848000000004</v>
      </c>
      <c r="BA315" s="172">
        <f t="shared" si="69"/>
        <v>889.15440000000012</v>
      </c>
      <c r="BB315" s="173">
        <f>IF($BA$97=1,AQ315*$BB$102,IF(K315=$K$50,0,IF(K315=$K$53,0,IF(K315=$K$54,0,IF(K315=$K$55,0,IF(K315=$K$56,0,IF(K315=$K$57,0,IF(K315=$K$58,0,IF(K315=$K$65,0,IF(K315=$K$66,0,IF(K315=$K$67,0,IF(K315=$K$68,0,IF(K315=$K$69,0,IF(K315=$K$51,0,1)))))))))))*AQ315*$BB$102)))</f>
        <v>0</v>
      </c>
      <c r="BC315" s="172">
        <f t="shared" si="70"/>
        <v>75.792812679346483</v>
      </c>
      <c r="BD315" s="172">
        <f t="shared" si="71"/>
        <v>349.81298159698372</v>
      </c>
      <c r="BE315" s="172">
        <f>IF($BE$95=I315,$BE$97,IF(I315=$BE$96,$BE$97,1))*($BE$102*AQ315)*$AZ$97</f>
        <v>0</v>
      </c>
      <c r="BF315" s="172">
        <f>IF('[1]Cockpit Retorno'!$C$65=Sim,Mestre!BA315,SUM(BB315:BE315)+(IF(K315=$K$56,AQ315*MOE_IRRF_LR,0)))</f>
        <v>425.60579427633019</v>
      </c>
      <c r="BG315" s="174">
        <f>IF(AA315&gt;0,0,IF(Z315=$Z$82,AG315*1,(IF(Z315=$Z$81,AG315*1,0))))</f>
        <v>0</v>
      </c>
      <c r="BH315" s="174">
        <f>IF(AA315&gt;0,0,IF(Z315=$Z$83,AG315*1,IF(Z315=$Z$81,AG315*1,0)))</f>
        <v>0</v>
      </c>
      <c r="BI315" s="174">
        <f>IF(AA315&gt;0,0,IF(Z315=$Z$84,AG315*1,IF(Z315=$Z$93,AG315*2,IF(Z315=$Z$100,AG315,IF(Z315=$Z$81,AG315*2,IF(Z315=$Z$80,AG315*1,IF(Z315=$Z$79,AG315*3,IF(Z315=$Z$78,AG315*2,0))))))))</f>
        <v>0</v>
      </c>
      <c r="BJ315" s="174">
        <f>IF(AA315&gt;0,0,IF(Z315=$Z$85,AG315,IF(Z315=$Z$93,AG315,IF(Z315=$Z$100,AG315,IF(Z315=$Z$81,AG315*1,IF(Z315=$Z$80,AG315*2,IF(Z315=$Z$79,AG315*2,IF(Z315=$Z$78,AG315*2,0))))))))</f>
        <v>0</v>
      </c>
      <c r="BK315" s="174">
        <f>IF(AA315&gt;0,0,IF(Z315=$Z$92,AG315,0))</f>
        <v>0</v>
      </c>
      <c r="BL315" s="174">
        <f>IF(AA315&gt;0,0,IF(Z315=$Z$91,AG315,0))</f>
        <v>0</v>
      </c>
      <c r="BM315" s="174">
        <f>IF(AA315&gt;0,0,IF(Z315=$Z$86,AG315,0))</f>
        <v>0</v>
      </c>
      <c r="BN315" s="174">
        <f>IF(AA315&gt;0,0,IF(Z315=$Z$87,AG315,0))</f>
        <v>0</v>
      </c>
      <c r="BO315" s="174">
        <f>IF(AA315&gt;0,0,IF(Z315=$Z$88,AG315,0))</f>
        <v>0</v>
      </c>
      <c r="BP315" s="174">
        <f>IF(AA315&gt;0,0,IF(Z315=$Z$89,AG315,0))</f>
        <v>0</v>
      </c>
      <c r="BQ315" s="174">
        <f>IF(AA315&gt;0,0,IF(Z315=$Z$90,AG315,0))</f>
        <v>0</v>
      </c>
      <c r="BR315" s="174">
        <f>IF(Z315=$Z$82,AA315*AG315,0)</f>
        <v>0</v>
      </c>
      <c r="BS315" s="174">
        <f>IF(Z315=$Z$83,AA315*AG315,0)</f>
        <v>0</v>
      </c>
      <c r="BT315" s="174">
        <f>IF(AA315&lt;1,0,IF(Z315=$Z$84,AA315*AG315,IF(Z315=$Z$93,"ERRO",IF(Z315=$Z$100,"ERRO",0))))</f>
        <v>0</v>
      </c>
      <c r="BU315" s="174">
        <f>IF(AA315&lt;1,0,IF(Z315=$Z$85,AA315*AG315,IF(Z315=$Z$93,"ERRO",IF(Z315=$Z$100,"ERRO",0))))</f>
        <v>0</v>
      </c>
      <c r="BV315" s="174">
        <f>IF(Z315=$Z$92,AA315*AG315,0)</f>
        <v>0</v>
      </c>
      <c r="BW315" s="174">
        <f>IF(Z315=$Z$91,AA315*AG315,0)</f>
        <v>0</v>
      </c>
      <c r="BX315" s="174">
        <f>IF(Z315=$Z$86,AA315*AG315,0)</f>
        <v>0</v>
      </c>
      <c r="BY315" s="174">
        <f>IF(Z315=$Z$87,AA315*AG315,0)</f>
        <v>0</v>
      </c>
      <c r="BZ315" s="174">
        <f>IF(Z315=$Z$88,AA315*AG315,0)</f>
        <v>0</v>
      </c>
      <c r="CA315" s="174">
        <f>IF(Z315=$Z$89,AA315*AG315,0)</f>
        <v>0</v>
      </c>
      <c r="CB315" s="174">
        <f>IF(Z315=$Z$90,AA315*AG315,0)</f>
        <v>0</v>
      </c>
      <c r="CC315" s="175">
        <f>IFERROR(IF(L315=$L$49,AG315*AH315*(1+AI315)*(1-AK315)*(1-AL315),0),0)</f>
        <v>0</v>
      </c>
      <c r="CD315" s="212">
        <f>IF(I315=$CD$97,1,IF(I315=$CD$100,2,IF(K315=$K$66,1,IF(K315=$K$69,1,3))))</f>
        <v>1</v>
      </c>
      <c r="CE315" s="212">
        <f t="shared" si="14"/>
        <v>1.07</v>
      </c>
      <c r="CF315" s="213">
        <f t="shared" si="54"/>
        <v>1.2353999999999998</v>
      </c>
      <c r="CG315" s="212">
        <f t="shared" si="15"/>
        <v>1.42</v>
      </c>
      <c r="CH315" s="213">
        <f t="shared" si="55"/>
        <v>1.5478000000000001</v>
      </c>
      <c r="CI315" s="212">
        <f t="shared" si="16"/>
        <v>1.7</v>
      </c>
      <c r="CJ315" s="214">
        <f t="shared" si="56"/>
        <v>1.0486</v>
      </c>
      <c r="CK315" s="214">
        <f t="shared" si="57"/>
        <v>1.148922</v>
      </c>
      <c r="CL315" s="214">
        <f t="shared" si="58"/>
        <v>1.3915999999999999</v>
      </c>
      <c r="CM315" s="214">
        <f t="shared" si="59"/>
        <v>1.501366</v>
      </c>
      <c r="CN315" s="215">
        <f t="shared" si="60"/>
        <v>1.6319999999999999</v>
      </c>
      <c r="CO315" s="213">
        <f t="shared" si="61"/>
        <v>1.006656</v>
      </c>
      <c r="CP315" s="216">
        <f t="shared" si="62"/>
        <v>-463.54860572366994</v>
      </c>
      <c r="CQ315" s="217">
        <f t="shared" si="63"/>
        <v>12123.981325623128</v>
      </c>
      <c r="CR315" s="218">
        <f t="shared" si="72"/>
        <v>425.60579427633019</v>
      </c>
      <c r="CS315" s="49"/>
      <c r="CT315" s="49"/>
      <c r="CU315" s="49"/>
      <c r="CV315" s="49"/>
      <c r="CW315" s="49"/>
      <c r="CX315" s="49"/>
      <c r="CY315" s="49"/>
      <c r="CZ315" s="49"/>
      <c r="DA315" s="49"/>
      <c r="DB315" s="49"/>
      <c r="DC315" s="49"/>
      <c r="DD315" s="49"/>
      <c r="DE315" s="49"/>
      <c r="DF315" s="49"/>
      <c r="DG315" s="49"/>
      <c r="DH315" s="49"/>
      <c r="DI315" s="49"/>
      <c r="DJ315" s="49"/>
      <c r="DK315" s="49"/>
      <c r="DL315" s="49"/>
      <c r="DM315" s="49"/>
      <c r="DN315" s="49"/>
      <c r="DO315" s="49"/>
      <c r="DP315" s="49"/>
      <c r="DQ315" s="49"/>
      <c r="DR315" s="49"/>
      <c r="DS315" s="49"/>
      <c r="DT315" s="49"/>
      <c r="DU315" s="49"/>
      <c r="DV315" s="49"/>
      <c r="DW315" s="49"/>
      <c r="DX315" s="49"/>
      <c r="DY315" s="49"/>
      <c r="DZ315" s="49"/>
      <c r="EA315" s="49"/>
      <c r="EB315" s="49"/>
      <c r="EC315" s="49"/>
      <c r="ED315" s="49"/>
      <c r="EE315" s="49"/>
      <c r="EF315" s="49"/>
      <c r="EG315" s="49"/>
      <c r="EH315" s="49"/>
      <c r="EI315" s="49"/>
      <c r="EJ315" s="49"/>
      <c r="EK315" s="49"/>
      <c r="EL315" s="49"/>
      <c r="EM315" s="49"/>
      <c r="EN315" s="49"/>
      <c r="EO315" s="49"/>
      <c r="EP315" s="49"/>
      <c r="EQ315" s="49"/>
      <c r="ER315" s="49"/>
      <c r="ES315" s="49"/>
      <c r="ET315" s="49"/>
      <c r="EU315" s="49"/>
      <c r="EV315" s="49"/>
      <c r="EW315" s="49"/>
      <c r="EX315" s="49"/>
      <c r="EY315" s="49"/>
      <c r="EZ315" s="49"/>
      <c r="FA315" s="49"/>
    </row>
    <row r="316" spans="1:157" s="210" customFormat="1" ht="51" x14ac:dyDescent="0.25">
      <c r="A316" s="113">
        <f>IF(AND('[1]Cockpit Retorno'!$E$67=Sim,Mestre!M316=Mestre!$M$98),0,1)</f>
        <v>1</v>
      </c>
      <c r="B316" s="113">
        <f>IF(AND('[1]Cockpit Retorno'!$E$67=Sim,Mestre!L316=Mestre!$L$48),0,1)</f>
        <v>1</v>
      </c>
      <c r="C316" s="113">
        <f>IF(AND('[1]Cockpit Retorno'!$E$67=Sim,Mestre!M316=Mestre!$M$97),0,1)</f>
        <v>1</v>
      </c>
      <c r="D316" s="148" t="s">
        <v>7</v>
      </c>
      <c r="E316" s="115"/>
      <c r="F316" s="116" t="s">
        <v>107</v>
      </c>
      <c r="G316" s="149">
        <v>11</v>
      </c>
      <c r="H316" s="150" t="s">
        <v>7</v>
      </c>
      <c r="I316" s="151" t="str">
        <f t="shared" si="65"/>
        <v>Mercadorias</v>
      </c>
      <c r="J316" s="150" t="s">
        <v>15</v>
      </c>
      <c r="K316" s="151" t="s">
        <v>7</v>
      </c>
      <c r="L316" s="153" t="s">
        <v>21</v>
      </c>
      <c r="M316" s="154" t="s">
        <v>411</v>
      </c>
      <c r="N316" s="155" t="s">
        <v>472</v>
      </c>
      <c r="O316" s="155" t="s">
        <v>412</v>
      </c>
      <c r="P316" s="155" t="s">
        <v>43</v>
      </c>
      <c r="Q316" s="155" t="s">
        <v>43</v>
      </c>
      <c r="R316" s="155" t="s">
        <v>43</v>
      </c>
      <c r="S316" s="156" t="s">
        <v>43</v>
      </c>
      <c r="T316" s="156" t="s">
        <v>43</v>
      </c>
      <c r="U316" s="150" t="s">
        <v>43</v>
      </c>
      <c r="V316" s="150" t="s">
        <v>43</v>
      </c>
      <c r="W316" s="150" t="s">
        <v>43</v>
      </c>
      <c r="X316" s="157" t="s">
        <v>475</v>
      </c>
      <c r="Y316" s="150" t="s">
        <v>43</v>
      </c>
      <c r="Z316" s="150" t="s">
        <v>43</v>
      </c>
      <c r="AA316" s="150">
        <v>0</v>
      </c>
      <c r="AB316" s="155" t="s">
        <v>43</v>
      </c>
      <c r="AC316" s="150" t="s">
        <v>43</v>
      </c>
      <c r="AD316" s="155" t="s">
        <v>43</v>
      </c>
      <c r="AE316" s="155"/>
      <c r="AF316" s="150" t="s">
        <v>43</v>
      </c>
      <c r="AG316" s="159">
        <f>AG315*2</f>
        <v>256</v>
      </c>
      <c r="AH316" s="211">
        <v>38.502000000000002</v>
      </c>
      <c r="AI316" s="202">
        <v>0</v>
      </c>
      <c r="AJ316" s="161">
        <v>7.0000000000000007E-2</v>
      </c>
      <c r="AK316" s="162"/>
      <c r="AL316" s="163"/>
      <c r="AM316" s="164">
        <f>(((IF(L316=$L$101,1,IF(L316=$L$47,1,0))*(AH316*(1-AK316)))*AG316)*(1-AL316))</f>
        <v>0</v>
      </c>
      <c r="AN316" s="165">
        <f>IF(K316=$K$50,AM316,IF(K316=$K$53,AM316,IF(K316=$K$54,AM316,IF(K316=$K$55,AM316,IF(K316=$K$56,AM316,IF(K316=$K$57,AM316,IF(K316=$K$58,AM316,IF(K316=$K$65,AM316,IF(K316=$K$66,AM316,IF(K316=$K$67,AM316,IF(K316=$K$68,AM316,IF(K316=$K$69,AM316,IF(K316=$K$51,AM316,(AM316*(1+AI316)))))))))))))))</f>
        <v>0</v>
      </c>
      <c r="AO316" s="166">
        <v>1.4</v>
      </c>
      <c r="AP316" s="160">
        <f t="shared" si="66"/>
        <v>0</v>
      </c>
      <c r="AQ316" s="167">
        <f t="shared" si="74"/>
        <v>0</v>
      </c>
      <c r="AR316" s="160">
        <f t="shared" si="67"/>
        <v>0</v>
      </c>
      <c r="AS316" s="168">
        <f t="shared" si="68"/>
        <v>0</v>
      </c>
      <c r="AT316" s="169" t="str">
        <f>K316</f>
        <v>MI</v>
      </c>
      <c r="AU316" s="169" t="str">
        <f>I316</f>
        <v>Mercadorias</v>
      </c>
      <c r="AV316" s="170"/>
      <c r="AW316" s="171">
        <f>IF(K316=$K$50,0,IF(K316=$K$53,0,IF(K316=$K$54,0,IF(K316=$K$55,0,IF(K316=$K$56,0,IF(K316=$K$57,0,IF(K316=$K$58,0,IF(K316=$K$65,0,IF(K316=$K$66,0,IF(K316=$K$67,0,IF(K316=$K$68,0,IF(K316=$K$69,0,IF(K316=$K$51,0,1))))))))))))*AM316*AI316)</f>
        <v>0</v>
      </c>
      <c r="AX316" s="172">
        <f>IF(K316=$K$50,0,IF(K316=$K$53,0,IF(K316=$K$54,0,IF(K316=$K$55,0,IF(K316=$K$56,0,IF(K316=$K$57,0,IF(K316=$K$58,0,IF(K316=$K$65,0,IF(K316=$K$66,0,IF(K316=$K$67,0,IF(K316=$K$68,0,IF(K316=$K$69,0,IF(K316=$K$51,0,1))))))))))))*AM316*AJ316*$AX$94)</f>
        <v>0</v>
      </c>
      <c r="AY316" s="172">
        <f>IF(K316=$K$53,0,IF(K316=$K$54,0,IF(K316=$K$55,0,IF(K316=$K$56,0,IF(K316=$K$58,0,IF(K316=$K$50,0,IF(K316=$K$65,0,IF(K316=$K$57,0,IF(K316=$K$51,0,AM316*$AY$102)))))))))</f>
        <v>0</v>
      </c>
      <c r="AZ316" s="172">
        <f>IF(K316=$K$53,0,IF(K316=$K$54,0,IF(K316=$K$55,0,IF(K316=$K$56,0,IF(K316=$K$58,0,IF(K316=$K$50,0,IF(K316=$K$65,0,IF(K316=$K$57,0,IF(K316=$K$51,0,AM316*$AZ$102)))))))))</f>
        <v>0</v>
      </c>
      <c r="BA316" s="172">
        <f t="shared" si="69"/>
        <v>0</v>
      </c>
      <c r="BB316" s="173">
        <f>IF($BA$97=1,AQ316*$BB$102,IF(K316=$K$50,0,IF(K316=$K$53,0,IF(K316=$K$54,0,IF(K316=$K$55,0,IF(K316=$K$56,0,IF(K316=$K$57,0,IF(K316=$K$58,0,IF(K316=$K$65,0,IF(K316=$K$66,0,IF(K316=$K$67,0,IF(K316=$K$68,0,IF(K316=$K$69,0,IF(K316=$K$51,0,1)))))))))))*AQ316*$BB$102)))</f>
        <v>0</v>
      </c>
      <c r="BC316" s="172">
        <f t="shared" si="70"/>
        <v>0</v>
      </c>
      <c r="BD316" s="172">
        <f t="shared" si="71"/>
        <v>0</v>
      </c>
      <c r="BE316" s="172">
        <f>IF($BE$95=I316,$BE$97,IF(I316=$BE$96,$BE$97,1))*($BE$102*AQ316)*$AZ$97</f>
        <v>0</v>
      </c>
      <c r="BF316" s="172">
        <f>IF('[1]Cockpit Retorno'!$C$65=Sim,Mestre!BA316,SUM(BB316:BE316)+(IF(K316=$K$56,AQ316*MOE_IRRF_LR,0)))</f>
        <v>0</v>
      </c>
      <c r="BG316" s="174">
        <f>IF(AA316&gt;0,0,IF(Z316=$Z$82,AG316*1,(IF(Z316=$Z$81,AG316*1,0))))</f>
        <v>0</v>
      </c>
      <c r="BH316" s="174">
        <f>IF(AA316&gt;0,0,IF(Z316=$Z$83,AG316*1,IF(Z316=$Z$81,AG316*1,0)))</f>
        <v>0</v>
      </c>
      <c r="BI316" s="174">
        <f>IF(AA316&gt;0,0,IF(Z316=$Z$84,AG316*1,IF(Z316=$Z$93,AG316*2,IF(Z316=$Z$100,AG316,IF(Z316=$Z$81,AG316*2,IF(Z316=$Z$80,AG316*1,IF(Z316=$Z$79,AG316*3,IF(Z316=$Z$78,AG316*2,0))))))))</f>
        <v>0</v>
      </c>
      <c r="BJ316" s="174">
        <f>IF(AA316&gt;0,0,IF(Z316=$Z$85,AG316,IF(Z316=$Z$93,AG316,IF(Z316=$Z$100,AG316,IF(Z316=$Z$81,AG316*1,IF(Z316=$Z$80,AG316*2,IF(Z316=$Z$79,AG316*2,IF(Z316=$Z$78,AG316*2,0))))))))</f>
        <v>0</v>
      </c>
      <c r="BK316" s="174">
        <f>IF(AA316&gt;0,0,IF(Z316=$Z$92,AG316,0))</f>
        <v>0</v>
      </c>
      <c r="BL316" s="174">
        <f>IF(AA316&gt;0,0,IF(Z316=$Z$91,AG316,0))</f>
        <v>0</v>
      </c>
      <c r="BM316" s="174">
        <f>IF(AA316&gt;0,0,IF(Z316=$Z$86,AG316,0))</f>
        <v>0</v>
      </c>
      <c r="BN316" s="174">
        <f>IF(AA316&gt;0,0,IF(Z316=$Z$87,AG316,0))</f>
        <v>0</v>
      </c>
      <c r="BO316" s="174">
        <f>IF(AA316&gt;0,0,IF(Z316=$Z$88,AG316,0))</f>
        <v>0</v>
      </c>
      <c r="BP316" s="174">
        <f>IF(AA316&gt;0,0,IF(Z316=$Z$89,AG316,0))</f>
        <v>0</v>
      </c>
      <c r="BQ316" s="174">
        <f>IF(AA316&gt;0,0,IF(Z316=$Z$90,AG316,0))</f>
        <v>0</v>
      </c>
      <c r="BR316" s="174">
        <f>IF(Z316=$Z$82,AA316*AG316,0)</f>
        <v>0</v>
      </c>
      <c r="BS316" s="174">
        <f>IF(Z316=$Z$83,AA316*AG316,0)</f>
        <v>0</v>
      </c>
      <c r="BT316" s="174">
        <f>IF(AA316&lt;1,0,IF(Z316=$Z$84,AA316*AG316,IF(Z316=$Z$93,"ERRO",IF(Z316=$Z$100,"ERRO",0))))</f>
        <v>0</v>
      </c>
      <c r="BU316" s="174">
        <f>IF(AA316&lt;1,0,IF(Z316=$Z$85,AA316*AG316,IF(Z316=$Z$93,"ERRO",IF(Z316=$Z$100,"ERRO",0))))</f>
        <v>0</v>
      </c>
      <c r="BV316" s="174">
        <f>IF(Z316=$Z$92,AA316*AG316,0)</f>
        <v>0</v>
      </c>
      <c r="BW316" s="174">
        <f>IF(Z316=$Z$91,AA316*AG316,0)</f>
        <v>0</v>
      </c>
      <c r="BX316" s="174">
        <f>IF(Z316=$Z$86,AA316*AG316,0)</f>
        <v>0</v>
      </c>
      <c r="BY316" s="174">
        <f>IF(Z316=$Z$87,AA316*AG316,0)</f>
        <v>0</v>
      </c>
      <c r="BZ316" s="174">
        <f>IF(Z316=$Z$88,AA316*AG316,0)</f>
        <v>0</v>
      </c>
      <c r="CA316" s="174">
        <f>IF(Z316=$Z$89,AA316*AG316,0)</f>
        <v>0</v>
      </c>
      <c r="CB316" s="174">
        <f>IF(Z316=$Z$90,AA316*AG316,0)</f>
        <v>0</v>
      </c>
      <c r="CC316" s="175">
        <f>IFERROR(IF(L316=$L$49,AG316*AH316*(1+AI316)*(1-AK316)*(1-AL316),0),0)</f>
        <v>9856.5120000000006</v>
      </c>
      <c r="CD316" s="212">
        <f>IF(I316=$CD$97,1,IF(I316=$CD$100,2,IF(K316=$K$66,1,IF(K316=$K$69,1,3))))</f>
        <v>1</v>
      </c>
      <c r="CE316" s="212">
        <f t="shared" si="14"/>
        <v>1.07</v>
      </c>
      <c r="CF316" s="213">
        <f t="shared" si="54"/>
        <v>1.2353999999999998</v>
      </c>
      <c r="CG316" s="212">
        <f t="shared" si="15"/>
        <v>1.42</v>
      </c>
      <c r="CH316" s="213">
        <f t="shared" si="55"/>
        <v>1.5478000000000001</v>
      </c>
      <c r="CI316" s="212">
        <f t="shared" si="16"/>
        <v>1.7</v>
      </c>
      <c r="CJ316" s="214">
        <f t="shared" si="56"/>
        <v>1.0486</v>
      </c>
      <c r="CK316" s="214">
        <f t="shared" si="57"/>
        <v>1.148922</v>
      </c>
      <c r="CL316" s="214">
        <f t="shared" si="58"/>
        <v>1.3915999999999999</v>
      </c>
      <c r="CM316" s="214">
        <f t="shared" si="59"/>
        <v>1.501366</v>
      </c>
      <c r="CN316" s="215">
        <f t="shared" si="60"/>
        <v>1.6319999999999999</v>
      </c>
      <c r="CO316" s="213">
        <f t="shared" si="61"/>
        <v>1.006656</v>
      </c>
      <c r="CP316" s="216">
        <f t="shared" si="62"/>
        <v>0</v>
      </c>
      <c r="CQ316" s="217">
        <f t="shared" si="63"/>
        <v>0</v>
      </c>
      <c r="CR316" s="218">
        <f t="shared" si="72"/>
        <v>0</v>
      </c>
      <c r="CS316" s="49"/>
      <c r="CT316" s="49"/>
      <c r="CU316" s="49"/>
      <c r="CV316" s="49"/>
      <c r="CW316" s="49"/>
      <c r="CX316" s="49"/>
      <c r="CY316" s="49"/>
      <c r="CZ316" s="49"/>
      <c r="DA316" s="49"/>
      <c r="DB316" s="49"/>
      <c r="DC316" s="49"/>
      <c r="DD316" s="49"/>
      <c r="DE316" s="49"/>
      <c r="DF316" s="49"/>
      <c r="DG316" s="49"/>
      <c r="DH316" s="49"/>
      <c r="DI316" s="49"/>
      <c r="DJ316" s="49"/>
      <c r="DK316" s="49"/>
      <c r="DL316" s="49"/>
      <c r="DM316" s="49"/>
      <c r="DN316" s="49"/>
      <c r="DO316" s="49"/>
      <c r="DP316" s="49"/>
      <c r="DQ316" s="49"/>
      <c r="DR316" s="49"/>
      <c r="DS316" s="49"/>
      <c r="DT316" s="49"/>
      <c r="DU316" s="49"/>
      <c r="DV316" s="49"/>
      <c r="DW316" s="49"/>
      <c r="DX316" s="49"/>
      <c r="DY316" s="49"/>
      <c r="DZ316" s="49"/>
      <c r="EA316" s="49"/>
      <c r="EB316" s="49"/>
      <c r="EC316" s="49"/>
      <c r="ED316" s="49"/>
      <c r="EE316" s="49"/>
      <c r="EF316" s="49"/>
      <c r="EG316" s="49"/>
      <c r="EH316" s="49"/>
      <c r="EI316" s="49"/>
      <c r="EJ316" s="49"/>
      <c r="EK316" s="49"/>
      <c r="EL316" s="49"/>
      <c r="EM316" s="49"/>
      <c r="EN316" s="49"/>
      <c r="EO316" s="49"/>
      <c r="EP316" s="49"/>
      <c r="EQ316" s="49"/>
      <c r="ER316" s="49"/>
      <c r="ES316" s="49"/>
      <c r="ET316" s="49"/>
      <c r="EU316" s="49"/>
      <c r="EV316" s="49"/>
      <c r="EW316" s="49"/>
      <c r="EX316" s="49"/>
      <c r="EY316" s="49"/>
      <c r="EZ316" s="49"/>
      <c r="FA316" s="49"/>
    </row>
    <row r="317" spans="1:157" s="210" customFormat="1" ht="25.5" x14ac:dyDescent="0.25">
      <c r="A317" s="113">
        <f>IF(AND('[1]Cockpit Retorno'!$E$67=Sim,Mestre!M317=Mestre!$M$98),0,1)</f>
        <v>1</v>
      </c>
      <c r="B317" s="113">
        <f>IF(AND('[1]Cockpit Retorno'!$E$67=Sim,Mestre!L317=Mestre!$L$48),0,1)</f>
        <v>1</v>
      </c>
      <c r="C317" s="113">
        <f>IF(AND('[1]Cockpit Retorno'!$E$67=Sim,Mestre!M317=Mestre!$M$97),0,1)</f>
        <v>1</v>
      </c>
      <c r="D317" s="148" t="s">
        <v>7</v>
      </c>
      <c r="E317" s="115"/>
      <c r="F317" s="116" t="s">
        <v>107</v>
      </c>
      <c r="G317" s="149">
        <v>2</v>
      </c>
      <c r="H317" s="150" t="s">
        <v>7</v>
      </c>
      <c r="I317" s="151" t="str">
        <f t="shared" si="65"/>
        <v>Mercadorias</v>
      </c>
      <c r="J317" s="150" t="s">
        <v>15</v>
      </c>
      <c r="K317" s="151" t="s">
        <v>7</v>
      </c>
      <c r="L317" s="153" t="s">
        <v>21</v>
      </c>
      <c r="M317" s="154" t="s">
        <v>361</v>
      </c>
      <c r="N317" s="155" t="s">
        <v>472</v>
      </c>
      <c r="O317" s="155" t="s">
        <v>363</v>
      </c>
      <c r="P317" s="155" t="s">
        <v>43</v>
      </c>
      <c r="Q317" s="155" t="s">
        <v>43</v>
      </c>
      <c r="R317" s="155" t="s">
        <v>43</v>
      </c>
      <c r="S317" s="156" t="s">
        <v>43</v>
      </c>
      <c r="T317" s="156" t="s">
        <v>43</v>
      </c>
      <c r="U317" s="150" t="s">
        <v>43</v>
      </c>
      <c r="V317" s="150" t="s">
        <v>43</v>
      </c>
      <c r="W317" s="150" t="s">
        <v>43</v>
      </c>
      <c r="X317" s="157" t="s">
        <v>476</v>
      </c>
      <c r="Y317" s="150" t="s">
        <v>43</v>
      </c>
      <c r="Z317" s="150" t="s">
        <v>43</v>
      </c>
      <c r="AA317" s="150">
        <v>0</v>
      </c>
      <c r="AB317" s="155" t="s">
        <v>43</v>
      </c>
      <c r="AC317" s="150" t="s">
        <v>43</v>
      </c>
      <c r="AD317" s="155" t="s">
        <v>43</v>
      </c>
      <c r="AE317" s="155"/>
      <c r="AF317" s="150" t="s">
        <v>43</v>
      </c>
      <c r="AG317" s="159">
        <f>[1]Típicos!I27*Mestre!AG315</f>
        <v>904.96</v>
      </c>
      <c r="AH317" s="159">
        <v>6.2310000000000008</v>
      </c>
      <c r="AI317" s="202">
        <v>0</v>
      </c>
      <c r="AJ317" s="161">
        <v>0.12</v>
      </c>
      <c r="AK317" s="162"/>
      <c r="AL317" s="163"/>
      <c r="AM317" s="164">
        <f>(((IF(L317=$L$101,1,IF(L317=$L$47,1,0))*(AH317*(1-AK317)))*AG317)*(1-AL317))</f>
        <v>0</v>
      </c>
      <c r="AN317" s="165">
        <f>IF(K317=$K$50,AM317,IF(K317=$K$53,AM317,IF(K317=$K$54,AM317,IF(K317=$K$55,AM317,IF(K317=$K$56,AM317,IF(K317=$K$57,AM317,IF(K317=$K$58,AM317,IF(K317=$K$65,AM317,IF(K317=$K$66,AM317,IF(K317=$K$67,AM317,IF(K317=$K$68,AM317,IF(K317=$K$69,AM317,IF(K317=$K$51,AM317,(AM317*(1+AI317)))))))))))))))</f>
        <v>0</v>
      </c>
      <c r="AO317" s="166">
        <v>1.4</v>
      </c>
      <c r="AP317" s="160">
        <f t="shared" si="66"/>
        <v>0</v>
      </c>
      <c r="AQ317" s="167">
        <f t="shared" si="74"/>
        <v>0</v>
      </c>
      <c r="AR317" s="160">
        <f t="shared" si="67"/>
        <v>0</v>
      </c>
      <c r="AS317" s="168">
        <f t="shared" si="68"/>
        <v>0</v>
      </c>
      <c r="AT317" s="169" t="str">
        <f>K317</f>
        <v>MI</v>
      </c>
      <c r="AU317" s="169" t="str">
        <f>I317</f>
        <v>Mercadorias</v>
      </c>
      <c r="AV317" s="170"/>
      <c r="AW317" s="171">
        <f>IF(K317=$K$50,0,IF(K317=$K$53,0,IF(K317=$K$54,0,IF(K317=$K$55,0,IF(K317=$K$56,0,IF(K317=$K$57,0,IF(K317=$K$58,0,IF(K317=$K$65,0,IF(K317=$K$66,0,IF(K317=$K$67,0,IF(K317=$K$68,0,IF(K317=$K$69,0,IF(K317=$K$51,0,1))))))))))))*AM317*AI317)</f>
        <v>0</v>
      </c>
      <c r="AX317" s="172">
        <f>IF(K317=$K$50,0,IF(K317=$K$53,0,IF(K317=$K$54,0,IF(K317=$K$55,0,IF(K317=$K$56,0,IF(K317=$K$57,0,IF(K317=$K$58,0,IF(K317=$K$65,0,IF(K317=$K$66,0,IF(K317=$K$67,0,IF(K317=$K$68,0,IF(K317=$K$69,0,IF(K317=$K$51,0,1))))))))))))*AM317*AJ317*$AX$94)</f>
        <v>0</v>
      </c>
      <c r="AY317" s="172">
        <f>IF(K317=$K$53,0,IF(K317=$K$54,0,IF(K317=$K$55,0,IF(K317=$K$56,0,IF(K317=$K$58,0,IF(K317=$K$50,0,IF(K317=$K$65,0,IF(K317=$K$57,0,IF(K317=$K$51,0,AM317*$AY$102)))))))))</f>
        <v>0</v>
      </c>
      <c r="AZ317" s="172">
        <f>IF(K317=$K$53,0,IF(K317=$K$54,0,IF(K317=$K$55,0,IF(K317=$K$56,0,IF(K317=$K$58,0,IF(K317=$K$50,0,IF(K317=$K$65,0,IF(K317=$K$57,0,IF(K317=$K$51,0,AM317*$AZ$102)))))))))</f>
        <v>0</v>
      </c>
      <c r="BA317" s="172">
        <f t="shared" si="69"/>
        <v>0</v>
      </c>
      <c r="BB317" s="173">
        <f>IF($BA$97=1,AQ317*$BB$102,IF(K317=$K$50,0,IF(K317=$K$53,0,IF(K317=$K$54,0,IF(K317=$K$55,0,IF(K317=$K$56,0,IF(K317=$K$57,0,IF(K317=$K$58,0,IF(K317=$K$65,0,IF(K317=$K$66,0,IF(K317=$K$67,0,IF(K317=$K$68,0,IF(K317=$K$69,0,IF(K317=$K$51,0,1)))))))))))*AQ317*$BB$102)))</f>
        <v>0</v>
      </c>
      <c r="BC317" s="172">
        <f t="shared" si="70"/>
        <v>0</v>
      </c>
      <c r="BD317" s="172">
        <f t="shared" si="71"/>
        <v>0</v>
      </c>
      <c r="BE317" s="172">
        <f>IF($BE$95=I317,$BE$97,IF(I317=$BE$96,$BE$97,1))*($BE$102*AQ317)*$AZ$97</f>
        <v>0</v>
      </c>
      <c r="BF317" s="172">
        <f>IF('[1]Cockpit Retorno'!$C$65=Sim,Mestre!BA317,SUM(BB317:BE317)+(IF(K317=$K$56,AQ317*MOE_IRRF_LR,0)))</f>
        <v>0</v>
      </c>
      <c r="BG317" s="174">
        <f>IF(AA317&gt;0,0,IF(Z317=$Z$82,AG317*1,(IF(Z317=$Z$81,AG317*1,0))))</f>
        <v>0</v>
      </c>
      <c r="BH317" s="174">
        <f>IF(AA317&gt;0,0,IF(Z317=$Z$83,AG317*1,IF(Z317=$Z$81,AG317*1,0)))</f>
        <v>0</v>
      </c>
      <c r="BI317" s="174">
        <f>IF(AA317&gt;0,0,IF(Z317=$Z$84,AG317*1,IF(Z317=$Z$93,AG317*2,IF(Z317=$Z$100,AG317,IF(Z317=$Z$81,AG317*2,IF(Z317=$Z$80,AG317*1,IF(Z317=$Z$79,AG317*3,IF(Z317=$Z$78,AG317*2,0))))))))</f>
        <v>0</v>
      </c>
      <c r="BJ317" s="174">
        <f>IF(AA317&gt;0,0,IF(Z317=$Z$85,AG317,IF(Z317=$Z$93,AG317,IF(Z317=$Z$100,AG317,IF(Z317=$Z$81,AG317*1,IF(Z317=$Z$80,AG317*2,IF(Z317=$Z$79,AG317*2,IF(Z317=$Z$78,AG317*2,0))))))))</f>
        <v>0</v>
      </c>
      <c r="BK317" s="174">
        <f>IF(AA317&gt;0,0,IF(Z317=$Z$92,AG317,0))</f>
        <v>0</v>
      </c>
      <c r="BL317" s="174">
        <f>IF(AA317&gt;0,0,IF(Z317=$Z$91,AG317,0))</f>
        <v>0</v>
      </c>
      <c r="BM317" s="174">
        <f>IF(AA317&gt;0,0,IF(Z317=$Z$86,AG317,0))</f>
        <v>0</v>
      </c>
      <c r="BN317" s="174">
        <f>IF(AA317&gt;0,0,IF(Z317=$Z$87,AG317,0))</f>
        <v>0</v>
      </c>
      <c r="BO317" s="174">
        <f>IF(AA317&gt;0,0,IF(Z317=$Z$88,AG317,0))</f>
        <v>0</v>
      </c>
      <c r="BP317" s="174">
        <f>IF(AA317&gt;0,0,IF(Z317=$Z$89,AG317,0))</f>
        <v>0</v>
      </c>
      <c r="BQ317" s="174">
        <f>IF(AA317&gt;0,0,IF(Z317=$Z$90,AG317,0))</f>
        <v>0</v>
      </c>
      <c r="BR317" s="174">
        <f>IF(Z317=$Z$82,AA317*AG317,0)</f>
        <v>0</v>
      </c>
      <c r="BS317" s="174">
        <f>IF(Z317=$Z$83,AA317*AG317,0)</f>
        <v>0</v>
      </c>
      <c r="BT317" s="174">
        <f>IF(AA317&lt;1,0,IF(Z317=$Z$84,AA317*AG317,IF(Z317=$Z$93,"ERRO",IF(Z317=$Z$100,"ERRO",0))))</f>
        <v>0</v>
      </c>
      <c r="BU317" s="174">
        <f>IF(AA317&lt;1,0,IF(Z317=$Z$85,AA317*AG317,IF(Z317=$Z$93,"ERRO",IF(Z317=$Z$100,"ERRO",0))))</f>
        <v>0</v>
      </c>
      <c r="BV317" s="174">
        <f>IF(Z317=$Z$92,AA317*AG317,0)</f>
        <v>0</v>
      </c>
      <c r="BW317" s="174">
        <f>IF(Z317=$Z$91,AA317*AG317,0)</f>
        <v>0</v>
      </c>
      <c r="BX317" s="174">
        <f>IF(Z317=$Z$86,AA317*AG317,0)</f>
        <v>0</v>
      </c>
      <c r="BY317" s="174">
        <f>IF(Z317=$Z$87,AA317*AG317,0)</f>
        <v>0</v>
      </c>
      <c r="BZ317" s="174">
        <f>IF(Z317=$Z$88,AA317*AG317,0)</f>
        <v>0</v>
      </c>
      <c r="CA317" s="174">
        <f>IF(Z317=$Z$89,AA317*AG317,0)</f>
        <v>0</v>
      </c>
      <c r="CB317" s="174">
        <f>IF(Z317=$Z$90,AA317*AG317,0)</f>
        <v>0</v>
      </c>
      <c r="CC317" s="175">
        <f>IFERROR(IF(L317=$L$49,AG317*AH317*(1+AI317)*(1-AK317)*(1-AL317),0),0)</f>
        <v>5638.8057600000011</v>
      </c>
      <c r="CD317" s="212">
        <f>IF(I317=$CD$97,1,IF(I317=$CD$100,2,IF(K317=$K$66,1,IF(K317=$K$69,1,3))))</f>
        <v>1</v>
      </c>
      <c r="CE317" s="212">
        <f t="shared" si="14"/>
        <v>1.07</v>
      </c>
      <c r="CF317" s="213">
        <f t="shared" si="54"/>
        <v>1.2353999999999998</v>
      </c>
      <c r="CG317" s="212">
        <f t="shared" si="15"/>
        <v>1.42</v>
      </c>
      <c r="CH317" s="213">
        <f t="shared" si="55"/>
        <v>1.5478000000000001</v>
      </c>
      <c r="CI317" s="212">
        <f t="shared" si="16"/>
        <v>1.7</v>
      </c>
      <c r="CJ317" s="214">
        <f t="shared" si="56"/>
        <v>1.0486</v>
      </c>
      <c r="CK317" s="214">
        <f t="shared" si="57"/>
        <v>1.148922</v>
      </c>
      <c r="CL317" s="214">
        <f t="shared" si="58"/>
        <v>1.3915999999999999</v>
      </c>
      <c r="CM317" s="214">
        <f t="shared" si="59"/>
        <v>1.501366</v>
      </c>
      <c r="CN317" s="215">
        <f t="shared" si="60"/>
        <v>1.6319999999999999</v>
      </c>
      <c r="CO317" s="213">
        <f t="shared" si="61"/>
        <v>1.006656</v>
      </c>
      <c r="CP317" s="216">
        <f t="shared" si="62"/>
        <v>0</v>
      </c>
      <c r="CQ317" s="217">
        <f t="shared" si="63"/>
        <v>0</v>
      </c>
      <c r="CR317" s="218">
        <f t="shared" si="72"/>
        <v>0</v>
      </c>
      <c r="CS317" s="49"/>
      <c r="CT317" s="49"/>
      <c r="CU317" s="49"/>
      <c r="CV317" s="49"/>
      <c r="CW317" s="49"/>
      <c r="CX317" s="49"/>
      <c r="CY317" s="49"/>
      <c r="CZ317" s="49"/>
      <c r="DA317" s="49"/>
      <c r="DB317" s="49"/>
      <c r="DC317" s="49"/>
      <c r="DD317" s="49"/>
      <c r="DE317" s="49"/>
      <c r="DF317" s="49"/>
      <c r="DG317" s="49"/>
      <c r="DH317" s="49"/>
      <c r="DI317" s="49"/>
      <c r="DJ317" s="49"/>
      <c r="DK317" s="49"/>
      <c r="DL317" s="49"/>
      <c r="DM317" s="49"/>
      <c r="DN317" s="49"/>
      <c r="DO317" s="49"/>
      <c r="DP317" s="49"/>
      <c r="DQ317" s="49"/>
      <c r="DR317" s="49"/>
      <c r="DS317" s="49"/>
      <c r="DT317" s="49"/>
      <c r="DU317" s="49"/>
      <c r="DV317" s="49"/>
      <c r="DW317" s="49"/>
      <c r="DX317" s="49"/>
      <c r="DY317" s="49"/>
      <c r="DZ317" s="49"/>
      <c r="EA317" s="49"/>
      <c r="EB317" s="49"/>
      <c r="EC317" s="49"/>
      <c r="ED317" s="49"/>
      <c r="EE317" s="49"/>
      <c r="EF317" s="49"/>
      <c r="EG317" s="49"/>
      <c r="EH317" s="49"/>
      <c r="EI317" s="49"/>
      <c r="EJ317" s="49"/>
      <c r="EK317" s="49"/>
      <c r="EL317" s="49"/>
      <c r="EM317" s="49"/>
      <c r="EN317" s="49"/>
      <c r="EO317" s="49"/>
      <c r="EP317" s="49"/>
      <c r="EQ317" s="49"/>
      <c r="ER317" s="49"/>
      <c r="ES317" s="49"/>
      <c r="ET317" s="49"/>
      <c r="EU317" s="49"/>
      <c r="EV317" s="49"/>
      <c r="EW317" s="49"/>
      <c r="EX317" s="49"/>
      <c r="EY317" s="49"/>
      <c r="EZ317" s="49"/>
      <c r="FA317" s="49"/>
    </row>
    <row r="318" spans="1:157" s="210" customFormat="1" ht="25.5" x14ac:dyDescent="0.25">
      <c r="A318" s="113">
        <f>IF(AND('[1]Cockpit Retorno'!$E$67=Sim,Mestre!M318=Mestre!$M$98),0,1)</f>
        <v>1</v>
      </c>
      <c r="B318" s="113">
        <f>IF(AND('[1]Cockpit Retorno'!$E$67=Sim,Mestre!L318=Mestre!$L$48),0,1)</f>
        <v>0</v>
      </c>
      <c r="C318" s="113">
        <f>IF(AND('[1]Cockpit Retorno'!$E$67=Sim,Mestre!M318=Mestre!$M$97),0,1)</f>
        <v>1</v>
      </c>
      <c r="D318" s="148" t="s">
        <v>7</v>
      </c>
      <c r="E318" s="115"/>
      <c r="F318" s="116" t="s">
        <v>107</v>
      </c>
      <c r="G318" s="149">
        <v>66</v>
      </c>
      <c r="H318" s="150" t="s">
        <v>7</v>
      </c>
      <c r="I318" s="151" t="str">
        <f t="shared" si="65"/>
        <v>Mercadorias</v>
      </c>
      <c r="J318" s="150" t="s">
        <v>15</v>
      </c>
      <c r="K318" s="151" t="s">
        <v>7</v>
      </c>
      <c r="L318" s="153" t="s">
        <v>15</v>
      </c>
      <c r="M318" s="154" t="s">
        <v>465</v>
      </c>
      <c r="N318" s="155" t="s">
        <v>472</v>
      </c>
      <c r="O318" s="155" t="s">
        <v>473</v>
      </c>
      <c r="P318" s="155" t="s">
        <v>43</v>
      </c>
      <c r="Q318" s="155" t="s">
        <v>43</v>
      </c>
      <c r="R318" s="155" t="s">
        <v>43</v>
      </c>
      <c r="S318" s="156" t="s">
        <v>43</v>
      </c>
      <c r="T318" s="156" t="s">
        <v>43</v>
      </c>
      <c r="U318" s="150" t="s">
        <v>43</v>
      </c>
      <c r="V318" s="150" t="s">
        <v>43</v>
      </c>
      <c r="W318" s="150" t="s">
        <v>43</v>
      </c>
      <c r="X318" s="157" t="s">
        <v>477</v>
      </c>
      <c r="Y318" s="150" t="s">
        <v>43</v>
      </c>
      <c r="Z318" s="150" t="s">
        <v>43</v>
      </c>
      <c r="AA318" s="150">
        <v>0</v>
      </c>
      <c r="AB318" s="155" t="s">
        <v>43</v>
      </c>
      <c r="AC318" s="150" t="s">
        <v>43</v>
      </c>
      <c r="AD318" s="155" t="s">
        <v>43</v>
      </c>
      <c r="AE318" s="155"/>
      <c r="AF318" s="150" t="s">
        <v>43</v>
      </c>
      <c r="AG318" s="159">
        <v>68</v>
      </c>
      <c r="AH318" s="159">
        <v>95.715600000000009</v>
      </c>
      <c r="AI318" s="202">
        <v>0</v>
      </c>
      <c r="AJ318" s="161">
        <v>0.12</v>
      </c>
      <c r="AK318" s="162"/>
      <c r="AL318" s="163"/>
      <c r="AM318" s="164">
        <f>(((IF(L318=$L$101,1,IF(L318=$L$47,1,0))*(AH318*(1-AK318)))*AG318)*(1-AL318))</f>
        <v>6508.6608000000006</v>
      </c>
      <c r="AN318" s="165">
        <f>IF(K318=$K$50,AM318,IF(K318=$K$53,AM318,IF(K318=$K$54,AM318,IF(K318=$K$55,AM318,IF(K318=$K$56,AM318,IF(K318=$K$57,AM318,IF(K318=$K$58,AM318,IF(K318=$K$65,AM318,IF(K318=$K$66,AM318,IF(K318=$K$67,AM318,IF(K318=$K$68,AM318,IF(K318=$K$69,AM318,IF(K318=$K$51,AM318,(AM318*(1+AI318)))))))))))))))</f>
        <v>6508.6608000000006</v>
      </c>
      <c r="AO318" s="166">
        <v>1.4</v>
      </c>
      <c r="AP318" s="160">
        <f t="shared" si="66"/>
        <v>9112.1251200000006</v>
      </c>
      <c r="AQ318" s="167">
        <f t="shared" si="74"/>
        <v>7895.3403653424475</v>
      </c>
      <c r="AR318" s="160">
        <f t="shared" si="67"/>
        <v>9112.1251200000006</v>
      </c>
      <c r="AS318" s="168">
        <f t="shared" si="68"/>
        <v>1.2612750638360888</v>
      </c>
      <c r="AT318" s="169" t="str">
        <f>K318</f>
        <v>MI</v>
      </c>
      <c r="AU318" s="169" t="str">
        <f>I318</f>
        <v>Mercadorias</v>
      </c>
      <c r="AV318" s="170"/>
      <c r="AW318" s="171">
        <f>IF(K318=$K$50,0,IF(K318=$K$53,0,IF(K318=$K$54,0,IF(K318=$K$55,0,IF(K318=$K$56,0,IF(K318=$K$57,0,IF(K318=$K$58,0,IF(K318=$K$65,0,IF(K318=$K$66,0,IF(K318=$K$67,0,IF(K318=$K$68,0,IF(K318=$K$69,0,IF(K318=$K$51,0,1))))))))))))*AM318*AI318)</f>
        <v>0</v>
      </c>
      <c r="AX318" s="172">
        <f>IF(K318=$K$50,0,IF(K318=$K$53,0,IF(K318=$K$54,0,IF(K318=$K$55,0,IF(K318=$K$56,0,IF(K318=$K$57,0,IF(K318=$K$58,0,IF(K318=$K$65,0,IF(K318=$K$66,0,IF(K318=$K$67,0,IF(K318=$K$68,0,IF(K318=$K$69,0,IF(K318=$K$51,0,1))))))))))))*AM318*AJ318*$AX$94)</f>
        <v>0</v>
      </c>
      <c r="AY318" s="172">
        <f>IF(K318=$K$53,0,IF(K318=$K$54,0,IF(K318=$K$55,0,IF(K318=$K$56,0,IF(K318=$K$58,0,IF(K318=$K$50,0,IF(K318=$K$65,0,IF(K318=$K$57,0,IF(K318=$K$51,0,AM318*$AY$102)))))))))</f>
        <v>107.39290320000002</v>
      </c>
      <c r="AZ318" s="172">
        <f>IF(K318=$K$53,0,IF(K318=$K$54,0,IF(K318=$K$55,0,IF(K318=$K$56,0,IF(K318=$K$58,0,IF(K318=$K$50,0,IF(K318=$K$65,0,IF(K318=$K$57,0,IF(K318=$K$51,0,AM318*$AZ$102)))))))))</f>
        <v>494.65822080000004</v>
      </c>
      <c r="BA318" s="172">
        <f t="shared" si="69"/>
        <v>602.05112400000007</v>
      </c>
      <c r="BB318" s="173">
        <f>IF($BA$97=1,AQ318*$BB$102,IF(K318=$K$50,0,IF(K318=$K$53,0,IF(K318=$K$54,0,IF(K318=$K$55,0,IF(K318=$K$56,0,IF(K318=$K$57,0,IF(K318=$K$58,0,IF(K318=$K$65,0,IF(K318=$K$66,0,IF(K318=$K$67,0,IF(K318=$K$68,0,IF(K318=$K$69,0,IF(K318=$K$51,0,1)))))))))))*AQ318*$BB$102)))</f>
        <v>0</v>
      </c>
      <c r="BC318" s="172">
        <f t="shared" si="70"/>
        <v>51.31971237472591</v>
      </c>
      <c r="BD318" s="172">
        <f t="shared" si="71"/>
        <v>236.86021096027341</v>
      </c>
      <c r="BE318" s="172">
        <f>IF($BE$95=I318,$BE$97,IF(I318=$BE$96,$BE$97,1))*($BE$102*AQ318)*$AZ$97</f>
        <v>0</v>
      </c>
      <c r="BF318" s="172">
        <f>IF('[1]Cockpit Retorno'!$C$65=Sim,Mestre!BA318,SUM(BB318:BE318)+(IF(K318=$K$56,AQ318*MOE_IRRF_LR,0)))</f>
        <v>288.17992333499933</v>
      </c>
      <c r="BG318" s="174">
        <f>IF(AA318&gt;0,0,IF(Z318=$Z$82,AG318*1,(IF(Z318=$Z$81,AG318*1,0))))</f>
        <v>0</v>
      </c>
      <c r="BH318" s="174">
        <f>IF(AA318&gt;0,0,IF(Z318=$Z$83,AG318*1,IF(Z318=$Z$81,AG318*1,0)))</f>
        <v>0</v>
      </c>
      <c r="BI318" s="174">
        <f>IF(AA318&gt;0,0,IF(Z318=$Z$84,AG318*1,IF(Z318=$Z$93,AG318*2,IF(Z318=$Z$100,AG318,IF(Z318=$Z$81,AG318*2,IF(Z318=$Z$80,AG318*1,IF(Z318=$Z$79,AG318*3,IF(Z318=$Z$78,AG318*2,0))))))))</f>
        <v>0</v>
      </c>
      <c r="BJ318" s="174">
        <f>IF(AA318&gt;0,0,IF(Z318=$Z$85,AG318,IF(Z318=$Z$93,AG318,IF(Z318=$Z$100,AG318,IF(Z318=$Z$81,AG318*1,IF(Z318=$Z$80,AG318*2,IF(Z318=$Z$79,AG318*2,IF(Z318=$Z$78,AG318*2,0))))))))</f>
        <v>0</v>
      </c>
      <c r="BK318" s="174">
        <f>IF(AA318&gt;0,0,IF(Z318=$Z$92,AG318,0))</f>
        <v>0</v>
      </c>
      <c r="BL318" s="174">
        <f>IF(AA318&gt;0,0,IF(Z318=$Z$91,AG318,0))</f>
        <v>0</v>
      </c>
      <c r="BM318" s="174">
        <f>IF(AA318&gt;0,0,IF(Z318=$Z$86,AG318,0))</f>
        <v>0</v>
      </c>
      <c r="BN318" s="174">
        <f>IF(AA318&gt;0,0,IF(Z318=$Z$87,AG318,0))</f>
        <v>0</v>
      </c>
      <c r="BO318" s="174">
        <f>IF(AA318&gt;0,0,IF(Z318=$Z$88,AG318,0))</f>
        <v>0</v>
      </c>
      <c r="BP318" s="174">
        <f>IF(AA318&gt;0,0,IF(Z318=$Z$89,AG318,0))</f>
        <v>0</v>
      </c>
      <c r="BQ318" s="174">
        <f>IF(AA318&gt;0,0,IF(Z318=$Z$90,AG318,0))</f>
        <v>0</v>
      </c>
      <c r="BR318" s="174">
        <f>IF(Z318=$Z$82,AA318*AG318,0)</f>
        <v>0</v>
      </c>
      <c r="BS318" s="174">
        <f>IF(Z318=$Z$83,AA318*AG318,0)</f>
        <v>0</v>
      </c>
      <c r="BT318" s="174">
        <f>IF(AA318&lt;1,0,IF(Z318=$Z$84,AA318*AG318,IF(Z318=$Z$93,"ERRO",IF(Z318=$Z$100,"ERRO",0))))</f>
        <v>0</v>
      </c>
      <c r="BU318" s="174">
        <f>IF(AA318&lt;1,0,IF(Z318=$Z$85,AA318*AG318,IF(Z318=$Z$93,"ERRO",IF(Z318=$Z$100,"ERRO",0))))</f>
        <v>0</v>
      </c>
      <c r="BV318" s="174">
        <f>IF(Z318=$Z$92,AA318*AG318,0)</f>
        <v>0</v>
      </c>
      <c r="BW318" s="174">
        <f>IF(Z318=$Z$91,AA318*AG318,0)</f>
        <v>0</v>
      </c>
      <c r="BX318" s="174">
        <f>IF(Z318=$Z$86,AA318*AG318,0)</f>
        <v>0</v>
      </c>
      <c r="BY318" s="174">
        <f>IF(Z318=$Z$87,AA318*AG318,0)</f>
        <v>0</v>
      </c>
      <c r="BZ318" s="174">
        <f>IF(Z318=$Z$88,AA318*AG318,0)</f>
        <v>0</v>
      </c>
      <c r="CA318" s="174">
        <f>IF(Z318=$Z$89,AA318*AG318,0)</f>
        <v>0</v>
      </c>
      <c r="CB318" s="174">
        <f>IF(Z318=$Z$90,AA318*AG318,0)</f>
        <v>0</v>
      </c>
      <c r="CC318" s="175">
        <f>IFERROR(IF(L318=$L$49,AG318*AH318*(1+AI318)*(1-AK318)*(1-AL318),0),0)</f>
        <v>0</v>
      </c>
      <c r="CD318" s="212">
        <f>IF(I318=$CD$97,1,IF(I318=$CD$100,2,IF(K318=$K$66,1,IF(K318=$K$69,1,3))))</f>
        <v>1</v>
      </c>
      <c r="CE318" s="212">
        <f t="shared" si="14"/>
        <v>1.07</v>
      </c>
      <c r="CF318" s="213">
        <f t="shared" si="54"/>
        <v>1.2353999999999998</v>
      </c>
      <c r="CG318" s="212">
        <f t="shared" si="15"/>
        <v>1.42</v>
      </c>
      <c r="CH318" s="213">
        <f t="shared" si="55"/>
        <v>1.5478000000000001</v>
      </c>
      <c r="CI318" s="212">
        <f t="shared" si="16"/>
        <v>1.7</v>
      </c>
      <c r="CJ318" s="214">
        <f t="shared" si="56"/>
        <v>1.0486</v>
      </c>
      <c r="CK318" s="214">
        <f t="shared" si="57"/>
        <v>1.148922</v>
      </c>
      <c r="CL318" s="214">
        <f t="shared" si="58"/>
        <v>1.3915999999999999</v>
      </c>
      <c r="CM318" s="214">
        <f t="shared" si="59"/>
        <v>1.501366</v>
      </c>
      <c r="CN318" s="215">
        <f t="shared" si="60"/>
        <v>1.6319999999999999</v>
      </c>
      <c r="CO318" s="213">
        <f t="shared" si="61"/>
        <v>1.006656</v>
      </c>
      <c r="CP318" s="216">
        <f t="shared" si="62"/>
        <v>-313.87120066500074</v>
      </c>
      <c r="CQ318" s="217">
        <f t="shared" si="63"/>
        <v>8209.2115660074487</v>
      </c>
      <c r="CR318" s="218">
        <f t="shared" si="72"/>
        <v>288.17992333499933</v>
      </c>
      <c r="CS318" s="49"/>
      <c r="CT318" s="49"/>
      <c r="CU318" s="49"/>
      <c r="CV318" s="49"/>
      <c r="CW318" s="49"/>
      <c r="CX318" s="49"/>
      <c r="CY318" s="49"/>
      <c r="CZ318" s="49"/>
      <c r="DA318" s="49"/>
      <c r="DB318" s="49"/>
      <c r="DC318" s="49"/>
      <c r="DD318" s="49"/>
      <c r="DE318" s="49"/>
      <c r="DF318" s="49"/>
      <c r="DG318" s="49"/>
      <c r="DH318" s="49"/>
      <c r="DI318" s="49"/>
      <c r="DJ318" s="49"/>
      <c r="DK318" s="49"/>
      <c r="DL318" s="49"/>
      <c r="DM318" s="49"/>
      <c r="DN318" s="49"/>
      <c r="DO318" s="49"/>
      <c r="DP318" s="49"/>
      <c r="DQ318" s="49"/>
      <c r="DR318" s="49"/>
      <c r="DS318" s="49"/>
      <c r="DT318" s="49"/>
      <c r="DU318" s="49"/>
      <c r="DV318" s="49"/>
      <c r="DW318" s="49"/>
      <c r="DX318" s="49"/>
      <c r="DY318" s="49"/>
      <c r="DZ318" s="49"/>
      <c r="EA318" s="49"/>
      <c r="EB318" s="49"/>
      <c r="EC318" s="49"/>
      <c r="ED318" s="49"/>
      <c r="EE318" s="49"/>
      <c r="EF318" s="49"/>
      <c r="EG318" s="49"/>
      <c r="EH318" s="49"/>
      <c r="EI318" s="49"/>
      <c r="EJ318" s="49"/>
      <c r="EK318" s="49"/>
      <c r="EL318" s="49"/>
      <c r="EM318" s="49"/>
      <c r="EN318" s="49"/>
      <c r="EO318" s="49"/>
      <c r="EP318" s="49"/>
      <c r="EQ318" s="49"/>
      <c r="ER318" s="49"/>
      <c r="ES318" s="49"/>
      <c r="ET318" s="49"/>
      <c r="EU318" s="49"/>
      <c r="EV318" s="49"/>
      <c r="EW318" s="49"/>
      <c r="EX318" s="49"/>
      <c r="EY318" s="49"/>
      <c r="EZ318" s="49"/>
      <c r="FA318" s="49"/>
    </row>
    <row r="319" spans="1:157" s="210" customFormat="1" ht="51" x14ac:dyDescent="0.25">
      <c r="A319" s="113">
        <f>IF(AND('[1]Cockpit Retorno'!$E$67=Sim,Mestre!M319=Mestre!$M$98),0,1)</f>
        <v>1</v>
      </c>
      <c r="B319" s="113">
        <f>IF(AND('[1]Cockpit Retorno'!$E$67=Sim,Mestre!L319=Mestre!$L$48),0,1)</f>
        <v>1</v>
      </c>
      <c r="C319" s="113">
        <f>IF(AND('[1]Cockpit Retorno'!$E$67=Sim,Mestre!M319=Mestre!$M$97),0,1)</f>
        <v>1</v>
      </c>
      <c r="D319" s="148" t="s">
        <v>7</v>
      </c>
      <c r="E319" s="115"/>
      <c r="F319" s="116" t="s">
        <v>107</v>
      </c>
      <c r="G319" s="149">
        <v>11</v>
      </c>
      <c r="H319" s="150" t="s">
        <v>7</v>
      </c>
      <c r="I319" s="151" t="str">
        <f t="shared" si="65"/>
        <v>Mercadorias</v>
      </c>
      <c r="J319" s="150" t="s">
        <v>15</v>
      </c>
      <c r="K319" s="151" t="s">
        <v>7</v>
      </c>
      <c r="L319" s="153" t="s">
        <v>21</v>
      </c>
      <c r="M319" s="154" t="s">
        <v>411</v>
      </c>
      <c r="N319" s="155" t="s">
        <v>472</v>
      </c>
      <c r="O319" s="155" t="s">
        <v>412</v>
      </c>
      <c r="P319" s="155" t="s">
        <v>43</v>
      </c>
      <c r="Q319" s="155" t="s">
        <v>43</v>
      </c>
      <c r="R319" s="155" t="s">
        <v>43</v>
      </c>
      <c r="S319" s="156" t="s">
        <v>43</v>
      </c>
      <c r="T319" s="156" t="s">
        <v>43</v>
      </c>
      <c r="U319" s="150" t="s">
        <v>43</v>
      </c>
      <c r="V319" s="150" t="s">
        <v>43</v>
      </c>
      <c r="W319" s="150" t="s">
        <v>43</v>
      </c>
      <c r="X319" s="157" t="s">
        <v>478</v>
      </c>
      <c r="Y319" s="150" t="s">
        <v>43</v>
      </c>
      <c r="Z319" s="150" t="s">
        <v>43</v>
      </c>
      <c r="AA319" s="150">
        <v>0</v>
      </c>
      <c r="AB319" s="155" t="s">
        <v>43</v>
      </c>
      <c r="AC319" s="150" t="s">
        <v>43</v>
      </c>
      <c r="AD319" s="155" t="s">
        <v>43</v>
      </c>
      <c r="AE319" s="155"/>
      <c r="AF319" s="150" t="s">
        <v>43</v>
      </c>
      <c r="AG319" s="159">
        <f>AG318*2</f>
        <v>136</v>
      </c>
      <c r="AH319" s="211">
        <v>49.103999999999999</v>
      </c>
      <c r="AI319" s="202">
        <v>0</v>
      </c>
      <c r="AJ319" s="161">
        <v>0.12</v>
      </c>
      <c r="AK319" s="162"/>
      <c r="AL319" s="163"/>
      <c r="AM319" s="164">
        <f>(((IF(L319=$L$101,1,IF(L319=$L$47,1,0))*(AH319*(1-AK319)))*AG319)*(1-AL319))</f>
        <v>0</v>
      </c>
      <c r="AN319" s="165">
        <f>IF(K319=$K$50,AM319,IF(K319=$K$53,AM319,IF(K319=$K$54,AM319,IF(K319=$K$55,AM319,IF(K319=$K$56,AM319,IF(K319=$K$57,AM319,IF(K319=$K$58,AM319,IF(K319=$K$65,AM319,IF(K319=$K$66,AM319,IF(K319=$K$67,AM319,IF(K319=$K$68,AM319,IF(K319=$K$69,AM319,IF(K319=$K$51,AM319,(AM319*(1+AI319)))))))))))))))</f>
        <v>0</v>
      </c>
      <c r="AO319" s="166">
        <v>1.4</v>
      </c>
      <c r="AP319" s="160">
        <f t="shared" si="66"/>
        <v>0</v>
      </c>
      <c r="AQ319" s="167">
        <f t="shared" si="74"/>
        <v>0</v>
      </c>
      <c r="AR319" s="160">
        <f t="shared" si="67"/>
        <v>0</v>
      </c>
      <c r="AS319" s="168">
        <f t="shared" si="68"/>
        <v>0</v>
      </c>
      <c r="AT319" s="169" t="str">
        <f>K319</f>
        <v>MI</v>
      </c>
      <c r="AU319" s="169" t="str">
        <f>I319</f>
        <v>Mercadorias</v>
      </c>
      <c r="AV319" s="170"/>
      <c r="AW319" s="171">
        <f>IF(K319=$K$50,0,IF(K319=$K$53,0,IF(K319=$K$54,0,IF(K319=$K$55,0,IF(K319=$K$56,0,IF(K319=$K$57,0,IF(K319=$K$58,0,IF(K319=$K$65,0,IF(K319=$K$66,0,IF(K319=$K$67,0,IF(K319=$K$68,0,IF(K319=$K$69,0,IF(K319=$K$51,0,1))))))))))))*AM319*AI319)</f>
        <v>0</v>
      </c>
      <c r="AX319" s="172">
        <f>IF(K319=$K$50,0,IF(K319=$K$53,0,IF(K319=$K$54,0,IF(K319=$K$55,0,IF(K319=$K$56,0,IF(K319=$K$57,0,IF(K319=$K$58,0,IF(K319=$K$65,0,IF(K319=$K$66,0,IF(K319=$K$67,0,IF(K319=$K$68,0,IF(K319=$K$69,0,IF(K319=$K$51,0,1))))))))))))*AM319*AJ319*$AX$94)</f>
        <v>0</v>
      </c>
      <c r="AY319" s="172">
        <f>IF(K319=$K$53,0,IF(K319=$K$54,0,IF(K319=$K$55,0,IF(K319=$K$56,0,IF(K319=$K$58,0,IF(K319=$K$50,0,IF(K319=$K$65,0,IF(K319=$K$57,0,IF(K319=$K$51,0,AM319*$AY$102)))))))))</f>
        <v>0</v>
      </c>
      <c r="AZ319" s="172">
        <f>IF(K319=$K$53,0,IF(K319=$K$54,0,IF(K319=$K$55,0,IF(K319=$K$56,0,IF(K319=$K$58,0,IF(K319=$K$50,0,IF(K319=$K$65,0,IF(K319=$K$57,0,IF(K319=$K$51,0,AM319*$AZ$102)))))))))</f>
        <v>0</v>
      </c>
      <c r="BA319" s="172">
        <f t="shared" si="69"/>
        <v>0</v>
      </c>
      <c r="BB319" s="173">
        <f>IF($BA$97=1,AQ319*$BB$102,IF(K319=$K$50,0,IF(K319=$K$53,0,IF(K319=$K$54,0,IF(K319=$K$55,0,IF(K319=$K$56,0,IF(K319=$K$57,0,IF(K319=$K$58,0,IF(K319=$K$65,0,IF(K319=$K$66,0,IF(K319=$K$67,0,IF(K319=$K$68,0,IF(K319=$K$69,0,IF(K319=$K$51,0,1)))))))))))*AQ319*$BB$102)))</f>
        <v>0</v>
      </c>
      <c r="BC319" s="172">
        <f t="shared" si="70"/>
        <v>0</v>
      </c>
      <c r="BD319" s="172">
        <f t="shared" si="71"/>
        <v>0</v>
      </c>
      <c r="BE319" s="172">
        <f>IF($BE$95=I319,$BE$97,IF(I319=$BE$96,$BE$97,1))*($BE$102*AQ319)*$AZ$97</f>
        <v>0</v>
      </c>
      <c r="BF319" s="172">
        <f>IF('[1]Cockpit Retorno'!$C$65=Sim,Mestre!BA319,SUM(BB319:BE319)+(IF(K319=$K$56,AQ319*MOE_IRRF_LR,0)))</f>
        <v>0</v>
      </c>
      <c r="BG319" s="174">
        <f>IF(AA319&gt;0,0,IF(Z319=$Z$82,AG319*1,(IF(Z319=$Z$81,AG319*1,0))))</f>
        <v>0</v>
      </c>
      <c r="BH319" s="174">
        <f>IF(AA319&gt;0,0,IF(Z319=$Z$83,AG319*1,IF(Z319=$Z$81,AG319*1,0)))</f>
        <v>0</v>
      </c>
      <c r="BI319" s="174">
        <f>IF(AA319&gt;0,0,IF(Z319=$Z$84,AG319*1,IF(Z319=$Z$93,AG319*2,IF(Z319=$Z$100,AG319,IF(Z319=$Z$81,AG319*2,IF(Z319=$Z$80,AG319*1,IF(Z319=$Z$79,AG319*3,IF(Z319=$Z$78,AG319*2,0))))))))</f>
        <v>0</v>
      </c>
      <c r="BJ319" s="174">
        <f>IF(AA319&gt;0,0,IF(Z319=$Z$85,AG319,IF(Z319=$Z$93,AG319,IF(Z319=$Z$100,AG319,IF(Z319=$Z$81,AG319*1,IF(Z319=$Z$80,AG319*2,IF(Z319=$Z$79,AG319*2,IF(Z319=$Z$78,AG319*2,0))))))))</f>
        <v>0</v>
      </c>
      <c r="BK319" s="174">
        <f>IF(AA319&gt;0,0,IF(Z319=$Z$92,AG319,0))</f>
        <v>0</v>
      </c>
      <c r="BL319" s="174">
        <f>IF(AA319&gt;0,0,IF(Z319=$Z$91,AG319,0))</f>
        <v>0</v>
      </c>
      <c r="BM319" s="174">
        <f>IF(AA319&gt;0,0,IF(Z319=$Z$86,AG319,0))</f>
        <v>0</v>
      </c>
      <c r="BN319" s="174">
        <f>IF(AA319&gt;0,0,IF(Z319=$Z$87,AG319,0))</f>
        <v>0</v>
      </c>
      <c r="BO319" s="174">
        <f>IF(AA319&gt;0,0,IF(Z319=$Z$88,AG319,0))</f>
        <v>0</v>
      </c>
      <c r="BP319" s="174">
        <f>IF(AA319&gt;0,0,IF(Z319=$Z$89,AG319,0))</f>
        <v>0</v>
      </c>
      <c r="BQ319" s="174">
        <f>IF(AA319&gt;0,0,IF(Z319=$Z$90,AG319,0))</f>
        <v>0</v>
      </c>
      <c r="BR319" s="174">
        <f>IF(Z319=$Z$82,AA319*AG319,0)</f>
        <v>0</v>
      </c>
      <c r="BS319" s="174">
        <f>IF(Z319=$Z$83,AA319*AG319,0)</f>
        <v>0</v>
      </c>
      <c r="BT319" s="174">
        <f>IF(AA319&lt;1,0,IF(Z319=$Z$84,AA319*AG319,IF(Z319=$Z$93,"ERRO",IF(Z319=$Z$100,"ERRO",0))))</f>
        <v>0</v>
      </c>
      <c r="BU319" s="174">
        <f>IF(AA319&lt;1,0,IF(Z319=$Z$85,AA319*AG319,IF(Z319=$Z$93,"ERRO",IF(Z319=$Z$100,"ERRO",0))))</f>
        <v>0</v>
      </c>
      <c r="BV319" s="174">
        <f>IF(Z319=$Z$92,AA319*AG319,0)</f>
        <v>0</v>
      </c>
      <c r="BW319" s="174">
        <f>IF(Z319=$Z$91,AA319*AG319,0)</f>
        <v>0</v>
      </c>
      <c r="BX319" s="174">
        <f>IF(Z319=$Z$86,AA319*AG319,0)</f>
        <v>0</v>
      </c>
      <c r="BY319" s="174">
        <f>IF(Z319=$Z$87,AA319*AG319,0)</f>
        <v>0</v>
      </c>
      <c r="BZ319" s="174">
        <f>IF(Z319=$Z$88,AA319*AG319,0)</f>
        <v>0</v>
      </c>
      <c r="CA319" s="174">
        <f>IF(Z319=$Z$89,AA319*AG319,0)</f>
        <v>0</v>
      </c>
      <c r="CB319" s="174">
        <f>IF(Z319=$Z$90,AA319*AG319,0)</f>
        <v>0</v>
      </c>
      <c r="CC319" s="175">
        <f>IFERROR(IF(L319=$L$49,AG319*AH319*(1+AI319)*(1-AK319)*(1-AL319),0),0)</f>
        <v>6678.1440000000002</v>
      </c>
      <c r="CD319" s="212">
        <f>IF(I319=$CD$97,1,IF(I319=$CD$100,2,IF(K319=$K$66,1,IF(K319=$K$69,1,3))))</f>
        <v>1</v>
      </c>
      <c r="CE319" s="212">
        <f t="shared" si="14"/>
        <v>1.07</v>
      </c>
      <c r="CF319" s="213">
        <f t="shared" si="54"/>
        <v>1.2353999999999998</v>
      </c>
      <c r="CG319" s="212">
        <f t="shared" si="15"/>
        <v>1.42</v>
      </c>
      <c r="CH319" s="213">
        <f t="shared" si="55"/>
        <v>1.5478000000000001</v>
      </c>
      <c r="CI319" s="212">
        <f t="shared" si="16"/>
        <v>1.7</v>
      </c>
      <c r="CJ319" s="214">
        <f t="shared" si="56"/>
        <v>1.0486</v>
      </c>
      <c r="CK319" s="214">
        <f t="shared" si="57"/>
        <v>1.148922</v>
      </c>
      <c r="CL319" s="214">
        <f t="shared" si="58"/>
        <v>1.3915999999999999</v>
      </c>
      <c r="CM319" s="214">
        <f t="shared" si="59"/>
        <v>1.501366</v>
      </c>
      <c r="CN319" s="215">
        <f t="shared" si="60"/>
        <v>1.6319999999999999</v>
      </c>
      <c r="CO319" s="213">
        <f t="shared" si="61"/>
        <v>1.006656</v>
      </c>
      <c r="CP319" s="216">
        <f t="shared" si="62"/>
        <v>0</v>
      </c>
      <c r="CQ319" s="217">
        <f t="shared" si="63"/>
        <v>0</v>
      </c>
      <c r="CR319" s="218">
        <f t="shared" si="72"/>
        <v>0</v>
      </c>
      <c r="CS319" s="49"/>
      <c r="CT319" s="49"/>
      <c r="CU319" s="49"/>
      <c r="CV319" s="49"/>
      <c r="CW319" s="49"/>
      <c r="CX319" s="49"/>
      <c r="CY319" s="49"/>
      <c r="CZ319" s="49"/>
      <c r="DA319" s="49"/>
      <c r="DB319" s="49"/>
      <c r="DC319" s="49"/>
      <c r="DD319" s="49"/>
      <c r="DE319" s="49"/>
      <c r="DF319" s="49"/>
      <c r="DG319" s="49"/>
      <c r="DH319" s="49"/>
      <c r="DI319" s="49"/>
      <c r="DJ319" s="49"/>
      <c r="DK319" s="49"/>
      <c r="DL319" s="49"/>
      <c r="DM319" s="49"/>
      <c r="DN319" s="49"/>
      <c r="DO319" s="49"/>
      <c r="DP319" s="49"/>
      <c r="DQ319" s="49"/>
      <c r="DR319" s="49"/>
      <c r="DS319" s="49"/>
      <c r="DT319" s="49"/>
      <c r="DU319" s="49"/>
      <c r="DV319" s="49"/>
      <c r="DW319" s="49"/>
      <c r="DX319" s="49"/>
      <c r="DY319" s="49"/>
      <c r="DZ319" s="49"/>
      <c r="EA319" s="49"/>
      <c r="EB319" s="49"/>
      <c r="EC319" s="49"/>
      <c r="ED319" s="49"/>
      <c r="EE319" s="49"/>
      <c r="EF319" s="49"/>
      <c r="EG319" s="49"/>
      <c r="EH319" s="49"/>
      <c r="EI319" s="49"/>
      <c r="EJ319" s="49"/>
      <c r="EK319" s="49"/>
      <c r="EL319" s="49"/>
      <c r="EM319" s="49"/>
      <c r="EN319" s="49"/>
      <c r="EO319" s="49"/>
      <c r="EP319" s="49"/>
      <c r="EQ319" s="49"/>
      <c r="ER319" s="49"/>
      <c r="ES319" s="49"/>
      <c r="ET319" s="49"/>
      <c r="EU319" s="49"/>
      <c r="EV319" s="49"/>
      <c r="EW319" s="49"/>
      <c r="EX319" s="49"/>
      <c r="EY319" s="49"/>
      <c r="EZ319" s="49"/>
      <c r="FA319" s="49"/>
    </row>
    <row r="320" spans="1:157" s="210" customFormat="1" ht="25.5" x14ac:dyDescent="0.25">
      <c r="A320" s="113">
        <f>IF(AND('[1]Cockpit Retorno'!$E$67=Sim,Mestre!M320=Mestre!$M$98),0,1)</f>
        <v>1</v>
      </c>
      <c r="B320" s="113">
        <f>IF(AND('[1]Cockpit Retorno'!$E$67=Sim,Mestre!L320=Mestre!$L$48),0,1)</f>
        <v>1</v>
      </c>
      <c r="C320" s="113">
        <f>IF(AND('[1]Cockpit Retorno'!$E$67=Sim,Mestre!M320=Mestre!$M$97),0,1)</f>
        <v>1</v>
      </c>
      <c r="D320" s="148" t="s">
        <v>7</v>
      </c>
      <c r="E320" s="115"/>
      <c r="F320" s="116" t="s">
        <v>107</v>
      </c>
      <c r="G320" s="149">
        <v>2</v>
      </c>
      <c r="H320" s="150" t="s">
        <v>7</v>
      </c>
      <c r="I320" s="151" t="str">
        <f t="shared" si="65"/>
        <v>Mercadorias</v>
      </c>
      <c r="J320" s="150" t="s">
        <v>15</v>
      </c>
      <c r="K320" s="151" t="s">
        <v>7</v>
      </c>
      <c r="L320" s="153" t="s">
        <v>21</v>
      </c>
      <c r="M320" s="154" t="s">
        <v>361</v>
      </c>
      <c r="N320" s="155" t="s">
        <v>472</v>
      </c>
      <c r="O320" s="155" t="s">
        <v>363</v>
      </c>
      <c r="P320" s="155" t="s">
        <v>43</v>
      </c>
      <c r="Q320" s="155" t="s">
        <v>43</v>
      </c>
      <c r="R320" s="155" t="s">
        <v>43</v>
      </c>
      <c r="S320" s="156" t="s">
        <v>43</v>
      </c>
      <c r="T320" s="156" t="s">
        <v>43</v>
      </c>
      <c r="U320" s="150" t="s">
        <v>43</v>
      </c>
      <c r="V320" s="150" t="s">
        <v>43</v>
      </c>
      <c r="W320" s="150" t="s">
        <v>43</v>
      </c>
      <c r="X320" s="157" t="s">
        <v>479</v>
      </c>
      <c r="Y320" s="150" t="s">
        <v>43</v>
      </c>
      <c r="Z320" s="150" t="s">
        <v>43</v>
      </c>
      <c r="AA320" s="150">
        <v>0</v>
      </c>
      <c r="AB320" s="155" t="s">
        <v>43</v>
      </c>
      <c r="AC320" s="150" t="s">
        <v>43</v>
      </c>
      <c r="AD320" s="155" t="s">
        <v>43</v>
      </c>
      <c r="AE320" s="155"/>
      <c r="AF320" s="150" t="s">
        <v>43</v>
      </c>
      <c r="AG320" s="159">
        <f>[1]Típicos!I43*Mestre!AG318</f>
        <v>513.40000000000009</v>
      </c>
      <c r="AH320" s="159">
        <v>6.2310000000000008</v>
      </c>
      <c r="AI320" s="202">
        <v>0</v>
      </c>
      <c r="AJ320" s="161">
        <v>0.12</v>
      </c>
      <c r="AK320" s="162"/>
      <c r="AL320" s="163"/>
      <c r="AM320" s="164">
        <f>(((IF(L320=$L$101,1,IF(L320=$L$47,1,0))*(AH320*(1-AK320)))*AG320)*(1-AL320))</f>
        <v>0</v>
      </c>
      <c r="AN320" s="165">
        <f>IF(K320=$K$50,AM320,IF(K320=$K$53,AM320,IF(K320=$K$54,AM320,IF(K320=$K$55,AM320,IF(K320=$K$56,AM320,IF(K320=$K$57,AM320,IF(K320=$K$58,AM320,IF(K320=$K$65,AM320,IF(K320=$K$66,AM320,IF(K320=$K$67,AM320,IF(K320=$K$68,AM320,IF(K320=$K$69,AM320,IF(K320=$K$51,AM320,(AM320*(1+AI320)))))))))))))))</f>
        <v>0</v>
      </c>
      <c r="AO320" s="166">
        <v>1.4</v>
      </c>
      <c r="AP320" s="160">
        <f t="shared" si="66"/>
        <v>0</v>
      </c>
      <c r="AQ320" s="167">
        <f t="shared" si="74"/>
        <v>0</v>
      </c>
      <c r="AR320" s="160">
        <f t="shared" si="67"/>
        <v>0</v>
      </c>
      <c r="AS320" s="168">
        <f t="shared" si="68"/>
        <v>0</v>
      </c>
      <c r="AT320" s="169" t="str">
        <f>K320</f>
        <v>MI</v>
      </c>
      <c r="AU320" s="169" t="str">
        <f>I320</f>
        <v>Mercadorias</v>
      </c>
      <c r="AV320" s="170"/>
      <c r="AW320" s="171">
        <f>IF(K320=$K$50,0,IF(K320=$K$53,0,IF(K320=$K$54,0,IF(K320=$K$55,0,IF(K320=$K$56,0,IF(K320=$K$57,0,IF(K320=$K$58,0,IF(K320=$K$65,0,IF(K320=$K$66,0,IF(K320=$K$67,0,IF(K320=$K$68,0,IF(K320=$K$69,0,IF(K320=$K$51,0,1))))))))))))*AM320*AI320)</f>
        <v>0</v>
      </c>
      <c r="AX320" s="172">
        <f>IF(K320=$K$50,0,IF(K320=$K$53,0,IF(K320=$K$54,0,IF(K320=$K$55,0,IF(K320=$K$56,0,IF(K320=$K$57,0,IF(K320=$K$58,0,IF(K320=$K$65,0,IF(K320=$K$66,0,IF(K320=$K$67,0,IF(K320=$K$68,0,IF(K320=$K$69,0,IF(K320=$K$51,0,1))))))))))))*AM320*AJ320*$AX$94)</f>
        <v>0</v>
      </c>
      <c r="AY320" s="172">
        <f>IF(K320=$K$53,0,IF(K320=$K$54,0,IF(K320=$K$55,0,IF(K320=$K$56,0,IF(K320=$K$58,0,IF(K320=$K$50,0,IF(K320=$K$65,0,IF(K320=$K$57,0,IF(K320=$K$51,0,AM320*$AY$102)))))))))</f>
        <v>0</v>
      </c>
      <c r="AZ320" s="172">
        <f>IF(K320=$K$53,0,IF(K320=$K$54,0,IF(K320=$K$55,0,IF(K320=$K$56,0,IF(K320=$K$58,0,IF(K320=$K$50,0,IF(K320=$K$65,0,IF(K320=$K$57,0,IF(K320=$K$51,0,AM320*$AZ$102)))))))))</f>
        <v>0</v>
      </c>
      <c r="BA320" s="172">
        <f t="shared" si="69"/>
        <v>0</v>
      </c>
      <c r="BB320" s="173">
        <f>IF($BA$97=1,AQ320*$BB$102,IF(K320=$K$50,0,IF(K320=$K$53,0,IF(K320=$K$54,0,IF(K320=$K$55,0,IF(K320=$K$56,0,IF(K320=$K$57,0,IF(K320=$K$58,0,IF(K320=$K$65,0,IF(K320=$K$66,0,IF(K320=$K$67,0,IF(K320=$K$68,0,IF(K320=$K$69,0,IF(K320=$K$51,0,1)))))))))))*AQ320*$BB$102)))</f>
        <v>0</v>
      </c>
      <c r="BC320" s="172">
        <f t="shared" si="70"/>
        <v>0</v>
      </c>
      <c r="BD320" s="172">
        <f t="shared" si="71"/>
        <v>0</v>
      </c>
      <c r="BE320" s="172">
        <f>IF($BE$95=I320,$BE$97,IF(I320=$BE$96,$BE$97,1))*($BE$102*AQ320)*$AZ$97</f>
        <v>0</v>
      </c>
      <c r="BF320" s="172">
        <f>IF('[1]Cockpit Retorno'!$C$65=Sim,Mestre!BA320,SUM(BB320:BE320)+(IF(K320=$K$56,AQ320*MOE_IRRF_LR,0)))</f>
        <v>0</v>
      </c>
      <c r="BG320" s="174">
        <f>IF(AA320&gt;0,0,IF(Z320=$Z$82,AG320*1,(IF(Z320=$Z$81,AG320*1,0))))</f>
        <v>0</v>
      </c>
      <c r="BH320" s="174">
        <f>IF(AA320&gt;0,0,IF(Z320=$Z$83,AG320*1,IF(Z320=$Z$81,AG320*1,0)))</f>
        <v>0</v>
      </c>
      <c r="BI320" s="174">
        <f>IF(AA320&gt;0,0,IF(Z320=$Z$84,AG320*1,IF(Z320=$Z$93,AG320*2,IF(Z320=$Z$100,AG320,IF(Z320=$Z$81,AG320*2,IF(Z320=$Z$80,AG320*1,IF(Z320=$Z$79,AG320*3,IF(Z320=$Z$78,AG320*2,0))))))))</f>
        <v>0</v>
      </c>
      <c r="BJ320" s="174">
        <f>IF(AA320&gt;0,0,IF(Z320=$Z$85,AG320,IF(Z320=$Z$93,AG320,IF(Z320=$Z$100,AG320,IF(Z320=$Z$81,AG320*1,IF(Z320=$Z$80,AG320*2,IF(Z320=$Z$79,AG320*2,IF(Z320=$Z$78,AG320*2,0))))))))</f>
        <v>0</v>
      </c>
      <c r="BK320" s="174">
        <f>IF(AA320&gt;0,0,IF(Z320=$Z$92,AG320,0))</f>
        <v>0</v>
      </c>
      <c r="BL320" s="174">
        <f>IF(AA320&gt;0,0,IF(Z320=$Z$91,AG320,0))</f>
        <v>0</v>
      </c>
      <c r="BM320" s="174">
        <f>IF(AA320&gt;0,0,IF(Z320=$Z$86,AG320,0))</f>
        <v>0</v>
      </c>
      <c r="BN320" s="174">
        <f>IF(AA320&gt;0,0,IF(Z320=$Z$87,AG320,0))</f>
        <v>0</v>
      </c>
      <c r="BO320" s="174">
        <f>IF(AA320&gt;0,0,IF(Z320=$Z$88,AG320,0))</f>
        <v>0</v>
      </c>
      <c r="BP320" s="174">
        <f>IF(AA320&gt;0,0,IF(Z320=$Z$89,AG320,0))</f>
        <v>0</v>
      </c>
      <c r="BQ320" s="174">
        <f>IF(AA320&gt;0,0,IF(Z320=$Z$90,AG320,0))</f>
        <v>0</v>
      </c>
      <c r="BR320" s="174">
        <f>IF(Z320=$Z$82,AA320*AG320,0)</f>
        <v>0</v>
      </c>
      <c r="BS320" s="174">
        <f>IF(Z320=$Z$83,AA320*AG320,0)</f>
        <v>0</v>
      </c>
      <c r="BT320" s="174">
        <f>IF(AA320&lt;1,0,IF(Z320=$Z$84,AA320*AG320,IF(Z320=$Z$93,"ERRO",IF(Z320=$Z$100,"ERRO",0))))</f>
        <v>0</v>
      </c>
      <c r="BU320" s="174">
        <f>IF(AA320&lt;1,0,IF(Z320=$Z$85,AA320*AG320,IF(Z320=$Z$93,"ERRO",IF(Z320=$Z$100,"ERRO",0))))</f>
        <v>0</v>
      </c>
      <c r="BV320" s="174">
        <f>IF(Z320=$Z$92,AA320*AG320,0)</f>
        <v>0</v>
      </c>
      <c r="BW320" s="174">
        <f>IF(Z320=$Z$91,AA320*AG320,0)</f>
        <v>0</v>
      </c>
      <c r="BX320" s="174">
        <f>IF(Z320=$Z$86,AA320*AG320,0)</f>
        <v>0</v>
      </c>
      <c r="BY320" s="174">
        <f>IF(Z320=$Z$87,AA320*AG320,0)</f>
        <v>0</v>
      </c>
      <c r="BZ320" s="174">
        <f>IF(Z320=$Z$88,AA320*AG320,0)</f>
        <v>0</v>
      </c>
      <c r="CA320" s="174">
        <f>IF(Z320=$Z$89,AA320*AG320,0)</f>
        <v>0</v>
      </c>
      <c r="CB320" s="174">
        <f>IF(Z320=$Z$90,AA320*AG320,0)</f>
        <v>0</v>
      </c>
      <c r="CC320" s="175">
        <f>IFERROR(IF(L320=$L$49,AG320*AH320*(1+AI320)*(1-AK320)*(1-AL320),0),0)</f>
        <v>3198.9954000000012</v>
      </c>
      <c r="CD320" s="212">
        <f>IF(I320=$CD$97,1,IF(I320=$CD$100,2,IF(K320=$K$66,1,IF(K320=$K$69,1,3))))</f>
        <v>1</v>
      </c>
      <c r="CE320" s="212">
        <f t="shared" si="14"/>
        <v>1.07</v>
      </c>
      <c r="CF320" s="213">
        <f t="shared" si="54"/>
        <v>1.2353999999999998</v>
      </c>
      <c r="CG320" s="212">
        <f t="shared" si="15"/>
        <v>1.42</v>
      </c>
      <c r="CH320" s="213">
        <f t="shared" si="55"/>
        <v>1.5478000000000001</v>
      </c>
      <c r="CI320" s="212">
        <f t="shared" si="16"/>
        <v>1.7</v>
      </c>
      <c r="CJ320" s="214">
        <f t="shared" si="56"/>
        <v>1.0486</v>
      </c>
      <c r="CK320" s="214">
        <f t="shared" si="57"/>
        <v>1.148922</v>
      </c>
      <c r="CL320" s="214">
        <f t="shared" si="58"/>
        <v>1.3915999999999999</v>
      </c>
      <c r="CM320" s="214">
        <f t="shared" si="59"/>
        <v>1.501366</v>
      </c>
      <c r="CN320" s="215">
        <f t="shared" si="60"/>
        <v>1.6319999999999999</v>
      </c>
      <c r="CO320" s="213">
        <f t="shared" si="61"/>
        <v>1.006656</v>
      </c>
      <c r="CP320" s="216">
        <f t="shared" si="62"/>
        <v>0</v>
      </c>
      <c r="CQ320" s="217">
        <f t="shared" si="63"/>
        <v>0</v>
      </c>
      <c r="CR320" s="218">
        <f t="shared" si="72"/>
        <v>0</v>
      </c>
      <c r="CS320" s="49"/>
      <c r="CT320" s="49"/>
      <c r="CU320" s="49"/>
      <c r="CV320" s="49"/>
      <c r="CW320" s="49"/>
      <c r="CX320" s="49"/>
      <c r="CY320" s="49"/>
      <c r="CZ320" s="49"/>
      <c r="DA320" s="49"/>
      <c r="DB320" s="49"/>
      <c r="DC320" s="49"/>
      <c r="DD320" s="49"/>
      <c r="DE320" s="49"/>
      <c r="DF320" s="49"/>
      <c r="DG320" s="49"/>
      <c r="DH320" s="49"/>
      <c r="DI320" s="49"/>
      <c r="DJ320" s="49"/>
      <c r="DK320" s="49"/>
      <c r="DL320" s="49"/>
      <c r="DM320" s="49"/>
      <c r="DN320" s="49"/>
      <c r="DO320" s="49"/>
      <c r="DP320" s="49"/>
      <c r="DQ320" s="49"/>
      <c r="DR320" s="49"/>
      <c r="DS320" s="49"/>
      <c r="DT320" s="49"/>
      <c r="DU320" s="49"/>
      <c r="DV320" s="49"/>
      <c r="DW320" s="49"/>
      <c r="DX320" s="49"/>
      <c r="DY320" s="49"/>
      <c r="DZ320" s="49"/>
      <c r="EA320" s="49"/>
      <c r="EB320" s="49"/>
      <c r="EC320" s="49"/>
      <c r="ED320" s="49"/>
      <c r="EE320" s="49"/>
      <c r="EF320" s="49"/>
      <c r="EG320" s="49"/>
      <c r="EH320" s="49"/>
      <c r="EI320" s="49"/>
      <c r="EJ320" s="49"/>
      <c r="EK320" s="49"/>
      <c r="EL320" s="49"/>
      <c r="EM320" s="49"/>
      <c r="EN320" s="49"/>
      <c r="EO320" s="49"/>
      <c r="EP320" s="49"/>
      <c r="EQ320" s="49"/>
      <c r="ER320" s="49"/>
      <c r="ES320" s="49"/>
      <c r="ET320" s="49"/>
      <c r="EU320" s="49"/>
      <c r="EV320" s="49"/>
      <c r="EW320" s="49"/>
      <c r="EX320" s="49"/>
      <c r="EY320" s="49"/>
      <c r="EZ320" s="49"/>
      <c r="FA320" s="49"/>
    </row>
    <row r="321" spans="1:157" s="210" customFormat="1" ht="25.5" x14ac:dyDescent="0.25">
      <c r="A321" s="113">
        <f>IF(AND('[1]Cockpit Retorno'!$E$67=Sim,Mestre!M321=Mestre!$M$98),0,1)</f>
        <v>1</v>
      </c>
      <c r="B321" s="113">
        <f>IF(AND('[1]Cockpit Retorno'!$E$67=Sim,Mestre!L321=Mestre!$L$48),0,1)</f>
        <v>0</v>
      </c>
      <c r="C321" s="113">
        <f>IF(AND('[1]Cockpit Retorno'!$E$67=Sim,Mestre!M321=Mestre!$M$97),0,1)</f>
        <v>1</v>
      </c>
      <c r="D321" s="148" t="s">
        <v>7</v>
      </c>
      <c r="E321" s="115"/>
      <c r="F321" s="116" t="s">
        <v>107</v>
      </c>
      <c r="G321" s="149">
        <v>68</v>
      </c>
      <c r="H321" s="150" t="s">
        <v>7</v>
      </c>
      <c r="I321" s="151" t="str">
        <f t="shared" si="65"/>
        <v>Mercadorias</v>
      </c>
      <c r="J321" s="150" t="s">
        <v>15</v>
      </c>
      <c r="K321" s="151" t="s">
        <v>7</v>
      </c>
      <c r="L321" s="153" t="s">
        <v>15</v>
      </c>
      <c r="M321" s="154" t="s">
        <v>465</v>
      </c>
      <c r="N321" s="155" t="s">
        <v>472</v>
      </c>
      <c r="O321" s="155" t="s">
        <v>473</v>
      </c>
      <c r="P321" s="155" t="s">
        <v>43</v>
      </c>
      <c r="Q321" s="155" t="s">
        <v>43</v>
      </c>
      <c r="R321" s="155" t="s">
        <v>43</v>
      </c>
      <c r="S321" s="156" t="s">
        <v>43</v>
      </c>
      <c r="T321" s="156" t="s">
        <v>43</v>
      </c>
      <c r="U321" s="150" t="s">
        <v>43</v>
      </c>
      <c r="V321" s="150" t="s">
        <v>43</v>
      </c>
      <c r="W321" s="150" t="s">
        <v>43</v>
      </c>
      <c r="X321" s="157" t="s">
        <v>480</v>
      </c>
      <c r="Y321" s="150" t="s">
        <v>43</v>
      </c>
      <c r="Z321" s="150" t="s">
        <v>43</v>
      </c>
      <c r="AA321" s="150">
        <v>0</v>
      </c>
      <c r="AB321" s="155" t="s">
        <v>43</v>
      </c>
      <c r="AC321" s="150" t="s">
        <v>43</v>
      </c>
      <c r="AD321" s="155" t="s">
        <v>43</v>
      </c>
      <c r="AE321" s="155"/>
      <c r="AF321" s="150" t="s">
        <v>43</v>
      </c>
      <c r="AG321" s="159">
        <v>41</v>
      </c>
      <c r="AH321" s="159">
        <v>191.69160000000002</v>
      </c>
      <c r="AI321" s="202">
        <v>0</v>
      </c>
      <c r="AJ321" s="161">
        <v>0.12</v>
      </c>
      <c r="AK321" s="162"/>
      <c r="AL321" s="163"/>
      <c r="AM321" s="164">
        <f>(((IF(L321=$L$101,1,IF(L321=$L$47,1,0))*(AH321*(1-AK321)))*AG321)*(1-AL321))</f>
        <v>7859.3556000000008</v>
      </c>
      <c r="AN321" s="165">
        <f>IF(K321=$K$50,AM321,IF(K321=$K$53,AM321,IF(K321=$K$54,AM321,IF(K321=$K$55,AM321,IF(K321=$K$56,AM321,IF(K321=$K$57,AM321,IF(K321=$K$58,AM321,IF(K321=$K$65,AM321,IF(K321=$K$66,AM321,IF(K321=$K$67,AM321,IF(K321=$K$68,AM321,IF(K321=$K$69,AM321,IF(K321=$K$51,AM321,(AM321*(1+AI321)))))))))))))))</f>
        <v>7859.3556000000008</v>
      </c>
      <c r="AO321" s="166">
        <v>1.4</v>
      </c>
      <c r="AP321" s="160">
        <f t="shared" si="66"/>
        <v>11003.09784</v>
      </c>
      <c r="AQ321" s="167">
        <f t="shared" si="74"/>
        <v>9533.802639440084</v>
      </c>
      <c r="AR321" s="160">
        <f t="shared" si="67"/>
        <v>11003.09784</v>
      </c>
      <c r="AS321" s="168">
        <f t="shared" si="68"/>
        <v>1.2612750638360883</v>
      </c>
      <c r="AT321" s="169" t="str">
        <f>K321</f>
        <v>MI</v>
      </c>
      <c r="AU321" s="169" t="str">
        <f>I321</f>
        <v>Mercadorias</v>
      </c>
      <c r="AV321" s="170"/>
      <c r="AW321" s="171">
        <f>IF(K321=$K$50,0,IF(K321=$K$53,0,IF(K321=$K$54,0,IF(K321=$K$55,0,IF(K321=$K$56,0,IF(K321=$K$57,0,IF(K321=$K$58,0,IF(K321=$K$65,0,IF(K321=$K$66,0,IF(K321=$K$67,0,IF(K321=$K$68,0,IF(K321=$K$69,0,IF(K321=$K$51,0,1))))))))))))*AM321*AI321)</f>
        <v>0</v>
      </c>
      <c r="AX321" s="172">
        <f>IF(K321=$K$50,0,IF(K321=$K$53,0,IF(K321=$K$54,0,IF(K321=$K$55,0,IF(K321=$K$56,0,IF(K321=$K$57,0,IF(K321=$K$58,0,IF(K321=$K$65,0,IF(K321=$K$66,0,IF(K321=$K$67,0,IF(K321=$K$68,0,IF(K321=$K$69,0,IF(K321=$K$51,0,1))))))))))))*AM321*AJ321*$AX$94)</f>
        <v>0</v>
      </c>
      <c r="AY321" s="172">
        <f>IF(K321=$K$53,0,IF(K321=$K$54,0,IF(K321=$K$55,0,IF(K321=$K$56,0,IF(K321=$K$58,0,IF(K321=$K$50,0,IF(K321=$K$65,0,IF(K321=$K$57,0,IF(K321=$K$51,0,AM321*$AY$102)))))))))</f>
        <v>129.67936740000002</v>
      </c>
      <c r="AZ321" s="172">
        <f>IF(K321=$K$53,0,IF(K321=$K$54,0,IF(K321=$K$55,0,IF(K321=$K$56,0,IF(K321=$K$58,0,IF(K321=$K$50,0,IF(K321=$K$65,0,IF(K321=$K$57,0,IF(K321=$K$51,0,AM321*$AZ$102)))))))))</f>
        <v>597.31102559999999</v>
      </c>
      <c r="BA321" s="172">
        <f t="shared" si="69"/>
        <v>726.99039300000004</v>
      </c>
      <c r="BB321" s="173">
        <f>IF($BA$97=1,AQ321*$BB$102,IF(K321=$K$50,0,IF(K321=$K$53,0,IF(K321=$K$54,0,IF(K321=$K$55,0,IF(K321=$K$56,0,IF(K321=$K$57,0,IF(K321=$K$58,0,IF(K321=$K$65,0,IF(K321=$K$66,0,IF(K321=$K$67,0,IF(K321=$K$68,0,IF(K321=$K$69,0,IF(K321=$K$51,0,1)))))))))))*AQ321*$BB$102)))</f>
        <v>0</v>
      </c>
      <c r="BC321" s="172">
        <f t="shared" si="70"/>
        <v>61.969717156360552</v>
      </c>
      <c r="BD321" s="172">
        <f t="shared" si="71"/>
        <v>286.01407918320251</v>
      </c>
      <c r="BE321" s="172">
        <f>IF($BE$95=I321,$BE$97,IF(I321=$BE$96,$BE$97,1))*($BE$102*AQ321)*$AZ$97</f>
        <v>0</v>
      </c>
      <c r="BF321" s="172">
        <f>IF('[1]Cockpit Retorno'!$C$65=Sim,Mestre!BA321,SUM(BB321:BE321)+(IF(K321=$K$56,AQ321*MOE_IRRF_LR,0)))</f>
        <v>347.98379633956307</v>
      </c>
      <c r="BG321" s="174">
        <f>IF(AA321&gt;0,0,IF(Z321=$Z$82,AG321*1,(IF(Z321=$Z$81,AG321*1,0))))</f>
        <v>0</v>
      </c>
      <c r="BH321" s="174">
        <f>IF(AA321&gt;0,0,IF(Z321=$Z$83,AG321*1,IF(Z321=$Z$81,AG321*1,0)))</f>
        <v>0</v>
      </c>
      <c r="BI321" s="174">
        <f>IF(AA321&gt;0,0,IF(Z321=$Z$84,AG321*1,IF(Z321=$Z$93,AG321*2,IF(Z321=$Z$100,AG321,IF(Z321=$Z$81,AG321*2,IF(Z321=$Z$80,AG321*1,IF(Z321=$Z$79,AG321*3,IF(Z321=$Z$78,AG321*2,0))))))))</f>
        <v>0</v>
      </c>
      <c r="BJ321" s="174">
        <f>IF(AA321&gt;0,0,IF(Z321=$Z$85,AG321,IF(Z321=$Z$93,AG321,IF(Z321=$Z$100,AG321,IF(Z321=$Z$81,AG321*1,IF(Z321=$Z$80,AG321*2,IF(Z321=$Z$79,AG321*2,IF(Z321=$Z$78,AG321*2,0))))))))</f>
        <v>0</v>
      </c>
      <c r="BK321" s="174">
        <f>IF(AA321&gt;0,0,IF(Z321=$Z$92,AG321,0))</f>
        <v>0</v>
      </c>
      <c r="BL321" s="174">
        <f>IF(AA321&gt;0,0,IF(Z321=$Z$91,AG321,0))</f>
        <v>0</v>
      </c>
      <c r="BM321" s="174">
        <f>IF(AA321&gt;0,0,IF(Z321=$Z$86,AG321,0))</f>
        <v>0</v>
      </c>
      <c r="BN321" s="174">
        <f>IF(AA321&gt;0,0,IF(Z321=$Z$87,AG321,0))</f>
        <v>0</v>
      </c>
      <c r="BO321" s="174">
        <f>IF(AA321&gt;0,0,IF(Z321=$Z$88,AG321,0))</f>
        <v>0</v>
      </c>
      <c r="BP321" s="174">
        <f>IF(AA321&gt;0,0,IF(Z321=$Z$89,AG321,0))</f>
        <v>0</v>
      </c>
      <c r="BQ321" s="174">
        <f>IF(AA321&gt;0,0,IF(Z321=$Z$90,AG321,0))</f>
        <v>0</v>
      </c>
      <c r="BR321" s="174">
        <f>IF(Z321=$Z$82,AA321*AG321,0)</f>
        <v>0</v>
      </c>
      <c r="BS321" s="174">
        <f>IF(Z321=$Z$83,AA321*AG321,0)</f>
        <v>0</v>
      </c>
      <c r="BT321" s="174">
        <f>IF(AA321&lt;1,0,IF(Z321=$Z$84,AA321*AG321,IF(Z321=$Z$93,"ERRO",IF(Z321=$Z$100,"ERRO",0))))</f>
        <v>0</v>
      </c>
      <c r="BU321" s="174">
        <f>IF(AA321&lt;1,0,IF(Z321=$Z$85,AA321*AG321,IF(Z321=$Z$93,"ERRO",IF(Z321=$Z$100,"ERRO",0))))</f>
        <v>0</v>
      </c>
      <c r="BV321" s="174">
        <f>IF(Z321=$Z$92,AA321*AG321,0)</f>
        <v>0</v>
      </c>
      <c r="BW321" s="174">
        <f>IF(Z321=$Z$91,AA321*AG321,0)</f>
        <v>0</v>
      </c>
      <c r="BX321" s="174">
        <f>IF(Z321=$Z$86,AA321*AG321,0)</f>
        <v>0</v>
      </c>
      <c r="BY321" s="174">
        <f>IF(Z321=$Z$87,AA321*AG321,0)</f>
        <v>0</v>
      </c>
      <c r="BZ321" s="174">
        <f>IF(Z321=$Z$88,AA321*AG321,0)</f>
        <v>0</v>
      </c>
      <c r="CA321" s="174">
        <f>IF(Z321=$Z$89,AA321*AG321,0)</f>
        <v>0</v>
      </c>
      <c r="CB321" s="174">
        <f>IF(Z321=$Z$90,AA321*AG321,0)</f>
        <v>0</v>
      </c>
      <c r="CC321" s="175">
        <f>IFERROR(IF(L321=$L$49,AG321*AH321*(1+AI321)*(1-AK321)*(1-AL321),0),0)</f>
        <v>0</v>
      </c>
      <c r="CD321" s="212">
        <f>IF(I321=$CD$97,1,IF(I321=$CD$100,2,IF(K321=$K$66,1,IF(K321=$K$69,1,3))))</f>
        <v>1</v>
      </c>
      <c r="CE321" s="212">
        <f t="shared" si="14"/>
        <v>1.07</v>
      </c>
      <c r="CF321" s="213">
        <f t="shared" si="54"/>
        <v>1.2353999999999998</v>
      </c>
      <c r="CG321" s="212">
        <f t="shared" si="15"/>
        <v>1.42</v>
      </c>
      <c r="CH321" s="213">
        <f t="shared" si="55"/>
        <v>1.5478000000000001</v>
      </c>
      <c r="CI321" s="212">
        <f t="shared" si="16"/>
        <v>1.7</v>
      </c>
      <c r="CJ321" s="214">
        <f t="shared" si="56"/>
        <v>1.0486</v>
      </c>
      <c r="CK321" s="214">
        <f t="shared" si="57"/>
        <v>1.148922</v>
      </c>
      <c r="CL321" s="214">
        <f t="shared" si="58"/>
        <v>1.3915999999999999</v>
      </c>
      <c r="CM321" s="214">
        <f t="shared" si="59"/>
        <v>1.501366</v>
      </c>
      <c r="CN321" s="215">
        <f t="shared" si="60"/>
        <v>1.6319999999999999</v>
      </c>
      <c r="CO321" s="213">
        <f t="shared" si="61"/>
        <v>1.006656</v>
      </c>
      <c r="CP321" s="216">
        <f t="shared" si="62"/>
        <v>-379.00659666043697</v>
      </c>
      <c r="CQ321" s="217">
        <f t="shared" si="63"/>
        <v>9912.8092361005201</v>
      </c>
      <c r="CR321" s="218">
        <f t="shared" si="72"/>
        <v>347.98379633956307</v>
      </c>
      <c r="CS321" s="49"/>
      <c r="CT321" s="49"/>
      <c r="CU321" s="49"/>
      <c r="CV321" s="49"/>
      <c r="CW321" s="49"/>
      <c r="CX321" s="49"/>
      <c r="CY321" s="49"/>
      <c r="CZ321" s="49"/>
      <c r="DA321" s="49"/>
      <c r="DB321" s="49"/>
      <c r="DC321" s="49"/>
      <c r="DD321" s="49"/>
      <c r="DE321" s="49"/>
      <c r="DF321" s="49"/>
      <c r="DG321" s="49"/>
      <c r="DH321" s="49"/>
      <c r="DI321" s="49"/>
      <c r="DJ321" s="49"/>
      <c r="DK321" s="49"/>
      <c r="DL321" s="49"/>
      <c r="DM321" s="49"/>
      <c r="DN321" s="49"/>
      <c r="DO321" s="49"/>
      <c r="DP321" s="49"/>
      <c r="DQ321" s="49"/>
      <c r="DR321" s="49"/>
      <c r="DS321" s="49"/>
      <c r="DT321" s="49"/>
      <c r="DU321" s="49"/>
      <c r="DV321" s="49"/>
      <c r="DW321" s="49"/>
      <c r="DX321" s="49"/>
      <c r="DY321" s="49"/>
      <c r="DZ321" s="49"/>
      <c r="EA321" s="49"/>
      <c r="EB321" s="49"/>
      <c r="EC321" s="49"/>
      <c r="ED321" s="49"/>
      <c r="EE321" s="49"/>
      <c r="EF321" s="49"/>
      <c r="EG321" s="49"/>
      <c r="EH321" s="49"/>
      <c r="EI321" s="49"/>
      <c r="EJ321" s="49"/>
      <c r="EK321" s="49"/>
      <c r="EL321" s="49"/>
      <c r="EM321" s="49"/>
      <c r="EN321" s="49"/>
      <c r="EO321" s="49"/>
      <c r="EP321" s="49"/>
      <c r="EQ321" s="49"/>
      <c r="ER321" s="49"/>
      <c r="ES321" s="49"/>
      <c r="ET321" s="49"/>
      <c r="EU321" s="49"/>
      <c r="EV321" s="49"/>
      <c r="EW321" s="49"/>
      <c r="EX321" s="49"/>
      <c r="EY321" s="49"/>
      <c r="EZ321" s="49"/>
      <c r="FA321" s="49"/>
    </row>
    <row r="322" spans="1:157" s="210" customFormat="1" ht="51" x14ac:dyDescent="0.25">
      <c r="A322" s="113">
        <f>IF(AND('[1]Cockpit Retorno'!$E$67=Sim,Mestre!M322=Mestre!$M$98),0,1)</f>
        <v>1</v>
      </c>
      <c r="B322" s="113">
        <f>IF(AND('[1]Cockpit Retorno'!$E$67=Sim,Mestre!L322=Mestre!$L$48),0,1)</f>
        <v>1</v>
      </c>
      <c r="C322" s="113">
        <f>IF(AND('[1]Cockpit Retorno'!$E$67=Sim,Mestre!M322=Mestre!$M$97),0,1)</f>
        <v>1</v>
      </c>
      <c r="D322" s="148" t="s">
        <v>7</v>
      </c>
      <c r="E322" s="115"/>
      <c r="F322" s="116" t="s">
        <v>107</v>
      </c>
      <c r="G322" s="149">
        <v>12</v>
      </c>
      <c r="H322" s="150" t="s">
        <v>7</v>
      </c>
      <c r="I322" s="151" t="str">
        <f t="shared" si="65"/>
        <v>Mercadorias</v>
      </c>
      <c r="J322" s="150" t="s">
        <v>15</v>
      </c>
      <c r="K322" s="151" t="s">
        <v>7</v>
      </c>
      <c r="L322" s="153" t="s">
        <v>21</v>
      </c>
      <c r="M322" s="154" t="s">
        <v>417</v>
      </c>
      <c r="N322" s="155" t="s">
        <v>472</v>
      </c>
      <c r="O322" s="155" t="s">
        <v>412</v>
      </c>
      <c r="P322" s="155" t="s">
        <v>43</v>
      </c>
      <c r="Q322" s="155" t="s">
        <v>43</v>
      </c>
      <c r="R322" s="155" t="s">
        <v>43</v>
      </c>
      <c r="S322" s="156" t="s">
        <v>43</v>
      </c>
      <c r="T322" s="156" t="s">
        <v>43</v>
      </c>
      <c r="U322" s="150" t="s">
        <v>43</v>
      </c>
      <c r="V322" s="150" t="s">
        <v>43</v>
      </c>
      <c r="W322" s="150" t="s">
        <v>43</v>
      </c>
      <c r="X322" s="157" t="s">
        <v>481</v>
      </c>
      <c r="Y322" s="150" t="s">
        <v>43</v>
      </c>
      <c r="Z322" s="150" t="s">
        <v>43</v>
      </c>
      <c r="AA322" s="150">
        <v>0</v>
      </c>
      <c r="AB322" s="155" t="s">
        <v>43</v>
      </c>
      <c r="AC322" s="150" t="s">
        <v>43</v>
      </c>
      <c r="AD322" s="155" t="s">
        <v>43</v>
      </c>
      <c r="AE322" s="155"/>
      <c r="AF322" s="150" t="s">
        <v>43</v>
      </c>
      <c r="AG322" s="159">
        <f>AG321*2</f>
        <v>82</v>
      </c>
      <c r="AH322" s="211">
        <v>84.304500000000004</v>
      </c>
      <c r="AI322" s="202">
        <v>0</v>
      </c>
      <c r="AJ322" s="161">
        <v>0.12</v>
      </c>
      <c r="AK322" s="162"/>
      <c r="AL322" s="163"/>
      <c r="AM322" s="164">
        <f>(((IF(L322=$L$101,1,IF(L322=$L$47,1,0))*(AH322*(1-AK322)))*AG322)*(1-AL322))</f>
        <v>0</v>
      </c>
      <c r="AN322" s="165">
        <f>IF(K322=$K$50,AM322,IF(K322=$K$53,AM322,IF(K322=$K$54,AM322,IF(K322=$K$55,AM322,IF(K322=$K$56,AM322,IF(K322=$K$57,AM322,IF(K322=$K$58,AM322,IF(K322=$K$65,AM322,IF(K322=$K$66,AM322,IF(K322=$K$67,AM322,IF(K322=$K$68,AM322,IF(K322=$K$69,AM322,IF(K322=$K$51,AM322,(AM322*(1+AI322)))))))))))))))</f>
        <v>0</v>
      </c>
      <c r="AO322" s="166">
        <v>1.4</v>
      </c>
      <c r="AP322" s="160">
        <f t="shared" si="66"/>
        <v>0</v>
      </c>
      <c r="AQ322" s="167">
        <f t="shared" si="74"/>
        <v>0</v>
      </c>
      <c r="AR322" s="160">
        <f t="shared" si="67"/>
        <v>0</v>
      </c>
      <c r="AS322" s="168">
        <f t="shared" si="68"/>
        <v>0</v>
      </c>
      <c r="AT322" s="169" t="str">
        <f>K322</f>
        <v>MI</v>
      </c>
      <c r="AU322" s="169" t="str">
        <f>I322</f>
        <v>Mercadorias</v>
      </c>
      <c r="AV322" s="170"/>
      <c r="AW322" s="171">
        <f>IF(K322=$K$50,0,IF(K322=$K$53,0,IF(K322=$K$54,0,IF(K322=$K$55,0,IF(K322=$K$56,0,IF(K322=$K$57,0,IF(K322=$K$58,0,IF(K322=$K$65,0,IF(K322=$K$66,0,IF(K322=$K$67,0,IF(K322=$K$68,0,IF(K322=$K$69,0,IF(K322=$K$51,0,1))))))))))))*AM322*AI322)</f>
        <v>0</v>
      </c>
      <c r="AX322" s="172">
        <f>IF(K322=$K$50,0,IF(K322=$K$53,0,IF(K322=$K$54,0,IF(K322=$K$55,0,IF(K322=$K$56,0,IF(K322=$K$57,0,IF(K322=$K$58,0,IF(K322=$K$65,0,IF(K322=$K$66,0,IF(K322=$K$67,0,IF(K322=$K$68,0,IF(K322=$K$69,0,IF(K322=$K$51,0,1))))))))))))*AM322*AJ322*$AX$94)</f>
        <v>0</v>
      </c>
      <c r="AY322" s="172">
        <f>IF(K322=$K$53,0,IF(K322=$K$54,0,IF(K322=$K$55,0,IF(K322=$K$56,0,IF(K322=$K$58,0,IF(K322=$K$50,0,IF(K322=$K$65,0,IF(K322=$K$57,0,IF(K322=$K$51,0,AM322*$AY$102)))))))))</f>
        <v>0</v>
      </c>
      <c r="AZ322" s="172">
        <f>IF(K322=$K$53,0,IF(K322=$K$54,0,IF(K322=$K$55,0,IF(K322=$K$56,0,IF(K322=$K$58,0,IF(K322=$K$50,0,IF(K322=$K$65,0,IF(K322=$K$57,0,IF(K322=$K$51,0,AM322*$AZ$102)))))))))</f>
        <v>0</v>
      </c>
      <c r="BA322" s="172">
        <f t="shared" si="69"/>
        <v>0</v>
      </c>
      <c r="BB322" s="173">
        <f>IF($BA$97=1,AQ322*$BB$102,IF(K322=$K$50,0,IF(K322=$K$53,0,IF(K322=$K$54,0,IF(K322=$K$55,0,IF(K322=$K$56,0,IF(K322=$K$57,0,IF(K322=$K$58,0,IF(K322=$K$65,0,IF(K322=$K$66,0,IF(K322=$K$67,0,IF(K322=$K$68,0,IF(K322=$K$69,0,IF(K322=$K$51,0,1)))))))))))*AQ322*$BB$102)))</f>
        <v>0</v>
      </c>
      <c r="BC322" s="172">
        <f t="shared" si="70"/>
        <v>0</v>
      </c>
      <c r="BD322" s="172">
        <f t="shared" si="71"/>
        <v>0</v>
      </c>
      <c r="BE322" s="172">
        <f>IF($BE$95=I322,$BE$97,IF(I322=$BE$96,$BE$97,1))*($BE$102*AQ322)*$AZ$97</f>
        <v>0</v>
      </c>
      <c r="BF322" s="172">
        <f>IF('[1]Cockpit Retorno'!$C$65=Sim,Mestre!BA322,SUM(BB322:BE322)+(IF(K322=$K$56,AQ322*MOE_IRRF_LR,0)))</f>
        <v>0</v>
      </c>
      <c r="BG322" s="174">
        <f>IF(AA322&gt;0,0,IF(Z322=$Z$82,AG322*1,(IF(Z322=$Z$81,AG322*1,0))))</f>
        <v>0</v>
      </c>
      <c r="BH322" s="174">
        <f>IF(AA322&gt;0,0,IF(Z322=$Z$83,AG322*1,IF(Z322=$Z$81,AG322*1,0)))</f>
        <v>0</v>
      </c>
      <c r="BI322" s="174">
        <f>IF(AA322&gt;0,0,IF(Z322=$Z$84,AG322*1,IF(Z322=$Z$93,AG322*2,IF(Z322=$Z$100,AG322,IF(Z322=$Z$81,AG322*2,IF(Z322=$Z$80,AG322*1,IF(Z322=$Z$79,AG322*3,IF(Z322=$Z$78,AG322*2,0))))))))</f>
        <v>0</v>
      </c>
      <c r="BJ322" s="174">
        <f>IF(AA322&gt;0,0,IF(Z322=$Z$85,AG322,IF(Z322=$Z$93,AG322,IF(Z322=$Z$100,AG322,IF(Z322=$Z$81,AG322*1,IF(Z322=$Z$80,AG322*2,IF(Z322=$Z$79,AG322*2,IF(Z322=$Z$78,AG322*2,0))))))))</f>
        <v>0</v>
      </c>
      <c r="BK322" s="174">
        <f>IF(AA322&gt;0,0,IF(Z322=$Z$92,AG322,0))</f>
        <v>0</v>
      </c>
      <c r="BL322" s="174">
        <f>IF(AA322&gt;0,0,IF(Z322=$Z$91,AG322,0))</f>
        <v>0</v>
      </c>
      <c r="BM322" s="174">
        <f>IF(AA322&gt;0,0,IF(Z322=$Z$86,AG322,0))</f>
        <v>0</v>
      </c>
      <c r="BN322" s="174">
        <f>IF(AA322&gt;0,0,IF(Z322=$Z$87,AG322,0))</f>
        <v>0</v>
      </c>
      <c r="BO322" s="174">
        <f>IF(AA322&gt;0,0,IF(Z322=$Z$88,AG322,0))</f>
        <v>0</v>
      </c>
      <c r="BP322" s="174">
        <f>IF(AA322&gt;0,0,IF(Z322=$Z$89,AG322,0))</f>
        <v>0</v>
      </c>
      <c r="BQ322" s="174">
        <f>IF(AA322&gt;0,0,IF(Z322=$Z$90,AG322,0))</f>
        <v>0</v>
      </c>
      <c r="BR322" s="174">
        <f>IF(Z322=$Z$82,AA322*AG322,0)</f>
        <v>0</v>
      </c>
      <c r="BS322" s="174">
        <f>IF(Z322=$Z$83,AA322*AG322,0)</f>
        <v>0</v>
      </c>
      <c r="BT322" s="174">
        <f>IF(AA322&lt;1,0,IF(Z322=$Z$84,AA322*AG322,IF(Z322=$Z$93,"ERRO",IF(Z322=$Z$100,"ERRO",0))))</f>
        <v>0</v>
      </c>
      <c r="BU322" s="174">
        <f>IF(AA322&lt;1,0,IF(Z322=$Z$85,AA322*AG322,IF(Z322=$Z$93,"ERRO",IF(Z322=$Z$100,"ERRO",0))))</f>
        <v>0</v>
      </c>
      <c r="BV322" s="174">
        <f>IF(Z322=$Z$92,AA322*AG322,0)</f>
        <v>0</v>
      </c>
      <c r="BW322" s="174">
        <f>IF(Z322=$Z$91,AA322*AG322,0)</f>
        <v>0</v>
      </c>
      <c r="BX322" s="174">
        <f>IF(Z322=$Z$86,AA322*AG322,0)</f>
        <v>0</v>
      </c>
      <c r="BY322" s="174">
        <f>IF(Z322=$Z$87,AA322*AG322,0)</f>
        <v>0</v>
      </c>
      <c r="BZ322" s="174">
        <f>IF(Z322=$Z$88,AA322*AG322,0)</f>
        <v>0</v>
      </c>
      <c r="CA322" s="174">
        <f>IF(Z322=$Z$89,AA322*AG322,0)</f>
        <v>0</v>
      </c>
      <c r="CB322" s="174">
        <f>IF(Z322=$Z$90,AA322*AG322,0)</f>
        <v>0</v>
      </c>
      <c r="CC322" s="175">
        <f>IFERROR(IF(L322=$L$49,AG322*AH322*(1+AI322)*(1-AK322)*(1-AL322),0),0)</f>
        <v>6912.9690000000001</v>
      </c>
      <c r="CD322" s="212">
        <f>IF(I322=$CD$97,1,IF(I322=$CD$100,2,IF(K322=$K$66,1,IF(K322=$K$69,1,3))))</f>
        <v>1</v>
      </c>
      <c r="CE322" s="212">
        <f t="shared" si="14"/>
        <v>1.07</v>
      </c>
      <c r="CF322" s="213">
        <f t="shared" si="54"/>
        <v>1.2353999999999998</v>
      </c>
      <c r="CG322" s="212">
        <f t="shared" si="15"/>
        <v>1.42</v>
      </c>
      <c r="CH322" s="213">
        <f t="shared" si="55"/>
        <v>1.5478000000000001</v>
      </c>
      <c r="CI322" s="212">
        <f t="shared" si="16"/>
        <v>1.7</v>
      </c>
      <c r="CJ322" s="214">
        <f t="shared" si="56"/>
        <v>1.0486</v>
      </c>
      <c r="CK322" s="214">
        <f t="shared" si="57"/>
        <v>1.148922</v>
      </c>
      <c r="CL322" s="214">
        <f t="shared" si="58"/>
        <v>1.3915999999999999</v>
      </c>
      <c r="CM322" s="214">
        <f t="shared" si="59"/>
        <v>1.501366</v>
      </c>
      <c r="CN322" s="215">
        <f t="shared" si="60"/>
        <v>1.6319999999999999</v>
      </c>
      <c r="CO322" s="213">
        <f t="shared" si="61"/>
        <v>1.006656</v>
      </c>
      <c r="CP322" s="216">
        <f t="shared" si="62"/>
        <v>0</v>
      </c>
      <c r="CQ322" s="217">
        <f t="shared" si="63"/>
        <v>0</v>
      </c>
      <c r="CR322" s="218">
        <f t="shared" si="72"/>
        <v>0</v>
      </c>
      <c r="CS322" s="49"/>
      <c r="CT322" s="49"/>
      <c r="CU322" s="49"/>
      <c r="CV322" s="49"/>
      <c r="CW322" s="49"/>
      <c r="CX322" s="49"/>
      <c r="CY322" s="49"/>
      <c r="CZ322" s="49"/>
      <c r="DA322" s="49"/>
      <c r="DB322" s="49"/>
      <c r="DC322" s="49"/>
      <c r="DD322" s="49"/>
      <c r="DE322" s="49"/>
      <c r="DF322" s="49"/>
      <c r="DG322" s="49"/>
      <c r="DH322" s="49"/>
      <c r="DI322" s="49"/>
      <c r="DJ322" s="49"/>
      <c r="DK322" s="49"/>
      <c r="DL322" s="49"/>
      <c r="DM322" s="49"/>
      <c r="DN322" s="49"/>
      <c r="DO322" s="49"/>
      <c r="DP322" s="49"/>
      <c r="DQ322" s="49"/>
      <c r="DR322" s="49"/>
      <c r="DS322" s="49"/>
      <c r="DT322" s="49"/>
      <c r="DU322" s="49"/>
      <c r="DV322" s="49"/>
      <c r="DW322" s="49"/>
      <c r="DX322" s="49"/>
      <c r="DY322" s="49"/>
      <c r="DZ322" s="49"/>
      <c r="EA322" s="49"/>
      <c r="EB322" s="49"/>
      <c r="EC322" s="49"/>
      <c r="ED322" s="49"/>
      <c r="EE322" s="49"/>
      <c r="EF322" s="49"/>
      <c r="EG322" s="49"/>
      <c r="EH322" s="49"/>
      <c r="EI322" s="49"/>
      <c r="EJ322" s="49"/>
      <c r="EK322" s="49"/>
      <c r="EL322" s="49"/>
      <c r="EM322" s="49"/>
      <c r="EN322" s="49"/>
      <c r="EO322" s="49"/>
      <c r="EP322" s="49"/>
      <c r="EQ322" s="49"/>
      <c r="ER322" s="49"/>
      <c r="ES322" s="49"/>
      <c r="ET322" s="49"/>
      <c r="EU322" s="49"/>
      <c r="EV322" s="49"/>
      <c r="EW322" s="49"/>
      <c r="EX322" s="49"/>
      <c r="EY322" s="49"/>
      <c r="EZ322" s="49"/>
      <c r="FA322" s="49"/>
    </row>
    <row r="323" spans="1:157" s="210" customFormat="1" ht="25.5" x14ac:dyDescent="0.25">
      <c r="A323" s="113">
        <f>IF(AND('[1]Cockpit Retorno'!$E$67=Sim,Mestre!M323=Mestre!$M$98),0,1)</f>
        <v>1</v>
      </c>
      <c r="B323" s="113">
        <f>IF(AND('[1]Cockpit Retorno'!$E$67=Sim,Mestre!L323=Mestre!$L$48),0,1)</f>
        <v>1</v>
      </c>
      <c r="C323" s="113">
        <f>IF(AND('[1]Cockpit Retorno'!$E$67=Sim,Mestre!M323=Mestre!$M$97),0,1)</f>
        <v>1</v>
      </c>
      <c r="D323" s="148" t="s">
        <v>7</v>
      </c>
      <c r="E323" s="115"/>
      <c r="F323" s="116" t="s">
        <v>107</v>
      </c>
      <c r="G323" s="149">
        <v>2</v>
      </c>
      <c r="H323" s="150" t="s">
        <v>7</v>
      </c>
      <c r="I323" s="151" t="str">
        <f t="shared" si="65"/>
        <v>Mercadorias</v>
      </c>
      <c r="J323" s="150" t="s">
        <v>15</v>
      </c>
      <c r="K323" s="151" t="s">
        <v>7</v>
      </c>
      <c r="L323" s="153" t="s">
        <v>21</v>
      </c>
      <c r="M323" s="154" t="s">
        <v>361</v>
      </c>
      <c r="N323" s="155" t="s">
        <v>472</v>
      </c>
      <c r="O323" s="155" t="s">
        <v>363</v>
      </c>
      <c r="P323" s="155" t="s">
        <v>43</v>
      </c>
      <c r="Q323" s="155" t="s">
        <v>43</v>
      </c>
      <c r="R323" s="155" t="s">
        <v>43</v>
      </c>
      <c r="S323" s="156" t="s">
        <v>43</v>
      </c>
      <c r="T323" s="156" t="s">
        <v>43</v>
      </c>
      <c r="U323" s="150" t="s">
        <v>43</v>
      </c>
      <c r="V323" s="150" t="s">
        <v>43</v>
      </c>
      <c r="W323" s="150" t="s">
        <v>43</v>
      </c>
      <c r="X323" s="157" t="s">
        <v>482</v>
      </c>
      <c r="Y323" s="150" t="s">
        <v>43</v>
      </c>
      <c r="Z323" s="150" t="s">
        <v>43</v>
      </c>
      <c r="AA323" s="150">
        <v>0</v>
      </c>
      <c r="AB323" s="155" t="s">
        <v>43</v>
      </c>
      <c r="AC323" s="150" t="s">
        <v>43</v>
      </c>
      <c r="AD323" s="155" t="s">
        <v>43</v>
      </c>
      <c r="AE323" s="155"/>
      <c r="AF323" s="150" t="s">
        <v>43</v>
      </c>
      <c r="AG323" s="159">
        <f>[1]Típicos!I59*Mestre!AG321</f>
        <v>348.90999999999997</v>
      </c>
      <c r="AH323" s="159">
        <v>6.2310000000000008</v>
      </c>
      <c r="AI323" s="202">
        <v>0</v>
      </c>
      <c r="AJ323" s="161">
        <v>0.12</v>
      </c>
      <c r="AK323" s="162"/>
      <c r="AL323" s="163"/>
      <c r="AM323" s="164">
        <f>(((IF(L323=$L$101,1,IF(L323=$L$47,1,0))*(AH323*(1-AK323)))*AG323)*(1-AL323))</f>
        <v>0</v>
      </c>
      <c r="AN323" s="165">
        <f>IF(K323=$K$50,AM323,IF(K323=$K$53,AM323,IF(K323=$K$54,AM323,IF(K323=$K$55,AM323,IF(K323=$K$56,AM323,IF(K323=$K$57,AM323,IF(K323=$K$58,AM323,IF(K323=$K$65,AM323,IF(K323=$K$66,AM323,IF(K323=$K$67,AM323,IF(K323=$K$68,AM323,IF(K323=$K$69,AM323,IF(K323=$K$51,AM323,(AM323*(1+AI323)))))))))))))))</f>
        <v>0</v>
      </c>
      <c r="AO323" s="166">
        <v>1.4</v>
      </c>
      <c r="AP323" s="160">
        <f t="shared" si="66"/>
        <v>0</v>
      </c>
      <c r="AQ323" s="167">
        <f t="shared" si="74"/>
        <v>0</v>
      </c>
      <c r="AR323" s="160">
        <f t="shared" si="67"/>
        <v>0</v>
      </c>
      <c r="AS323" s="168">
        <f t="shared" si="68"/>
        <v>0</v>
      </c>
      <c r="AT323" s="169" t="str">
        <f>K323</f>
        <v>MI</v>
      </c>
      <c r="AU323" s="169" t="str">
        <f>I323</f>
        <v>Mercadorias</v>
      </c>
      <c r="AV323" s="170"/>
      <c r="AW323" s="171">
        <f>IF(K323=$K$50,0,IF(K323=$K$53,0,IF(K323=$K$54,0,IF(K323=$K$55,0,IF(K323=$K$56,0,IF(K323=$K$57,0,IF(K323=$K$58,0,IF(K323=$K$65,0,IF(K323=$K$66,0,IF(K323=$K$67,0,IF(K323=$K$68,0,IF(K323=$K$69,0,IF(K323=$K$51,0,1))))))))))))*AM323*AI323)</f>
        <v>0</v>
      </c>
      <c r="AX323" s="172">
        <f>IF(K323=$K$50,0,IF(K323=$K$53,0,IF(K323=$K$54,0,IF(K323=$K$55,0,IF(K323=$K$56,0,IF(K323=$K$57,0,IF(K323=$K$58,0,IF(K323=$K$65,0,IF(K323=$K$66,0,IF(K323=$K$67,0,IF(K323=$K$68,0,IF(K323=$K$69,0,IF(K323=$K$51,0,1))))))))))))*AM323*AJ323*$AX$94)</f>
        <v>0</v>
      </c>
      <c r="AY323" s="172">
        <f>IF(K323=$K$53,0,IF(K323=$K$54,0,IF(K323=$K$55,0,IF(K323=$K$56,0,IF(K323=$K$58,0,IF(K323=$K$50,0,IF(K323=$K$65,0,IF(K323=$K$57,0,IF(K323=$K$51,0,AM323*$AY$102)))))))))</f>
        <v>0</v>
      </c>
      <c r="AZ323" s="172">
        <f>IF(K323=$K$53,0,IF(K323=$K$54,0,IF(K323=$K$55,0,IF(K323=$K$56,0,IF(K323=$K$58,0,IF(K323=$K$50,0,IF(K323=$K$65,0,IF(K323=$K$57,0,IF(K323=$K$51,0,AM323*$AZ$102)))))))))</f>
        <v>0</v>
      </c>
      <c r="BA323" s="172">
        <f t="shared" si="69"/>
        <v>0</v>
      </c>
      <c r="BB323" s="173">
        <f>IF($BA$97=1,AQ323*$BB$102,IF(K323=$K$50,0,IF(K323=$K$53,0,IF(K323=$K$54,0,IF(K323=$K$55,0,IF(K323=$K$56,0,IF(K323=$K$57,0,IF(K323=$K$58,0,IF(K323=$K$65,0,IF(K323=$K$66,0,IF(K323=$K$67,0,IF(K323=$K$68,0,IF(K323=$K$69,0,IF(K323=$K$51,0,1)))))))))))*AQ323*$BB$102)))</f>
        <v>0</v>
      </c>
      <c r="BC323" s="172">
        <f t="shared" si="70"/>
        <v>0</v>
      </c>
      <c r="BD323" s="172">
        <f t="shared" si="71"/>
        <v>0</v>
      </c>
      <c r="BE323" s="172">
        <f>IF($BE$95=I323,$BE$97,IF(I323=$BE$96,$BE$97,1))*($BE$102*AQ323)*$AZ$97</f>
        <v>0</v>
      </c>
      <c r="BF323" s="172">
        <f>IF('[1]Cockpit Retorno'!$C$65=Sim,Mestre!BA323,SUM(BB323:BE323)+(IF(K323=$K$56,AQ323*MOE_IRRF_LR,0)))</f>
        <v>0</v>
      </c>
      <c r="BG323" s="174">
        <f>IF(AA323&gt;0,0,IF(Z323=$Z$82,AG323*1,(IF(Z323=$Z$81,AG323*1,0))))</f>
        <v>0</v>
      </c>
      <c r="BH323" s="174">
        <f>IF(AA323&gt;0,0,IF(Z323=$Z$83,AG323*1,IF(Z323=$Z$81,AG323*1,0)))</f>
        <v>0</v>
      </c>
      <c r="BI323" s="174">
        <f>IF(AA323&gt;0,0,IF(Z323=$Z$84,AG323*1,IF(Z323=$Z$93,AG323*2,IF(Z323=$Z$100,AG323,IF(Z323=$Z$81,AG323*2,IF(Z323=$Z$80,AG323*1,IF(Z323=$Z$79,AG323*3,IF(Z323=$Z$78,AG323*2,0))))))))</f>
        <v>0</v>
      </c>
      <c r="BJ323" s="174">
        <f>IF(AA323&gt;0,0,IF(Z323=$Z$85,AG323,IF(Z323=$Z$93,AG323,IF(Z323=$Z$100,AG323,IF(Z323=$Z$81,AG323*1,IF(Z323=$Z$80,AG323*2,IF(Z323=$Z$79,AG323*2,IF(Z323=$Z$78,AG323*2,0))))))))</f>
        <v>0</v>
      </c>
      <c r="BK323" s="174">
        <f>IF(AA323&gt;0,0,IF(Z323=$Z$92,AG323,0))</f>
        <v>0</v>
      </c>
      <c r="BL323" s="174">
        <f>IF(AA323&gt;0,0,IF(Z323=$Z$91,AG323,0))</f>
        <v>0</v>
      </c>
      <c r="BM323" s="174">
        <f>IF(AA323&gt;0,0,IF(Z323=$Z$86,AG323,0))</f>
        <v>0</v>
      </c>
      <c r="BN323" s="174">
        <f>IF(AA323&gt;0,0,IF(Z323=$Z$87,AG323,0))</f>
        <v>0</v>
      </c>
      <c r="BO323" s="174">
        <f>IF(AA323&gt;0,0,IF(Z323=$Z$88,AG323,0))</f>
        <v>0</v>
      </c>
      <c r="BP323" s="174">
        <f>IF(AA323&gt;0,0,IF(Z323=$Z$89,AG323,0))</f>
        <v>0</v>
      </c>
      <c r="BQ323" s="174">
        <f>IF(AA323&gt;0,0,IF(Z323=$Z$90,AG323,0))</f>
        <v>0</v>
      </c>
      <c r="BR323" s="174">
        <f>IF(Z323=$Z$82,AA323*AG323,0)</f>
        <v>0</v>
      </c>
      <c r="BS323" s="174">
        <f>IF(Z323=$Z$83,AA323*AG323,0)</f>
        <v>0</v>
      </c>
      <c r="BT323" s="174">
        <f>IF(AA323&lt;1,0,IF(Z323=$Z$84,AA323*AG323,IF(Z323=$Z$93,"ERRO",IF(Z323=$Z$100,"ERRO",0))))</f>
        <v>0</v>
      </c>
      <c r="BU323" s="174">
        <f>IF(AA323&lt;1,0,IF(Z323=$Z$85,AA323*AG323,IF(Z323=$Z$93,"ERRO",IF(Z323=$Z$100,"ERRO",0))))</f>
        <v>0</v>
      </c>
      <c r="BV323" s="174">
        <f>IF(Z323=$Z$92,AA323*AG323,0)</f>
        <v>0</v>
      </c>
      <c r="BW323" s="174">
        <f>IF(Z323=$Z$91,AA323*AG323,0)</f>
        <v>0</v>
      </c>
      <c r="BX323" s="174">
        <f>IF(Z323=$Z$86,AA323*AG323,0)</f>
        <v>0</v>
      </c>
      <c r="BY323" s="174">
        <f>IF(Z323=$Z$87,AA323*AG323,0)</f>
        <v>0</v>
      </c>
      <c r="BZ323" s="174">
        <f>IF(Z323=$Z$88,AA323*AG323,0)</f>
        <v>0</v>
      </c>
      <c r="CA323" s="174">
        <f>IF(Z323=$Z$89,AA323*AG323,0)</f>
        <v>0</v>
      </c>
      <c r="CB323" s="174">
        <f>IF(Z323=$Z$90,AA323*AG323,0)</f>
        <v>0</v>
      </c>
      <c r="CC323" s="175">
        <f>IFERROR(IF(L323=$L$49,AG323*AH323*(1+AI323)*(1-AK323)*(1-AL323),0),0)</f>
        <v>2174.0582100000001</v>
      </c>
      <c r="CD323" s="212">
        <f>IF(I323=$CD$97,1,IF(I323=$CD$100,2,IF(K323=$K$66,1,IF(K323=$K$69,1,3))))</f>
        <v>1</v>
      </c>
      <c r="CE323" s="212">
        <f t="shared" si="14"/>
        <v>1.07</v>
      </c>
      <c r="CF323" s="213">
        <f t="shared" si="54"/>
        <v>1.2353999999999998</v>
      </c>
      <c r="CG323" s="212">
        <f t="shared" si="15"/>
        <v>1.42</v>
      </c>
      <c r="CH323" s="213">
        <f t="shared" si="55"/>
        <v>1.5478000000000001</v>
      </c>
      <c r="CI323" s="212">
        <f t="shared" si="16"/>
        <v>1.7</v>
      </c>
      <c r="CJ323" s="214">
        <f t="shared" si="56"/>
        <v>1.0486</v>
      </c>
      <c r="CK323" s="214">
        <f t="shared" si="57"/>
        <v>1.148922</v>
      </c>
      <c r="CL323" s="214">
        <f t="shared" si="58"/>
        <v>1.3915999999999999</v>
      </c>
      <c r="CM323" s="214">
        <f t="shared" si="59"/>
        <v>1.501366</v>
      </c>
      <c r="CN323" s="215">
        <f t="shared" si="60"/>
        <v>1.6319999999999999</v>
      </c>
      <c r="CO323" s="213">
        <f t="shared" si="61"/>
        <v>1.006656</v>
      </c>
      <c r="CP323" s="216">
        <f t="shared" si="62"/>
        <v>0</v>
      </c>
      <c r="CQ323" s="217">
        <f t="shared" si="63"/>
        <v>0</v>
      </c>
      <c r="CR323" s="218">
        <f t="shared" si="72"/>
        <v>0</v>
      </c>
      <c r="CS323" s="49"/>
      <c r="CT323" s="49"/>
      <c r="CU323" s="49"/>
      <c r="CV323" s="49"/>
      <c r="CW323" s="49"/>
      <c r="CX323" s="49"/>
      <c r="CY323" s="49"/>
      <c r="CZ323" s="49"/>
      <c r="DA323" s="49"/>
      <c r="DB323" s="49"/>
      <c r="DC323" s="49"/>
      <c r="DD323" s="49"/>
      <c r="DE323" s="49"/>
      <c r="DF323" s="49"/>
      <c r="DG323" s="49"/>
      <c r="DH323" s="49"/>
      <c r="DI323" s="49"/>
      <c r="DJ323" s="49"/>
      <c r="DK323" s="49"/>
      <c r="DL323" s="49"/>
      <c r="DM323" s="49"/>
      <c r="DN323" s="49"/>
      <c r="DO323" s="49"/>
      <c r="DP323" s="49"/>
      <c r="DQ323" s="49"/>
      <c r="DR323" s="49"/>
      <c r="DS323" s="49"/>
      <c r="DT323" s="49"/>
      <c r="DU323" s="49"/>
      <c r="DV323" s="49"/>
      <c r="DW323" s="49"/>
      <c r="DX323" s="49"/>
      <c r="DY323" s="49"/>
      <c r="DZ323" s="49"/>
      <c r="EA323" s="49"/>
      <c r="EB323" s="49"/>
      <c r="EC323" s="49"/>
      <c r="ED323" s="49"/>
      <c r="EE323" s="49"/>
      <c r="EF323" s="49"/>
      <c r="EG323" s="49"/>
      <c r="EH323" s="49"/>
      <c r="EI323" s="49"/>
      <c r="EJ323" s="49"/>
      <c r="EK323" s="49"/>
      <c r="EL323" s="49"/>
      <c r="EM323" s="49"/>
      <c r="EN323" s="49"/>
      <c r="EO323" s="49"/>
      <c r="EP323" s="49"/>
      <c r="EQ323" s="49"/>
      <c r="ER323" s="49"/>
      <c r="ES323" s="49"/>
      <c r="ET323" s="49"/>
      <c r="EU323" s="49"/>
      <c r="EV323" s="49"/>
      <c r="EW323" s="49"/>
      <c r="EX323" s="49"/>
      <c r="EY323" s="49"/>
      <c r="EZ323" s="49"/>
      <c r="FA323" s="49"/>
    </row>
    <row r="324" spans="1:157" s="210" customFormat="1" ht="25.5" x14ac:dyDescent="0.25">
      <c r="A324" s="113">
        <f>IF(AND('[1]Cockpit Retorno'!$E$67=Sim,Mestre!M324=Mestre!$M$98),0,1)</f>
        <v>1</v>
      </c>
      <c r="B324" s="113">
        <f>IF(AND('[1]Cockpit Retorno'!$E$67=Sim,Mestre!L324=Mestre!$L$48),0,1)</f>
        <v>0</v>
      </c>
      <c r="C324" s="113">
        <f>IF(AND('[1]Cockpit Retorno'!$E$67=Sim,Mestre!M324=Mestre!$M$97),0,1)</f>
        <v>1</v>
      </c>
      <c r="D324" s="148" t="s">
        <v>7</v>
      </c>
      <c r="E324" s="115"/>
      <c r="F324" s="116" t="s">
        <v>107</v>
      </c>
      <c r="G324" s="149">
        <v>68</v>
      </c>
      <c r="H324" s="150" t="s">
        <v>7</v>
      </c>
      <c r="I324" s="151" t="str">
        <f t="shared" si="65"/>
        <v>Mercadorias</v>
      </c>
      <c r="J324" s="150" t="s">
        <v>15</v>
      </c>
      <c r="K324" s="151" t="s">
        <v>7</v>
      </c>
      <c r="L324" s="153" t="s">
        <v>15</v>
      </c>
      <c r="M324" s="154" t="s">
        <v>465</v>
      </c>
      <c r="N324" s="155" t="s">
        <v>472</v>
      </c>
      <c r="O324" s="155" t="s">
        <v>473</v>
      </c>
      <c r="P324" s="155" t="s">
        <v>43</v>
      </c>
      <c r="Q324" s="155" t="s">
        <v>43</v>
      </c>
      <c r="R324" s="155" t="s">
        <v>43</v>
      </c>
      <c r="S324" s="156" t="s">
        <v>43</v>
      </c>
      <c r="T324" s="156" t="s">
        <v>43</v>
      </c>
      <c r="U324" s="150" t="s">
        <v>43</v>
      </c>
      <c r="V324" s="150" t="s">
        <v>43</v>
      </c>
      <c r="W324" s="150" t="s">
        <v>43</v>
      </c>
      <c r="X324" s="157" t="s">
        <v>483</v>
      </c>
      <c r="Y324" s="150" t="s">
        <v>43</v>
      </c>
      <c r="Z324" s="150" t="s">
        <v>43</v>
      </c>
      <c r="AA324" s="150">
        <v>0</v>
      </c>
      <c r="AB324" s="155" t="s">
        <v>43</v>
      </c>
      <c r="AC324" s="150" t="s">
        <v>43</v>
      </c>
      <c r="AD324" s="155" t="s">
        <v>43</v>
      </c>
      <c r="AE324" s="155"/>
      <c r="AF324" s="150" t="s">
        <v>43</v>
      </c>
      <c r="AG324" s="159">
        <v>36</v>
      </c>
      <c r="AH324" s="159">
        <v>342.14235000000002</v>
      </c>
      <c r="AI324" s="202">
        <v>0</v>
      </c>
      <c r="AJ324" s="161">
        <v>0.12</v>
      </c>
      <c r="AK324" s="162"/>
      <c r="AL324" s="163"/>
      <c r="AM324" s="164">
        <f>(((IF(L324=$L$101,1,IF(L324=$L$47,1,0))*(AH324*(1-AK324)))*AG324)*(1-AL324))</f>
        <v>12317.124600000001</v>
      </c>
      <c r="AN324" s="165">
        <f>IF(K324=$K$50,AM324,IF(K324=$K$53,AM324,IF(K324=$K$54,AM324,IF(K324=$K$55,AM324,IF(K324=$K$56,AM324,IF(K324=$K$57,AM324,IF(K324=$K$58,AM324,IF(K324=$K$65,AM324,IF(K324=$K$66,AM324,IF(K324=$K$67,AM324,IF(K324=$K$68,AM324,IF(K324=$K$69,AM324,IF(K324=$K$51,AM324,(AM324*(1+AI324)))))))))))))))</f>
        <v>12317.124600000001</v>
      </c>
      <c r="AO324" s="166">
        <v>1.4</v>
      </c>
      <c r="AP324" s="160">
        <f t="shared" si="66"/>
        <v>17243.974440000002</v>
      </c>
      <c r="AQ324" s="167">
        <f t="shared" si="74"/>
        <v>14941.305750536647</v>
      </c>
      <c r="AR324" s="160">
        <f t="shared" si="67"/>
        <v>17243.974440000002</v>
      </c>
      <c r="AS324" s="168">
        <f t="shared" si="68"/>
        <v>1.2612750638360888</v>
      </c>
      <c r="AT324" s="169" t="str">
        <f>K324</f>
        <v>MI</v>
      </c>
      <c r="AU324" s="169" t="str">
        <f>I324</f>
        <v>Mercadorias</v>
      </c>
      <c r="AV324" s="170"/>
      <c r="AW324" s="171">
        <f>IF(K324=$K$50,0,IF(K324=$K$53,0,IF(K324=$K$54,0,IF(K324=$K$55,0,IF(K324=$K$56,0,IF(K324=$K$57,0,IF(K324=$K$58,0,IF(K324=$K$65,0,IF(K324=$K$66,0,IF(K324=$K$67,0,IF(K324=$K$68,0,IF(K324=$K$69,0,IF(K324=$K$51,0,1))))))))))))*AM324*AI324)</f>
        <v>0</v>
      </c>
      <c r="AX324" s="172">
        <f>IF(K324=$K$50,0,IF(K324=$K$53,0,IF(K324=$K$54,0,IF(K324=$K$55,0,IF(K324=$K$56,0,IF(K324=$K$57,0,IF(K324=$K$58,0,IF(K324=$K$65,0,IF(K324=$K$66,0,IF(K324=$K$67,0,IF(K324=$K$68,0,IF(K324=$K$69,0,IF(K324=$K$51,0,1))))))))))))*AM324*AJ324*$AX$94)</f>
        <v>0</v>
      </c>
      <c r="AY324" s="172">
        <f>IF(K324=$K$53,0,IF(K324=$K$54,0,IF(K324=$K$55,0,IF(K324=$K$56,0,IF(K324=$K$58,0,IF(K324=$K$50,0,IF(K324=$K$65,0,IF(K324=$K$57,0,IF(K324=$K$51,0,AM324*$AY$102)))))))))</f>
        <v>203.23255590000002</v>
      </c>
      <c r="AZ324" s="172">
        <f>IF(K324=$K$53,0,IF(K324=$K$54,0,IF(K324=$K$55,0,IF(K324=$K$56,0,IF(K324=$K$58,0,IF(K324=$K$50,0,IF(K324=$K$65,0,IF(K324=$K$57,0,IF(K324=$K$51,0,AM324*$AZ$102)))))))))</f>
        <v>936.10146960000009</v>
      </c>
      <c r="BA324" s="172">
        <f t="shared" si="69"/>
        <v>1139.3340255000001</v>
      </c>
      <c r="BB324" s="173">
        <f>IF($BA$97=1,AQ324*$BB$102,IF(K324=$K$50,0,IF(K324=$K$53,0,IF(K324=$K$54,0,IF(K324=$K$55,0,IF(K324=$K$56,0,IF(K324=$K$57,0,IF(K324=$K$58,0,IF(K324=$K$65,0,IF(K324=$K$66,0,IF(K324=$K$67,0,IF(K324=$K$68,0,IF(K324=$K$69,0,IF(K324=$K$51,0,1)))))))))))*AQ324*$BB$102)))</f>
        <v>0</v>
      </c>
      <c r="BC324" s="172">
        <f t="shared" si="70"/>
        <v>97.118487378488211</v>
      </c>
      <c r="BD324" s="172">
        <f t="shared" si="71"/>
        <v>448.23917251609942</v>
      </c>
      <c r="BE324" s="172">
        <f>IF($BE$95=I324,$BE$97,IF(I324=$BE$96,$BE$97,1))*($BE$102*AQ324)*$AZ$97</f>
        <v>0</v>
      </c>
      <c r="BF324" s="172">
        <f>IF('[1]Cockpit Retorno'!$C$65=Sim,Mestre!BA324,SUM(BB324:BE324)+(IF(K324=$K$56,AQ324*MOE_IRRF_LR,0)))</f>
        <v>545.35765989458764</v>
      </c>
      <c r="BG324" s="174">
        <f>IF(AA324&gt;0,0,IF(Z324=$Z$82,AG324*1,(IF(Z324=$Z$81,AG324*1,0))))</f>
        <v>0</v>
      </c>
      <c r="BH324" s="174">
        <f>IF(AA324&gt;0,0,IF(Z324=$Z$83,AG324*1,IF(Z324=$Z$81,AG324*1,0)))</f>
        <v>0</v>
      </c>
      <c r="BI324" s="174">
        <f>IF(AA324&gt;0,0,IF(Z324=$Z$84,AG324*1,IF(Z324=$Z$93,AG324*2,IF(Z324=$Z$100,AG324,IF(Z324=$Z$81,AG324*2,IF(Z324=$Z$80,AG324*1,IF(Z324=$Z$79,AG324*3,IF(Z324=$Z$78,AG324*2,0))))))))</f>
        <v>0</v>
      </c>
      <c r="BJ324" s="174">
        <f>IF(AA324&gt;0,0,IF(Z324=$Z$85,AG324,IF(Z324=$Z$93,AG324,IF(Z324=$Z$100,AG324,IF(Z324=$Z$81,AG324*1,IF(Z324=$Z$80,AG324*2,IF(Z324=$Z$79,AG324*2,IF(Z324=$Z$78,AG324*2,0))))))))</f>
        <v>0</v>
      </c>
      <c r="BK324" s="174">
        <f>IF(AA324&gt;0,0,IF(Z324=$Z$92,AG324,0))</f>
        <v>0</v>
      </c>
      <c r="BL324" s="174">
        <f>IF(AA324&gt;0,0,IF(Z324=$Z$91,AG324,0))</f>
        <v>0</v>
      </c>
      <c r="BM324" s="174">
        <f>IF(AA324&gt;0,0,IF(Z324=$Z$86,AG324,0))</f>
        <v>0</v>
      </c>
      <c r="BN324" s="174">
        <f>IF(AA324&gt;0,0,IF(Z324=$Z$87,AG324,0))</f>
        <v>0</v>
      </c>
      <c r="BO324" s="174">
        <f>IF(AA324&gt;0,0,IF(Z324=$Z$88,AG324,0))</f>
        <v>0</v>
      </c>
      <c r="BP324" s="174">
        <f>IF(AA324&gt;0,0,IF(Z324=$Z$89,AG324,0))</f>
        <v>0</v>
      </c>
      <c r="BQ324" s="174">
        <f>IF(AA324&gt;0,0,IF(Z324=$Z$90,AG324,0))</f>
        <v>0</v>
      </c>
      <c r="BR324" s="174">
        <f>IF(Z324=$Z$82,AA324*AG324,0)</f>
        <v>0</v>
      </c>
      <c r="BS324" s="174">
        <f>IF(Z324=$Z$83,AA324*AG324,0)</f>
        <v>0</v>
      </c>
      <c r="BT324" s="174">
        <f>IF(AA324&lt;1,0,IF(Z324=$Z$84,AA324*AG324,IF(Z324=$Z$93,"ERRO",IF(Z324=$Z$100,"ERRO",0))))</f>
        <v>0</v>
      </c>
      <c r="BU324" s="174">
        <f>IF(AA324&lt;1,0,IF(Z324=$Z$85,AA324*AG324,IF(Z324=$Z$93,"ERRO",IF(Z324=$Z$100,"ERRO",0))))</f>
        <v>0</v>
      </c>
      <c r="BV324" s="174">
        <f>IF(Z324=$Z$92,AA324*AG324,0)</f>
        <v>0</v>
      </c>
      <c r="BW324" s="174">
        <f>IF(Z324=$Z$91,AA324*AG324,0)</f>
        <v>0</v>
      </c>
      <c r="BX324" s="174">
        <f>IF(Z324=$Z$86,AA324*AG324,0)</f>
        <v>0</v>
      </c>
      <c r="BY324" s="174">
        <f>IF(Z324=$Z$87,AA324*AG324,0)</f>
        <v>0</v>
      </c>
      <c r="BZ324" s="174">
        <f>IF(Z324=$Z$88,AA324*AG324,0)</f>
        <v>0</v>
      </c>
      <c r="CA324" s="174">
        <f>IF(Z324=$Z$89,AA324*AG324,0)</f>
        <v>0</v>
      </c>
      <c r="CB324" s="174">
        <f>IF(Z324=$Z$90,AA324*AG324,0)</f>
        <v>0</v>
      </c>
      <c r="CC324" s="175">
        <f>IFERROR(IF(L324=$L$49,AG324*AH324*(1+AI324)*(1-AK324)*(1-AL324),0),0)</f>
        <v>0</v>
      </c>
      <c r="CD324" s="212">
        <f>IF(I324=$CD$97,1,IF(I324=$CD$100,2,IF(K324=$K$66,1,IF(K324=$K$69,1,3))))</f>
        <v>1</v>
      </c>
      <c r="CE324" s="212">
        <f t="shared" si="14"/>
        <v>1.07</v>
      </c>
      <c r="CF324" s="213">
        <f t="shared" si="54"/>
        <v>1.2353999999999998</v>
      </c>
      <c r="CG324" s="212">
        <f t="shared" si="15"/>
        <v>1.42</v>
      </c>
      <c r="CH324" s="213">
        <f t="shared" si="55"/>
        <v>1.5478000000000001</v>
      </c>
      <c r="CI324" s="212">
        <f t="shared" si="16"/>
        <v>1.7</v>
      </c>
      <c r="CJ324" s="214">
        <f t="shared" si="56"/>
        <v>1.0486</v>
      </c>
      <c r="CK324" s="214">
        <f t="shared" si="57"/>
        <v>1.148922</v>
      </c>
      <c r="CL324" s="214">
        <f t="shared" si="58"/>
        <v>1.3915999999999999</v>
      </c>
      <c r="CM324" s="214">
        <f t="shared" si="59"/>
        <v>1.501366</v>
      </c>
      <c r="CN324" s="215">
        <f t="shared" si="60"/>
        <v>1.6319999999999999</v>
      </c>
      <c r="CO324" s="213">
        <f t="shared" si="61"/>
        <v>1.006656</v>
      </c>
      <c r="CP324" s="216">
        <f t="shared" si="62"/>
        <v>-593.97636560541241</v>
      </c>
      <c r="CQ324" s="217">
        <f t="shared" si="63"/>
        <v>15535.28211614206</v>
      </c>
      <c r="CR324" s="218">
        <f t="shared" si="72"/>
        <v>545.35765989458764</v>
      </c>
      <c r="CS324" s="49"/>
      <c r="CT324" s="49"/>
      <c r="CU324" s="49"/>
      <c r="CV324" s="49"/>
      <c r="CW324" s="49"/>
      <c r="CX324" s="49"/>
      <c r="CY324" s="49"/>
      <c r="CZ324" s="49"/>
      <c r="DA324" s="49"/>
      <c r="DB324" s="49"/>
      <c r="DC324" s="49"/>
      <c r="DD324" s="49"/>
      <c r="DE324" s="49"/>
      <c r="DF324" s="49"/>
      <c r="DG324" s="49"/>
      <c r="DH324" s="49"/>
      <c r="DI324" s="49"/>
      <c r="DJ324" s="49"/>
      <c r="DK324" s="49"/>
      <c r="DL324" s="49"/>
      <c r="DM324" s="49"/>
      <c r="DN324" s="49"/>
      <c r="DO324" s="49"/>
      <c r="DP324" s="49"/>
      <c r="DQ324" s="49"/>
      <c r="DR324" s="49"/>
      <c r="DS324" s="49"/>
      <c r="DT324" s="49"/>
      <c r="DU324" s="49"/>
      <c r="DV324" s="49"/>
      <c r="DW324" s="49"/>
      <c r="DX324" s="49"/>
      <c r="DY324" s="49"/>
      <c r="DZ324" s="49"/>
      <c r="EA324" s="49"/>
      <c r="EB324" s="49"/>
      <c r="EC324" s="49"/>
      <c r="ED324" s="49"/>
      <c r="EE324" s="49"/>
      <c r="EF324" s="49"/>
      <c r="EG324" s="49"/>
      <c r="EH324" s="49"/>
      <c r="EI324" s="49"/>
      <c r="EJ324" s="49"/>
      <c r="EK324" s="49"/>
      <c r="EL324" s="49"/>
      <c r="EM324" s="49"/>
      <c r="EN324" s="49"/>
      <c r="EO324" s="49"/>
      <c r="EP324" s="49"/>
      <c r="EQ324" s="49"/>
      <c r="ER324" s="49"/>
      <c r="ES324" s="49"/>
      <c r="ET324" s="49"/>
      <c r="EU324" s="49"/>
      <c r="EV324" s="49"/>
      <c r="EW324" s="49"/>
      <c r="EX324" s="49"/>
      <c r="EY324" s="49"/>
      <c r="EZ324" s="49"/>
      <c r="FA324" s="49"/>
    </row>
    <row r="325" spans="1:157" s="210" customFormat="1" ht="51" x14ac:dyDescent="0.25">
      <c r="A325" s="113">
        <f>IF(AND('[1]Cockpit Retorno'!$E$67=Sim,Mestre!M325=Mestre!$M$98),0,1)</f>
        <v>1</v>
      </c>
      <c r="B325" s="113">
        <f>IF(AND('[1]Cockpit Retorno'!$E$67=Sim,Mestre!L325=Mestre!$L$48),0,1)</f>
        <v>1</v>
      </c>
      <c r="C325" s="113">
        <f>IF(AND('[1]Cockpit Retorno'!$E$67=Sim,Mestre!M325=Mestre!$M$97),0,1)</f>
        <v>1</v>
      </c>
      <c r="D325" s="148" t="s">
        <v>7</v>
      </c>
      <c r="E325" s="115"/>
      <c r="F325" s="116" t="s">
        <v>107</v>
      </c>
      <c r="G325" s="149">
        <v>12</v>
      </c>
      <c r="H325" s="150" t="s">
        <v>7</v>
      </c>
      <c r="I325" s="151" t="str">
        <f t="shared" si="65"/>
        <v>Mercadorias</v>
      </c>
      <c r="J325" s="150" t="s">
        <v>15</v>
      </c>
      <c r="K325" s="151" t="s">
        <v>7</v>
      </c>
      <c r="L325" s="153" t="s">
        <v>21</v>
      </c>
      <c r="M325" s="154" t="s">
        <v>414</v>
      </c>
      <c r="N325" s="155" t="s">
        <v>472</v>
      </c>
      <c r="O325" s="155" t="s">
        <v>412</v>
      </c>
      <c r="P325" s="155" t="s">
        <v>43</v>
      </c>
      <c r="Q325" s="155" t="s">
        <v>43</v>
      </c>
      <c r="R325" s="155" t="s">
        <v>43</v>
      </c>
      <c r="S325" s="156" t="s">
        <v>43</v>
      </c>
      <c r="T325" s="156" t="s">
        <v>43</v>
      </c>
      <c r="U325" s="150" t="s">
        <v>43</v>
      </c>
      <c r="V325" s="150" t="s">
        <v>43</v>
      </c>
      <c r="W325" s="150" t="s">
        <v>43</v>
      </c>
      <c r="X325" s="157" t="s">
        <v>451</v>
      </c>
      <c r="Y325" s="150" t="s">
        <v>43</v>
      </c>
      <c r="Z325" s="150" t="s">
        <v>43</v>
      </c>
      <c r="AA325" s="150">
        <v>0</v>
      </c>
      <c r="AB325" s="155" t="s">
        <v>43</v>
      </c>
      <c r="AC325" s="150" t="s">
        <v>43</v>
      </c>
      <c r="AD325" s="155" t="s">
        <v>43</v>
      </c>
      <c r="AE325" s="155"/>
      <c r="AF325" s="150" t="s">
        <v>43</v>
      </c>
      <c r="AG325" s="159">
        <f>AG324*2</f>
        <v>72</v>
      </c>
      <c r="AH325" s="211">
        <v>132.04140000000001</v>
      </c>
      <c r="AI325" s="202">
        <v>0</v>
      </c>
      <c r="AJ325" s="161">
        <v>0.12</v>
      </c>
      <c r="AK325" s="162"/>
      <c r="AL325" s="163"/>
      <c r="AM325" s="164">
        <f>(((IF(L325=$L$101,1,IF(L325=$L$47,1,0))*(AH325*(1-AK325)))*AG325)*(1-AL325))</f>
        <v>0</v>
      </c>
      <c r="AN325" s="165">
        <f>IF(K325=$K$50,AM325,IF(K325=$K$53,AM325,IF(K325=$K$54,AM325,IF(K325=$K$55,AM325,IF(K325=$K$56,AM325,IF(K325=$K$57,AM325,IF(K325=$K$58,AM325,IF(K325=$K$65,AM325,IF(K325=$K$66,AM325,IF(K325=$K$67,AM325,IF(K325=$K$68,AM325,IF(K325=$K$69,AM325,IF(K325=$K$51,AM325,(AM325*(1+AI325)))))))))))))))</f>
        <v>0</v>
      </c>
      <c r="AO325" s="166">
        <v>1.4</v>
      </c>
      <c r="AP325" s="160">
        <f t="shared" si="66"/>
        <v>0</v>
      </c>
      <c r="AQ325" s="167">
        <f t="shared" si="74"/>
        <v>0</v>
      </c>
      <c r="AR325" s="160">
        <f t="shared" si="67"/>
        <v>0</v>
      </c>
      <c r="AS325" s="168">
        <f t="shared" si="68"/>
        <v>0</v>
      </c>
      <c r="AT325" s="169" t="str">
        <f>K325</f>
        <v>MI</v>
      </c>
      <c r="AU325" s="169" t="str">
        <f>I325</f>
        <v>Mercadorias</v>
      </c>
      <c r="AV325" s="170"/>
      <c r="AW325" s="171">
        <f>IF(K325=$K$50,0,IF(K325=$K$53,0,IF(K325=$K$54,0,IF(K325=$K$55,0,IF(K325=$K$56,0,IF(K325=$K$57,0,IF(K325=$K$58,0,IF(K325=$K$65,0,IF(K325=$K$66,0,IF(K325=$K$67,0,IF(K325=$K$68,0,IF(K325=$K$69,0,IF(K325=$K$51,0,1))))))))))))*AM325*AI325)</f>
        <v>0</v>
      </c>
      <c r="AX325" s="172">
        <f>IF(K325=$K$50,0,IF(K325=$K$53,0,IF(K325=$K$54,0,IF(K325=$K$55,0,IF(K325=$K$56,0,IF(K325=$K$57,0,IF(K325=$K$58,0,IF(K325=$K$65,0,IF(K325=$K$66,0,IF(K325=$K$67,0,IF(K325=$K$68,0,IF(K325=$K$69,0,IF(K325=$K$51,0,1))))))))))))*AM325*AJ325*$AX$94)</f>
        <v>0</v>
      </c>
      <c r="AY325" s="172">
        <f>IF(K325=$K$53,0,IF(K325=$K$54,0,IF(K325=$K$55,0,IF(K325=$K$56,0,IF(K325=$K$58,0,IF(K325=$K$50,0,IF(K325=$K$65,0,IF(K325=$K$57,0,IF(K325=$K$51,0,AM325*$AY$102)))))))))</f>
        <v>0</v>
      </c>
      <c r="AZ325" s="172">
        <f>IF(K325=$K$53,0,IF(K325=$K$54,0,IF(K325=$K$55,0,IF(K325=$K$56,0,IF(K325=$K$58,0,IF(K325=$K$50,0,IF(K325=$K$65,0,IF(K325=$K$57,0,IF(K325=$K$51,0,AM325*$AZ$102)))))))))</f>
        <v>0</v>
      </c>
      <c r="BA325" s="172">
        <f t="shared" si="69"/>
        <v>0</v>
      </c>
      <c r="BB325" s="173">
        <f>IF($BA$97=1,AQ325*$BB$102,IF(K325=$K$50,0,IF(K325=$K$53,0,IF(K325=$K$54,0,IF(K325=$K$55,0,IF(K325=$K$56,0,IF(K325=$K$57,0,IF(K325=$K$58,0,IF(K325=$K$65,0,IF(K325=$K$66,0,IF(K325=$K$67,0,IF(K325=$K$68,0,IF(K325=$K$69,0,IF(K325=$K$51,0,1)))))))))))*AQ325*$BB$102)))</f>
        <v>0</v>
      </c>
      <c r="BC325" s="172">
        <f t="shared" si="70"/>
        <v>0</v>
      </c>
      <c r="BD325" s="172">
        <f t="shared" si="71"/>
        <v>0</v>
      </c>
      <c r="BE325" s="172">
        <f>IF($BE$95=I325,$BE$97,IF(I325=$BE$96,$BE$97,1))*($BE$102*AQ325)*$AZ$97</f>
        <v>0</v>
      </c>
      <c r="BF325" s="172">
        <f>IF('[1]Cockpit Retorno'!$C$65=Sim,Mestre!BA325,SUM(BB325:BE325)+(IF(K325=$K$56,AQ325*MOE_IRRF_LR,0)))</f>
        <v>0</v>
      </c>
      <c r="BG325" s="174">
        <f>IF(AA325&gt;0,0,IF(Z325=$Z$82,AG325*1,(IF(Z325=$Z$81,AG325*1,0))))</f>
        <v>0</v>
      </c>
      <c r="BH325" s="174">
        <f>IF(AA325&gt;0,0,IF(Z325=$Z$83,AG325*1,IF(Z325=$Z$81,AG325*1,0)))</f>
        <v>0</v>
      </c>
      <c r="BI325" s="174">
        <f>IF(AA325&gt;0,0,IF(Z325=$Z$84,AG325*1,IF(Z325=$Z$93,AG325*2,IF(Z325=$Z$100,AG325,IF(Z325=$Z$81,AG325*2,IF(Z325=$Z$80,AG325*1,IF(Z325=$Z$79,AG325*3,IF(Z325=$Z$78,AG325*2,0))))))))</f>
        <v>0</v>
      </c>
      <c r="BJ325" s="174">
        <f>IF(AA325&gt;0,0,IF(Z325=$Z$85,AG325,IF(Z325=$Z$93,AG325,IF(Z325=$Z$100,AG325,IF(Z325=$Z$81,AG325*1,IF(Z325=$Z$80,AG325*2,IF(Z325=$Z$79,AG325*2,IF(Z325=$Z$78,AG325*2,0))))))))</f>
        <v>0</v>
      </c>
      <c r="BK325" s="174">
        <f>IF(AA325&gt;0,0,IF(Z325=$Z$92,AG325,0))</f>
        <v>0</v>
      </c>
      <c r="BL325" s="174">
        <f>IF(AA325&gt;0,0,IF(Z325=$Z$91,AG325,0))</f>
        <v>0</v>
      </c>
      <c r="BM325" s="174">
        <f>IF(AA325&gt;0,0,IF(Z325=$Z$86,AG325,0))</f>
        <v>0</v>
      </c>
      <c r="BN325" s="174">
        <f>IF(AA325&gt;0,0,IF(Z325=$Z$87,AG325,0))</f>
        <v>0</v>
      </c>
      <c r="BO325" s="174">
        <f>IF(AA325&gt;0,0,IF(Z325=$Z$88,AG325,0))</f>
        <v>0</v>
      </c>
      <c r="BP325" s="174">
        <f>IF(AA325&gt;0,0,IF(Z325=$Z$89,AG325,0))</f>
        <v>0</v>
      </c>
      <c r="BQ325" s="174">
        <f>IF(AA325&gt;0,0,IF(Z325=$Z$90,AG325,0))</f>
        <v>0</v>
      </c>
      <c r="BR325" s="174">
        <f>IF(Z325=$Z$82,AA325*AG325,0)</f>
        <v>0</v>
      </c>
      <c r="BS325" s="174">
        <f>IF(Z325=$Z$83,AA325*AG325,0)</f>
        <v>0</v>
      </c>
      <c r="BT325" s="174">
        <f>IF(AA325&lt;1,0,IF(Z325=$Z$84,AA325*AG325,IF(Z325=$Z$93,"ERRO",IF(Z325=$Z$100,"ERRO",0))))</f>
        <v>0</v>
      </c>
      <c r="BU325" s="174">
        <f>IF(AA325&lt;1,0,IF(Z325=$Z$85,AA325*AG325,IF(Z325=$Z$93,"ERRO",IF(Z325=$Z$100,"ERRO",0))))</f>
        <v>0</v>
      </c>
      <c r="BV325" s="174">
        <f>IF(Z325=$Z$92,AA325*AG325,0)</f>
        <v>0</v>
      </c>
      <c r="BW325" s="174">
        <f>IF(Z325=$Z$91,AA325*AG325,0)</f>
        <v>0</v>
      </c>
      <c r="BX325" s="174">
        <f>IF(Z325=$Z$86,AA325*AG325,0)</f>
        <v>0</v>
      </c>
      <c r="BY325" s="174">
        <f>IF(Z325=$Z$87,AA325*AG325,0)</f>
        <v>0</v>
      </c>
      <c r="BZ325" s="174">
        <f>IF(Z325=$Z$88,AA325*AG325,0)</f>
        <v>0</v>
      </c>
      <c r="CA325" s="174">
        <f>IF(Z325=$Z$89,AA325*AG325,0)</f>
        <v>0</v>
      </c>
      <c r="CB325" s="174">
        <f>IF(Z325=$Z$90,AA325*AG325,0)</f>
        <v>0</v>
      </c>
      <c r="CC325" s="175">
        <f>IFERROR(IF(L325=$L$49,AG325*AH325*(1+AI325)*(1-AK325)*(1-AL325),0),0)</f>
        <v>9506.9808000000012</v>
      </c>
      <c r="CD325" s="212">
        <f>IF(I325=$CD$97,1,IF(I325=$CD$100,2,IF(K325=$K$66,1,IF(K325=$K$69,1,3))))</f>
        <v>1</v>
      </c>
      <c r="CE325" s="212">
        <f t="shared" si="14"/>
        <v>1.07</v>
      </c>
      <c r="CF325" s="213">
        <f t="shared" si="54"/>
        <v>1.2353999999999998</v>
      </c>
      <c r="CG325" s="212">
        <f t="shared" si="15"/>
        <v>1.42</v>
      </c>
      <c r="CH325" s="213">
        <f t="shared" si="55"/>
        <v>1.5478000000000001</v>
      </c>
      <c r="CI325" s="212">
        <f t="shared" si="16"/>
        <v>1.7</v>
      </c>
      <c r="CJ325" s="214">
        <f t="shared" si="56"/>
        <v>1.0486</v>
      </c>
      <c r="CK325" s="214">
        <f t="shared" si="57"/>
        <v>1.148922</v>
      </c>
      <c r="CL325" s="214">
        <f t="shared" si="58"/>
        <v>1.3915999999999999</v>
      </c>
      <c r="CM325" s="214">
        <f t="shared" si="59"/>
        <v>1.501366</v>
      </c>
      <c r="CN325" s="215">
        <f t="shared" si="60"/>
        <v>1.6319999999999999</v>
      </c>
      <c r="CO325" s="213">
        <f t="shared" si="61"/>
        <v>1.006656</v>
      </c>
      <c r="CP325" s="216">
        <f t="shared" si="62"/>
        <v>0</v>
      </c>
      <c r="CQ325" s="217">
        <f t="shared" si="63"/>
        <v>0</v>
      </c>
      <c r="CR325" s="218">
        <f t="shared" si="72"/>
        <v>0</v>
      </c>
      <c r="CS325" s="49"/>
      <c r="CT325" s="49"/>
      <c r="CU325" s="49"/>
      <c r="CV325" s="49"/>
      <c r="CW325" s="49"/>
      <c r="CX325" s="49"/>
      <c r="CY325" s="49"/>
      <c r="CZ325" s="49"/>
      <c r="DA325" s="49"/>
      <c r="DB325" s="49"/>
      <c r="DC325" s="49"/>
      <c r="DD325" s="49"/>
      <c r="DE325" s="49"/>
      <c r="DF325" s="49"/>
      <c r="DG325" s="49"/>
      <c r="DH325" s="49"/>
      <c r="DI325" s="49"/>
      <c r="DJ325" s="49"/>
      <c r="DK325" s="49"/>
      <c r="DL325" s="49"/>
      <c r="DM325" s="49"/>
      <c r="DN325" s="49"/>
      <c r="DO325" s="49"/>
      <c r="DP325" s="49"/>
      <c r="DQ325" s="49"/>
      <c r="DR325" s="49"/>
      <c r="DS325" s="49"/>
      <c r="DT325" s="49"/>
      <c r="DU325" s="49"/>
      <c r="DV325" s="49"/>
      <c r="DW325" s="49"/>
      <c r="DX325" s="49"/>
      <c r="DY325" s="49"/>
      <c r="DZ325" s="49"/>
      <c r="EA325" s="49"/>
      <c r="EB325" s="49"/>
      <c r="EC325" s="49"/>
      <c r="ED325" s="49"/>
      <c r="EE325" s="49"/>
      <c r="EF325" s="49"/>
      <c r="EG325" s="49"/>
      <c r="EH325" s="49"/>
      <c r="EI325" s="49"/>
      <c r="EJ325" s="49"/>
      <c r="EK325" s="49"/>
      <c r="EL325" s="49"/>
      <c r="EM325" s="49"/>
      <c r="EN325" s="49"/>
      <c r="EO325" s="49"/>
      <c r="EP325" s="49"/>
      <c r="EQ325" s="49"/>
      <c r="ER325" s="49"/>
      <c r="ES325" s="49"/>
      <c r="ET325" s="49"/>
      <c r="EU325" s="49"/>
      <c r="EV325" s="49"/>
      <c r="EW325" s="49"/>
      <c r="EX325" s="49"/>
      <c r="EY325" s="49"/>
      <c r="EZ325" s="49"/>
      <c r="FA325" s="49"/>
    </row>
    <row r="326" spans="1:157" s="210" customFormat="1" ht="25.5" x14ac:dyDescent="0.25">
      <c r="A326" s="113">
        <f>IF(AND('[1]Cockpit Retorno'!$E$67=Sim,Mestre!M326=Mestre!$M$98),0,1)</f>
        <v>1</v>
      </c>
      <c r="B326" s="113">
        <f>IF(AND('[1]Cockpit Retorno'!$E$67=Sim,Mestre!L326=Mestre!$L$48),0,1)</f>
        <v>1</v>
      </c>
      <c r="C326" s="113">
        <f>IF(AND('[1]Cockpit Retorno'!$E$67=Sim,Mestre!M326=Mestre!$M$97),0,1)</f>
        <v>1</v>
      </c>
      <c r="D326" s="148" t="s">
        <v>7</v>
      </c>
      <c r="E326" s="115"/>
      <c r="F326" s="116" t="s">
        <v>107</v>
      </c>
      <c r="G326" s="149">
        <v>2</v>
      </c>
      <c r="H326" s="150" t="s">
        <v>7</v>
      </c>
      <c r="I326" s="151" t="str">
        <f t="shared" si="65"/>
        <v>Mercadorias</v>
      </c>
      <c r="J326" s="150" t="s">
        <v>15</v>
      </c>
      <c r="K326" s="151" t="s">
        <v>7</v>
      </c>
      <c r="L326" s="153" t="s">
        <v>21</v>
      </c>
      <c r="M326" s="154" t="s">
        <v>361</v>
      </c>
      <c r="N326" s="155" t="s">
        <v>472</v>
      </c>
      <c r="O326" s="155" t="s">
        <v>363</v>
      </c>
      <c r="P326" s="155" t="s">
        <v>43</v>
      </c>
      <c r="Q326" s="155" t="s">
        <v>43</v>
      </c>
      <c r="R326" s="155" t="s">
        <v>43</v>
      </c>
      <c r="S326" s="156" t="s">
        <v>43</v>
      </c>
      <c r="T326" s="156" t="s">
        <v>43</v>
      </c>
      <c r="U326" s="150" t="s">
        <v>43</v>
      </c>
      <c r="V326" s="150" t="s">
        <v>43</v>
      </c>
      <c r="W326" s="150" t="s">
        <v>43</v>
      </c>
      <c r="X326" s="157" t="s">
        <v>484</v>
      </c>
      <c r="Y326" s="150" t="s">
        <v>43</v>
      </c>
      <c r="Z326" s="150" t="s">
        <v>43</v>
      </c>
      <c r="AA326" s="150">
        <v>0</v>
      </c>
      <c r="AB326" s="155" t="s">
        <v>43</v>
      </c>
      <c r="AC326" s="150" t="s">
        <v>43</v>
      </c>
      <c r="AD326" s="155" t="s">
        <v>43</v>
      </c>
      <c r="AE326" s="155"/>
      <c r="AF326" s="150" t="s">
        <v>43</v>
      </c>
      <c r="AG326" s="159">
        <f>[1]Típicos!I75*Mestre!AG324</f>
        <v>289.08000000000004</v>
      </c>
      <c r="AH326" s="159">
        <v>6.2310000000000008</v>
      </c>
      <c r="AI326" s="202">
        <v>0</v>
      </c>
      <c r="AJ326" s="161">
        <v>0.12</v>
      </c>
      <c r="AK326" s="162"/>
      <c r="AL326" s="163"/>
      <c r="AM326" s="164">
        <f>(((IF(L326=$L$101,1,IF(L326=$L$47,1,0))*(AH326*(1-AK326)))*AG326)*(1-AL326))</f>
        <v>0</v>
      </c>
      <c r="AN326" s="165">
        <f>IF(K326=$K$50,AM326,IF(K326=$K$53,AM326,IF(K326=$K$54,AM326,IF(K326=$K$55,AM326,IF(K326=$K$56,AM326,IF(K326=$K$57,AM326,IF(K326=$K$58,AM326,IF(K326=$K$65,AM326,IF(K326=$K$66,AM326,IF(K326=$K$67,AM326,IF(K326=$K$68,AM326,IF(K326=$K$69,AM326,IF(K326=$K$51,AM326,(AM326*(1+AI326)))))))))))))))</f>
        <v>0</v>
      </c>
      <c r="AO326" s="166">
        <v>1.4</v>
      </c>
      <c r="AP326" s="160">
        <f t="shared" si="66"/>
        <v>0</v>
      </c>
      <c r="AQ326" s="167">
        <f t="shared" si="74"/>
        <v>0</v>
      </c>
      <c r="AR326" s="160">
        <f t="shared" si="67"/>
        <v>0</v>
      </c>
      <c r="AS326" s="168">
        <f t="shared" si="68"/>
        <v>0</v>
      </c>
      <c r="AT326" s="169" t="str">
        <f>K326</f>
        <v>MI</v>
      </c>
      <c r="AU326" s="169" t="str">
        <f>I326</f>
        <v>Mercadorias</v>
      </c>
      <c r="AV326" s="170"/>
      <c r="AW326" s="171">
        <f>IF(K326=$K$50,0,IF(K326=$K$53,0,IF(K326=$K$54,0,IF(K326=$K$55,0,IF(K326=$K$56,0,IF(K326=$K$57,0,IF(K326=$K$58,0,IF(K326=$K$65,0,IF(K326=$K$66,0,IF(K326=$K$67,0,IF(K326=$K$68,0,IF(K326=$K$69,0,IF(K326=$K$51,0,1))))))))))))*AM326*AI326)</f>
        <v>0</v>
      </c>
      <c r="AX326" s="172">
        <f>IF(K326=$K$50,0,IF(K326=$K$53,0,IF(K326=$K$54,0,IF(K326=$K$55,0,IF(K326=$K$56,0,IF(K326=$K$57,0,IF(K326=$K$58,0,IF(K326=$K$65,0,IF(K326=$K$66,0,IF(K326=$K$67,0,IF(K326=$K$68,0,IF(K326=$K$69,0,IF(K326=$K$51,0,1))))))))))))*AM326*AJ326*$AX$94)</f>
        <v>0</v>
      </c>
      <c r="AY326" s="172">
        <f>IF(K326=$K$53,0,IF(K326=$K$54,0,IF(K326=$K$55,0,IF(K326=$K$56,0,IF(K326=$K$58,0,IF(K326=$K$50,0,IF(K326=$K$65,0,IF(K326=$K$57,0,IF(K326=$K$51,0,AM326*$AY$102)))))))))</f>
        <v>0</v>
      </c>
      <c r="AZ326" s="172">
        <f>IF(K326=$K$53,0,IF(K326=$K$54,0,IF(K326=$K$55,0,IF(K326=$K$56,0,IF(K326=$K$58,0,IF(K326=$K$50,0,IF(K326=$K$65,0,IF(K326=$K$57,0,IF(K326=$K$51,0,AM326*$AZ$102)))))))))</f>
        <v>0</v>
      </c>
      <c r="BA326" s="172">
        <f t="shared" si="69"/>
        <v>0</v>
      </c>
      <c r="BB326" s="173">
        <f>IF($BA$97=1,AQ326*$BB$102,IF(K326=$K$50,0,IF(K326=$K$53,0,IF(K326=$K$54,0,IF(K326=$K$55,0,IF(K326=$K$56,0,IF(K326=$K$57,0,IF(K326=$K$58,0,IF(K326=$K$65,0,IF(K326=$K$66,0,IF(K326=$K$67,0,IF(K326=$K$68,0,IF(K326=$K$69,0,IF(K326=$K$51,0,1)))))))))))*AQ326*$BB$102)))</f>
        <v>0</v>
      </c>
      <c r="BC326" s="172">
        <f t="shared" si="70"/>
        <v>0</v>
      </c>
      <c r="BD326" s="172">
        <f t="shared" si="71"/>
        <v>0</v>
      </c>
      <c r="BE326" s="172">
        <f>IF($BE$95=I326,$BE$97,IF(I326=$BE$96,$BE$97,1))*($BE$102*AQ326)*$AZ$97</f>
        <v>0</v>
      </c>
      <c r="BF326" s="172">
        <f>IF('[1]Cockpit Retorno'!$C$65=Sim,Mestre!BA326,SUM(BB326:BE326)+(IF(K326=$K$56,AQ326*MOE_IRRF_LR,0)))</f>
        <v>0</v>
      </c>
      <c r="BG326" s="174">
        <f>IF(AA326&gt;0,0,IF(Z326=$Z$82,AG326*1,(IF(Z326=$Z$81,AG326*1,0))))</f>
        <v>0</v>
      </c>
      <c r="BH326" s="174">
        <f>IF(AA326&gt;0,0,IF(Z326=$Z$83,AG326*1,IF(Z326=$Z$81,AG326*1,0)))</f>
        <v>0</v>
      </c>
      <c r="BI326" s="174">
        <f>IF(AA326&gt;0,0,IF(Z326=$Z$84,AG326*1,IF(Z326=$Z$93,AG326*2,IF(Z326=$Z$100,AG326,IF(Z326=$Z$81,AG326*2,IF(Z326=$Z$80,AG326*1,IF(Z326=$Z$79,AG326*3,IF(Z326=$Z$78,AG326*2,0))))))))</f>
        <v>0</v>
      </c>
      <c r="BJ326" s="174">
        <f>IF(AA326&gt;0,0,IF(Z326=$Z$85,AG326,IF(Z326=$Z$93,AG326,IF(Z326=$Z$100,AG326,IF(Z326=$Z$81,AG326*1,IF(Z326=$Z$80,AG326*2,IF(Z326=$Z$79,AG326*2,IF(Z326=$Z$78,AG326*2,0))))))))</f>
        <v>0</v>
      </c>
      <c r="BK326" s="174">
        <f>IF(AA326&gt;0,0,IF(Z326=$Z$92,AG326,0))</f>
        <v>0</v>
      </c>
      <c r="BL326" s="174">
        <f>IF(AA326&gt;0,0,IF(Z326=$Z$91,AG326,0))</f>
        <v>0</v>
      </c>
      <c r="BM326" s="174">
        <f>IF(AA326&gt;0,0,IF(Z326=$Z$86,AG326,0))</f>
        <v>0</v>
      </c>
      <c r="BN326" s="174">
        <f>IF(AA326&gt;0,0,IF(Z326=$Z$87,AG326,0))</f>
        <v>0</v>
      </c>
      <c r="BO326" s="174">
        <f>IF(AA326&gt;0,0,IF(Z326=$Z$88,AG326,0))</f>
        <v>0</v>
      </c>
      <c r="BP326" s="174">
        <f>IF(AA326&gt;0,0,IF(Z326=$Z$89,AG326,0))</f>
        <v>0</v>
      </c>
      <c r="BQ326" s="174">
        <f>IF(AA326&gt;0,0,IF(Z326=$Z$90,AG326,0))</f>
        <v>0</v>
      </c>
      <c r="BR326" s="174">
        <f>IF(Z326=$Z$82,AA326*AG326,0)</f>
        <v>0</v>
      </c>
      <c r="BS326" s="174">
        <f>IF(Z326=$Z$83,AA326*AG326,0)</f>
        <v>0</v>
      </c>
      <c r="BT326" s="174">
        <f>IF(AA326&lt;1,0,IF(Z326=$Z$84,AA326*AG326,IF(Z326=$Z$93,"ERRO",IF(Z326=$Z$100,"ERRO",0))))</f>
        <v>0</v>
      </c>
      <c r="BU326" s="174">
        <f>IF(AA326&lt;1,0,IF(Z326=$Z$85,AA326*AG326,IF(Z326=$Z$93,"ERRO",IF(Z326=$Z$100,"ERRO",0))))</f>
        <v>0</v>
      </c>
      <c r="BV326" s="174">
        <f>IF(Z326=$Z$92,AA326*AG326,0)</f>
        <v>0</v>
      </c>
      <c r="BW326" s="174">
        <f>IF(Z326=$Z$91,AA326*AG326,0)</f>
        <v>0</v>
      </c>
      <c r="BX326" s="174">
        <f>IF(Z326=$Z$86,AA326*AG326,0)</f>
        <v>0</v>
      </c>
      <c r="BY326" s="174">
        <f>IF(Z326=$Z$87,AA326*AG326,0)</f>
        <v>0</v>
      </c>
      <c r="BZ326" s="174">
        <f>IF(Z326=$Z$88,AA326*AG326,0)</f>
        <v>0</v>
      </c>
      <c r="CA326" s="174">
        <f>IF(Z326=$Z$89,AA326*AG326,0)</f>
        <v>0</v>
      </c>
      <c r="CB326" s="174">
        <f>IF(Z326=$Z$90,AA326*AG326,0)</f>
        <v>0</v>
      </c>
      <c r="CC326" s="175">
        <f>IFERROR(IF(L326=$L$49,AG326*AH326*(1+AI326)*(1-AK326)*(1-AL326),0),0)</f>
        <v>1801.2574800000004</v>
      </c>
      <c r="CD326" s="212">
        <f>IF(I326=$CD$97,1,IF(I326=$CD$100,2,IF(K326=$K$66,1,IF(K326=$K$69,1,3))))</f>
        <v>1</v>
      </c>
      <c r="CE326" s="212">
        <f t="shared" si="14"/>
        <v>1.07</v>
      </c>
      <c r="CF326" s="213">
        <f t="shared" si="54"/>
        <v>1.2353999999999998</v>
      </c>
      <c r="CG326" s="212">
        <f t="shared" si="15"/>
        <v>1.42</v>
      </c>
      <c r="CH326" s="213">
        <f t="shared" si="55"/>
        <v>1.5478000000000001</v>
      </c>
      <c r="CI326" s="212">
        <f t="shared" si="16"/>
        <v>1.7</v>
      </c>
      <c r="CJ326" s="214">
        <f t="shared" si="56"/>
        <v>1.0486</v>
      </c>
      <c r="CK326" s="214">
        <f t="shared" si="57"/>
        <v>1.148922</v>
      </c>
      <c r="CL326" s="214">
        <f t="shared" si="58"/>
        <v>1.3915999999999999</v>
      </c>
      <c r="CM326" s="214">
        <f t="shared" si="59"/>
        <v>1.501366</v>
      </c>
      <c r="CN326" s="215">
        <f t="shared" si="60"/>
        <v>1.6319999999999999</v>
      </c>
      <c r="CO326" s="213">
        <f t="shared" si="61"/>
        <v>1.006656</v>
      </c>
      <c r="CP326" s="216">
        <f t="shared" si="62"/>
        <v>0</v>
      </c>
      <c r="CQ326" s="217">
        <f t="shared" si="63"/>
        <v>0</v>
      </c>
      <c r="CR326" s="218">
        <f t="shared" si="72"/>
        <v>0</v>
      </c>
      <c r="CS326" s="49"/>
      <c r="CT326" s="49"/>
      <c r="CU326" s="49"/>
      <c r="CV326" s="49"/>
      <c r="CW326" s="49"/>
      <c r="CX326" s="49"/>
      <c r="CY326" s="49"/>
      <c r="CZ326" s="49"/>
      <c r="DA326" s="49"/>
      <c r="DB326" s="49"/>
      <c r="DC326" s="49"/>
      <c r="DD326" s="49"/>
      <c r="DE326" s="49"/>
      <c r="DF326" s="49"/>
      <c r="DG326" s="49"/>
      <c r="DH326" s="49"/>
      <c r="DI326" s="49"/>
      <c r="DJ326" s="49"/>
      <c r="DK326" s="49"/>
      <c r="DL326" s="49"/>
      <c r="DM326" s="49"/>
      <c r="DN326" s="49"/>
      <c r="DO326" s="49"/>
      <c r="DP326" s="49"/>
      <c r="DQ326" s="49"/>
      <c r="DR326" s="49"/>
      <c r="DS326" s="49"/>
      <c r="DT326" s="49"/>
      <c r="DU326" s="49"/>
      <c r="DV326" s="49"/>
      <c r="DW326" s="49"/>
      <c r="DX326" s="49"/>
      <c r="DY326" s="49"/>
      <c r="DZ326" s="49"/>
      <c r="EA326" s="49"/>
      <c r="EB326" s="49"/>
      <c r="EC326" s="49"/>
      <c r="ED326" s="49"/>
      <c r="EE326" s="49"/>
      <c r="EF326" s="49"/>
      <c r="EG326" s="49"/>
      <c r="EH326" s="49"/>
      <c r="EI326" s="49"/>
      <c r="EJ326" s="49"/>
      <c r="EK326" s="49"/>
      <c r="EL326" s="49"/>
      <c r="EM326" s="49"/>
      <c r="EN326" s="49"/>
      <c r="EO326" s="49"/>
      <c r="EP326" s="49"/>
      <c r="EQ326" s="49"/>
      <c r="ER326" s="49"/>
      <c r="ES326" s="49"/>
      <c r="ET326" s="49"/>
      <c r="EU326" s="49"/>
      <c r="EV326" s="49"/>
      <c r="EW326" s="49"/>
      <c r="EX326" s="49"/>
      <c r="EY326" s="49"/>
      <c r="EZ326" s="49"/>
      <c r="FA326" s="49"/>
    </row>
    <row r="327" spans="1:157" s="210" customFormat="1" ht="25.5" x14ac:dyDescent="0.25">
      <c r="A327" s="113">
        <f>IF(AND('[1]Cockpit Retorno'!$E$67=Sim,Mestre!M327=Mestre!$M$98),0,1)</f>
        <v>1</v>
      </c>
      <c r="B327" s="113">
        <f>IF(AND('[1]Cockpit Retorno'!$E$67=Sim,Mestre!L327=Mestre!$L$48),0,1)</f>
        <v>0</v>
      </c>
      <c r="C327" s="113">
        <f>IF(AND('[1]Cockpit Retorno'!$E$67=Sim,Mestre!M327=Mestre!$M$97),0,1)</f>
        <v>1</v>
      </c>
      <c r="D327" s="148" t="s">
        <v>7</v>
      </c>
      <c r="E327" s="115"/>
      <c r="F327" s="116" t="s">
        <v>107</v>
      </c>
      <c r="G327" s="149">
        <v>68</v>
      </c>
      <c r="H327" s="150" t="s">
        <v>7</v>
      </c>
      <c r="I327" s="151" t="str">
        <f t="shared" si="65"/>
        <v>Mercadorias</v>
      </c>
      <c r="J327" s="150" t="s">
        <v>15</v>
      </c>
      <c r="K327" s="151" t="s">
        <v>7</v>
      </c>
      <c r="L327" s="153" t="s">
        <v>15</v>
      </c>
      <c r="M327" s="154" t="s">
        <v>465</v>
      </c>
      <c r="N327" s="155" t="s">
        <v>472</v>
      </c>
      <c r="O327" s="155" t="s">
        <v>473</v>
      </c>
      <c r="P327" s="155" t="s">
        <v>43</v>
      </c>
      <c r="Q327" s="155" t="s">
        <v>43</v>
      </c>
      <c r="R327" s="155" t="s">
        <v>43</v>
      </c>
      <c r="S327" s="156" t="s">
        <v>43</v>
      </c>
      <c r="T327" s="156" t="s">
        <v>43</v>
      </c>
      <c r="U327" s="150" t="s">
        <v>43</v>
      </c>
      <c r="V327" s="150" t="s">
        <v>43</v>
      </c>
      <c r="W327" s="150" t="s">
        <v>43</v>
      </c>
      <c r="X327" s="157" t="s">
        <v>485</v>
      </c>
      <c r="Y327" s="150" t="s">
        <v>43</v>
      </c>
      <c r="Z327" s="150" t="s">
        <v>43</v>
      </c>
      <c r="AA327" s="150">
        <v>0</v>
      </c>
      <c r="AB327" s="155" t="s">
        <v>43</v>
      </c>
      <c r="AC327" s="150" t="s">
        <v>43</v>
      </c>
      <c r="AD327" s="155" t="s">
        <v>43</v>
      </c>
      <c r="AE327" s="155"/>
      <c r="AF327" s="150" t="s">
        <v>43</v>
      </c>
      <c r="AG327" s="159">
        <v>9</v>
      </c>
      <c r="AH327" s="159">
        <v>674.93820000000005</v>
      </c>
      <c r="AI327" s="202">
        <v>0</v>
      </c>
      <c r="AJ327" s="161">
        <v>0.12</v>
      </c>
      <c r="AK327" s="162"/>
      <c r="AL327" s="163"/>
      <c r="AM327" s="164">
        <f>(((IF(L327=$L$101,1,IF(L327=$L$47,1,0))*(AH327*(1-AK327)))*AG327)*(1-AL327))</f>
        <v>6074.4438000000009</v>
      </c>
      <c r="AN327" s="165">
        <f>IF(K327=$K$50,AM327,IF(K327=$K$53,AM327,IF(K327=$K$54,AM327,IF(K327=$K$55,AM327,IF(K327=$K$56,AM327,IF(K327=$K$57,AM327,IF(K327=$K$58,AM327,IF(K327=$K$65,AM327,IF(K327=$K$66,AM327,IF(K327=$K$67,AM327,IF(K327=$K$68,AM327,IF(K327=$K$69,AM327,IF(K327=$K$51,AM327,(AM327*(1+AI327)))))))))))))))</f>
        <v>6074.4438000000009</v>
      </c>
      <c r="AO327" s="166">
        <v>1.4</v>
      </c>
      <c r="AP327" s="160">
        <f t="shared" si="66"/>
        <v>8504.2213200000006</v>
      </c>
      <c r="AQ327" s="167">
        <f t="shared" si="74"/>
        <v>7368.6128075907973</v>
      </c>
      <c r="AR327" s="160">
        <f t="shared" si="67"/>
        <v>8504.2213200000006</v>
      </c>
      <c r="AS327" s="168">
        <f t="shared" si="68"/>
        <v>1.2612750638360886</v>
      </c>
      <c r="AT327" s="169" t="str">
        <f>K327</f>
        <v>MI</v>
      </c>
      <c r="AU327" s="169" t="str">
        <f>I327</f>
        <v>Mercadorias</v>
      </c>
      <c r="AV327" s="170"/>
      <c r="AW327" s="171">
        <f>IF(K327=$K$50,0,IF(K327=$K$53,0,IF(K327=$K$54,0,IF(K327=$K$55,0,IF(K327=$K$56,0,IF(K327=$K$57,0,IF(K327=$K$58,0,IF(K327=$K$65,0,IF(K327=$K$66,0,IF(K327=$K$67,0,IF(K327=$K$68,0,IF(K327=$K$69,0,IF(K327=$K$51,0,1))))))))))))*AM327*AI327)</f>
        <v>0</v>
      </c>
      <c r="AX327" s="172">
        <f>IF(K327=$K$50,0,IF(K327=$K$53,0,IF(K327=$K$54,0,IF(K327=$K$55,0,IF(K327=$K$56,0,IF(K327=$K$57,0,IF(K327=$K$58,0,IF(K327=$K$65,0,IF(K327=$K$66,0,IF(K327=$K$67,0,IF(K327=$K$68,0,IF(K327=$K$69,0,IF(K327=$K$51,0,1))))))))))))*AM327*AJ327*$AX$94)</f>
        <v>0</v>
      </c>
      <c r="AY327" s="172">
        <f>IF(K327=$K$53,0,IF(K327=$K$54,0,IF(K327=$K$55,0,IF(K327=$K$56,0,IF(K327=$K$58,0,IF(K327=$K$50,0,IF(K327=$K$65,0,IF(K327=$K$57,0,IF(K327=$K$51,0,AM327*$AY$102)))))))))</f>
        <v>100.22832270000002</v>
      </c>
      <c r="AZ327" s="172">
        <f>IF(K327=$K$53,0,IF(K327=$K$54,0,IF(K327=$K$55,0,IF(K327=$K$56,0,IF(K327=$K$58,0,IF(K327=$K$50,0,IF(K327=$K$65,0,IF(K327=$K$57,0,IF(K327=$K$51,0,AM327*$AZ$102)))))))))</f>
        <v>461.65772880000009</v>
      </c>
      <c r="BA327" s="172">
        <f t="shared" si="69"/>
        <v>561.88605150000012</v>
      </c>
      <c r="BB327" s="173">
        <f>IF($BA$97=1,AQ327*$BB$102,IF(K327=$K$50,0,IF(K327=$K$53,0,IF(K327=$K$54,0,IF(K327=$K$55,0,IF(K327=$K$56,0,IF(K327=$K$57,0,IF(K327=$K$58,0,IF(K327=$K$65,0,IF(K327=$K$66,0,IF(K327=$K$67,0,IF(K327=$K$68,0,IF(K327=$K$69,0,IF(K327=$K$51,0,1)))))))))))*AQ327*$BB$102)))</f>
        <v>0</v>
      </c>
      <c r="BC327" s="172">
        <f t="shared" si="70"/>
        <v>47.895983249340183</v>
      </c>
      <c r="BD327" s="172">
        <f t="shared" si="71"/>
        <v>221.05838422772391</v>
      </c>
      <c r="BE327" s="172">
        <f>IF($BE$95=I327,$BE$97,IF(I327=$BE$96,$BE$97,1))*($BE$102*AQ327)*$AZ$97</f>
        <v>0</v>
      </c>
      <c r="BF327" s="172">
        <f>IF('[1]Cockpit Retorno'!$C$65=Sim,Mestre!BA327,SUM(BB327:BE327)+(IF(K327=$K$56,AQ327*MOE_IRRF_LR,0)))</f>
        <v>268.95436747706407</v>
      </c>
      <c r="BG327" s="174">
        <f>IF(AA327&gt;0,0,IF(Z327=$Z$82,AG327*1,(IF(Z327=$Z$81,AG327*1,0))))</f>
        <v>0</v>
      </c>
      <c r="BH327" s="174">
        <f>IF(AA327&gt;0,0,IF(Z327=$Z$83,AG327*1,IF(Z327=$Z$81,AG327*1,0)))</f>
        <v>0</v>
      </c>
      <c r="BI327" s="174">
        <f>IF(AA327&gt;0,0,IF(Z327=$Z$84,AG327*1,IF(Z327=$Z$93,AG327*2,IF(Z327=$Z$100,AG327,IF(Z327=$Z$81,AG327*2,IF(Z327=$Z$80,AG327*1,IF(Z327=$Z$79,AG327*3,IF(Z327=$Z$78,AG327*2,0))))))))</f>
        <v>0</v>
      </c>
      <c r="BJ327" s="174">
        <f>IF(AA327&gt;0,0,IF(Z327=$Z$85,AG327,IF(Z327=$Z$93,AG327,IF(Z327=$Z$100,AG327,IF(Z327=$Z$81,AG327*1,IF(Z327=$Z$80,AG327*2,IF(Z327=$Z$79,AG327*2,IF(Z327=$Z$78,AG327*2,0))))))))</f>
        <v>0</v>
      </c>
      <c r="BK327" s="174">
        <f>IF(AA327&gt;0,0,IF(Z327=$Z$92,AG327,0))</f>
        <v>0</v>
      </c>
      <c r="BL327" s="174">
        <f>IF(AA327&gt;0,0,IF(Z327=$Z$91,AG327,0))</f>
        <v>0</v>
      </c>
      <c r="BM327" s="174">
        <f>IF(AA327&gt;0,0,IF(Z327=$Z$86,AG327,0))</f>
        <v>0</v>
      </c>
      <c r="BN327" s="174">
        <f>IF(AA327&gt;0,0,IF(Z327=$Z$87,AG327,0))</f>
        <v>0</v>
      </c>
      <c r="BO327" s="174">
        <f>IF(AA327&gt;0,0,IF(Z327=$Z$88,AG327,0))</f>
        <v>0</v>
      </c>
      <c r="BP327" s="174">
        <f>IF(AA327&gt;0,0,IF(Z327=$Z$89,AG327,0))</f>
        <v>0</v>
      </c>
      <c r="BQ327" s="174">
        <f>IF(AA327&gt;0,0,IF(Z327=$Z$90,AG327,0))</f>
        <v>0</v>
      </c>
      <c r="BR327" s="174">
        <f>IF(Z327=$Z$82,AA327*AG327,0)</f>
        <v>0</v>
      </c>
      <c r="BS327" s="174">
        <f>IF(Z327=$Z$83,AA327*AG327,0)</f>
        <v>0</v>
      </c>
      <c r="BT327" s="174">
        <f>IF(AA327&lt;1,0,IF(Z327=$Z$84,AA327*AG327,IF(Z327=$Z$93,"ERRO",IF(Z327=$Z$100,"ERRO",0))))</f>
        <v>0</v>
      </c>
      <c r="BU327" s="174">
        <f>IF(AA327&lt;1,0,IF(Z327=$Z$85,AA327*AG327,IF(Z327=$Z$93,"ERRO",IF(Z327=$Z$100,"ERRO",0))))</f>
        <v>0</v>
      </c>
      <c r="BV327" s="174">
        <f>IF(Z327=$Z$92,AA327*AG327,0)</f>
        <v>0</v>
      </c>
      <c r="BW327" s="174">
        <f>IF(Z327=$Z$91,AA327*AG327,0)</f>
        <v>0</v>
      </c>
      <c r="BX327" s="174">
        <f>IF(Z327=$Z$86,AA327*AG327,0)</f>
        <v>0</v>
      </c>
      <c r="BY327" s="174">
        <f>IF(Z327=$Z$87,AA327*AG327,0)</f>
        <v>0</v>
      </c>
      <c r="BZ327" s="174">
        <f>IF(Z327=$Z$88,AA327*AG327,0)</f>
        <v>0</v>
      </c>
      <c r="CA327" s="174">
        <f>IF(Z327=$Z$89,AA327*AG327,0)</f>
        <v>0</v>
      </c>
      <c r="CB327" s="174">
        <f>IF(Z327=$Z$90,AA327*AG327,0)</f>
        <v>0</v>
      </c>
      <c r="CC327" s="175">
        <f>IFERROR(IF(L327=$L$49,AG327*AH327*(1+AI327)*(1-AK327)*(1-AL327),0),0)</f>
        <v>0</v>
      </c>
      <c r="CD327" s="212">
        <f>IF(I327=$CD$97,1,IF(I327=$CD$100,2,IF(K327=$K$66,1,IF(K327=$K$69,1,3))))</f>
        <v>1</v>
      </c>
      <c r="CE327" s="212">
        <f t="shared" si="14"/>
        <v>1.07</v>
      </c>
      <c r="CF327" s="213">
        <f t="shared" si="54"/>
        <v>1.2353999999999998</v>
      </c>
      <c r="CG327" s="212">
        <f t="shared" si="15"/>
        <v>1.42</v>
      </c>
      <c r="CH327" s="213">
        <f t="shared" si="55"/>
        <v>1.5478000000000001</v>
      </c>
      <c r="CI327" s="212">
        <f t="shared" si="16"/>
        <v>1.7</v>
      </c>
      <c r="CJ327" s="214">
        <f t="shared" si="56"/>
        <v>1.0486</v>
      </c>
      <c r="CK327" s="214">
        <f t="shared" si="57"/>
        <v>1.148922</v>
      </c>
      <c r="CL327" s="214">
        <f t="shared" si="58"/>
        <v>1.3915999999999999</v>
      </c>
      <c r="CM327" s="214">
        <f t="shared" si="59"/>
        <v>1.501366</v>
      </c>
      <c r="CN327" s="215">
        <f t="shared" si="60"/>
        <v>1.6319999999999999</v>
      </c>
      <c r="CO327" s="213">
        <f t="shared" si="61"/>
        <v>1.006656</v>
      </c>
      <c r="CP327" s="216">
        <f t="shared" si="62"/>
        <v>-292.93168402293605</v>
      </c>
      <c r="CQ327" s="217">
        <f t="shared" si="63"/>
        <v>7661.544491613733</v>
      </c>
      <c r="CR327" s="218">
        <f t="shared" si="72"/>
        <v>268.95436747706407</v>
      </c>
      <c r="CS327" s="49"/>
      <c r="CT327" s="49"/>
      <c r="CU327" s="49"/>
      <c r="CV327" s="49"/>
      <c r="CW327" s="49"/>
      <c r="CX327" s="49"/>
      <c r="CY327" s="49"/>
      <c r="CZ327" s="49"/>
      <c r="DA327" s="49"/>
      <c r="DB327" s="49"/>
      <c r="DC327" s="49"/>
      <c r="DD327" s="49"/>
      <c r="DE327" s="49"/>
      <c r="DF327" s="49"/>
      <c r="DG327" s="49"/>
      <c r="DH327" s="49"/>
      <c r="DI327" s="49"/>
      <c r="DJ327" s="49"/>
      <c r="DK327" s="49"/>
      <c r="DL327" s="49"/>
      <c r="DM327" s="49"/>
      <c r="DN327" s="49"/>
      <c r="DO327" s="49"/>
      <c r="DP327" s="49"/>
      <c r="DQ327" s="49"/>
      <c r="DR327" s="49"/>
      <c r="DS327" s="49"/>
      <c r="DT327" s="49"/>
      <c r="DU327" s="49"/>
      <c r="DV327" s="49"/>
      <c r="DW327" s="49"/>
      <c r="DX327" s="49"/>
      <c r="DY327" s="49"/>
      <c r="DZ327" s="49"/>
      <c r="EA327" s="49"/>
      <c r="EB327" s="49"/>
      <c r="EC327" s="49"/>
      <c r="ED327" s="49"/>
      <c r="EE327" s="49"/>
      <c r="EF327" s="49"/>
      <c r="EG327" s="49"/>
      <c r="EH327" s="49"/>
      <c r="EI327" s="49"/>
      <c r="EJ327" s="49"/>
      <c r="EK327" s="49"/>
      <c r="EL327" s="49"/>
      <c r="EM327" s="49"/>
      <c r="EN327" s="49"/>
      <c r="EO327" s="49"/>
      <c r="EP327" s="49"/>
      <c r="EQ327" s="49"/>
      <c r="ER327" s="49"/>
      <c r="ES327" s="49"/>
      <c r="ET327" s="49"/>
      <c r="EU327" s="49"/>
      <c r="EV327" s="49"/>
      <c r="EW327" s="49"/>
      <c r="EX327" s="49"/>
      <c r="EY327" s="49"/>
      <c r="EZ327" s="49"/>
      <c r="FA327" s="49"/>
    </row>
    <row r="328" spans="1:157" s="210" customFormat="1" ht="51" x14ac:dyDescent="0.25">
      <c r="A328" s="113">
        <f>IF(AND('[1]Cockpit Retorno'!$E$67=Sim,Mestre!M328=Mestre!$M$98),0,1)</f>
        <v>1</v>
      </c>
      <c r="B328" s="113">
        <f>IF(AND('[1]Cockpit Retorno'!$E$67=Sim,Mestre!L328=Mestre!$L$48),0,1)</f>
        <v>1</v>
      </c>
      <c r="C328" s="113">
        <f>IF(AND('[1]Cockpit Retorno'!$E$67=Sim,Mestre!M328=Mestre!$M$97),0,1)</f>
        <v>1</v>
      </c>
      <c r="D328" s="148" t="s">
        <v>7</v>
      </c>
      <c r="E328" s="115"/>
      <c r="F328" s="116" t="s">
        <v>107</v>
      </c>
      <c r="G328" s="149">
        <v>12</v>
      </c>
      <c r="H328" s="150" t="s">
        <v>7</v>
      </c>
      <c r="I328" s="151" t="str">
        <f t="shared" si="65"/>
        <v>Mercadorias</v>
      </c>
      <c r="J328" s="150" t="s">
        <v>15</v>
      </c>
      <c r="K328" s="151" t="s">
        <v>7</v>
      </c>
      <c r="L328" s="153" t="s">
        <v>21</v>
      </c>
      <c r="M328" s="154" t="s">
        <v>411</v>
      </c>
      <c r="N328" s="155" t="s">
        <v>472</v>
      </c>
      <c r="O328" s="155" t="s">
        <v>412</v>
      </c>
      <c r="P328" s="155" t="s">
        <v>43</v>
      </c>
      <c r="Q328" s="155" t="s">
        <v>43</v>
      </c>
      <c r="R328" s="155" t="s">
        <v>43</v>
      </c>
      <c r="S328" s="156" t="s">
        <v>43</v>
      </c>
      <c r="T328" s="156" t="s">
        <v>43</v>
      </c>
      <c r="U328" s="150" t="s">
        <v>43</v>
      </c>
      <c r="V328" s="150" t="s">
        <v>43</v>
      </c>
      <c r="W328" s="150" t="s">
        <v>43</v>
      </c>
      <c r="X328" s="157" t="s">
        <v>486</v>
      </c>
      <c r="Y328" s="150" t="s">
        <v>43</v>
      </c>
      <c r="Z328" s="150" t="s">
        <v>43</v>
      </c>
      <c r="AA328" s="150">
        <v>0</v>
      </c>
      <c r="AB328" s="155" t="s">
        <v>43</v>
      </c>
      <c r="AC328" s="150" t="s">
        <v>43</v>
      </c>
      <c r="AD328" s="155" t="s">
        <v>43</v>
      </c>
      <c r="AE328" s="155"/>
      <c r="AF328" s="150" t="s">
        <v>43</v>
      </c>
      <c r="AG328" s="159">
        <f>AG327*2</f>
        <v>18</v>
      </c>
      <c r="AH328" s="211">
        <v>205.53</v>
      </c>
      <c r="AI328" s="202">
        <v>0</v>
      </c>
      <c r="AJ328" s="161">
        <v>0.12</v>
      </c>
      <c r="AK328" s="162"/>
      <c r="AL328" s="163"/>
      <c r="AM328" s="164">
        <f>(((IF(L328=$L$101,1,IF(L328=$L$47,1,0))*(AH328*(1-AK328)))*AG328)*(1-AL328))</f>
        <v>0</v>
      </c>
      <c r="AN328" s="165">
        <f>IF(K328=$K$50,AM328,IF(K328=$K$53,AM328,IF(K328=$K$54,AM328,IF(K328=$K$55,AM328,IF(K328=$K$56,AM328,IF(K328=$K$57,AM328,IF(K328=$K$58,AM328,IF(K328=$K$65,AM328,IF(K328=$K$66,AM328,IF(K328=$K$67,AM328,IF(K328=$K$68,AM328,IF(K328=$K$69,AM328,IF(K328=$K$51,AM328,(AM328*(1+AI328)))))))))))))))</f>
        <v>0</v>
      </c>
      <c r="AO328" s="166">
        <v>1.4</v>
      </c>
      <c r="AP328" s="160">
        <f t="shared" si="66"/>
        <v>0</v>
      </c>
      <c r="AQ328" s="167">
        <f t="shared" si="74"/>
        <v>0</v>
      </c>
      <c r="AR328" s="160">
        <f t="shared" si="67"/>
        <v>0</v>
      </c>
      <c r="AS328" s="168">
        <f t="shared" si="68"/>
        <v>0</v>
      </c>
      <c r="AT328" s="169" t="str">
        <f>K328</f>
        <v>MI</v>
      </c>
      <c r="AU328" s="169" t="str">
        <f>I328</f>
        <v>Mercadorias</v>
      </c>
      <c r="AV328" s="170"/>
      <c r="AW328" s="171">
        <f>IF(K328=$K$50,0,IF(K328=$K$53,0,IF(K328=$K$54,0,IF(K328=$K$55,0,IF(K328=$K$56,0,IF(K328=$K$57,0,IF(K328=$K$58,0,IF(K328=$K$65,0,IF(K328=$K$66,0,IF(K328=$K$67,0,IF(K328=$K$68,0,IF(K328=$K$69,0,IF(K328=$K$51,0,1))))))))))))*AM328*AI328)</f>
        <v>0</v>
      </c>
      <c r="AX328" s="172">
        <f>IF(K328=$K$50,0,IF(K328=$K$53,0,IF(K328=$K$54,0,IF(K328=$K$55,0,IF(K328=$K$56,0,IF(K328=$K$57,0,IF(K328=$K$58,0,IF(K328=$K$65,0,IF(K328=$K$66,0,IF(K328=$K$67,0,IF(K328=$K$68,0,IF(K328=$K$69,0,IF(K328=$K$51,0,1))))))))))))*AM328*AJ328*$AX$94)</f>
        <v>0</v>
      </c>
      <c r="AY328" s="172">
        <f>IF(K328=$K$53,0,IF(K328=$K$54,0,IF(K328=$K$55,0,IF(K328=$K$56,0,IF(K328=$K$58,0,IF(K328=$K$50,0,IF(K328=$K$65,0,IF(K328=$K$57,0,IF(K328=$K$51,0,AM328*$AY$102)))))))))</f>
        <v>0</v>
      </c>
      <c r="AZ328" s="172">
        <f>IF(K328=$K$53,0,IF(K328=$K$54,0,IF(K328=$K$55,0,IF(K328=$K$56,0,IF(K328=$K$58,0,IF(K328=$K$50,0,IF(K328=$K$65,0,IF(K328=$K$57,0,IF(K328=$K$51,0,AM328*$AZ$102)))))))))</f>
        <v>0</v>
      </c>
      <c r="BA328" s="172">
        <f t="shared" si="69"/>
        <v>0</v>
      </c>
      <c r="BB328" s="173">
        <f>IF($BA$97=1,AQ328*$BB$102,IF(K328=$K$50,0,IF(K328=$K$53,0,IF(K328=$K$54,0,IF(K328=$K$55,0,IF(K328=$K$56,0,IF(K328=$K$57,0,IF(K328=$K$58,0,IF(K328=$K$65,0,IF(K328=$K$66,0,IF(K328=$K$67,0,IF(K328=$K$68,0,IF(K328=$K$69,0,IF(K328=$K$51,0,1)))))))))))*AQ328*$BB$102)))</f>
        <v>0</v>
      </c>
      <c r="BC328" s="172">
        <f t="shared" si="70"/>
        <v>0</v>
      </c>
      <c r="BD328" s="172">
        <f t="shared" si="71"/>
        <v>0</v>
      </c>
      <c r="BE328" s="172">
        <f>IF($BE$95=I328,$BE$97,IF(I328=$BE$96,$BE$97,1))*($BE$102*AQ328)*$AZ$97</f>
        <v>0</v>
      </c>
      <c r="BF328" s="172">
        <f>IF('[1]Cockpit Retorno'!$C$65=Sim,Mestre!BA328,SUM(BB328:BE328)+(IF(K328=$K$56,AQ328*MOE_IRRF_LR,0)))</f>
        <v>0</v>
      </c>
      <c r="BG328" s="174">
        <f>IF(AA328&gt;0,0,IF(Z328=$Z$82,AG328*1,(IF(Z328=$Z$81,AG328*1,0))))</f>
        <v>0</v>
      </c>
      <c r="BH328" s="174">
        <f>IF(AA328&gt;0,0,IF(Z328=$Z$83,AG328*1,IF(Z328=$Z$81,AG328*1,0)))</f>
        <v>0</v>
      </c>
      <c r="BI328" s="174">
        <f>IF(AA328&gt;0,0,IF(Z328=$Z$84,AG328*1,IF(Z328=$Z$93,AG328*2,IF(Z328=$Z$100,AG328,IF(Z328=$Z$81,AG328*2,IF(Z328=$Z$80,AG328*1,IF(Z328=$Z$79,AG328*3,IF(Z328=$Z$78,AG328*2,0))))))))</f>
        <v>0</v>
      </c>
      <c r="BJ328" s="174">
        <f>IF(AA328&gt;0,0,IF(Z328=$Z$85,AG328,IF(Z328=$Z$93,AG328,IF(Z328=$Z$100,AG328,IF(Z328=$Z$81,AG328*1,IF(Z328=$Z$80,AG328*2,IF(Z328=$Z$79,AG328*2,IF(Z328=$Z$78,AG328*2,0))))))))</f>
        <v>0</v>
      </c>
      <c r="BK328" s="174">
        <f>IF(AA328&gt;0,0,IF(Z328=$Z$92,AG328,0))</f>
        <v>0</v>
      </c>
      <c r="BL328" s="174">
        <f>IF(AA328&gt;0,0,IF(Z328=$Z$91,AG328,0))</f>
        <v>0</v>
      </c>
      <c r="BM328" s="174">
        <f>IF(AA328&gt;0,0,IF(Z328=$Z$86,AG328,0))</f>
        <v>0</v>
      </c>
      <c r="BN328" s="174">
        <f>IF(AA328&gt;0,0,IF(Z328=$Z$87,AG328,0))</f>
        <v>0</v>
      </c>
      <c r="BO328" s="174">
        <f>IF(AA328&gt;0,0,IF(Z328=$Z$88,AG328,0))</f>
        <v>0</v>
      </c>
      <c r="BP328" s="174">
        <f>IF(AA328&gt;0,0,IF(Z328=$Z$89,AG328,0))</f>
        <v>0</v>
      </c>
      <c r="BQ328" s="174">
        <f>IF(AA328&gt;0,0,IF(Z328=$Z$90,AG328,0))</f>
        <v>0</v>
      </c>
      <c r="BR328" s="174">
        <f>IF(Z328=$Z$82,AA328*AG328,0)</f>
        <v>0</v>
      </c>
      <c r="BS328" s="174">
        <f>IF(Z328=$Z$83,AA328*AG328,0)</f>
        <v>0</v>
      </c>
      <c r="BT328" s="174">
        <f>IF(AA328&lt;1,0,IF(Z328=$Z$84,AA328*AG328,IF(Z328=$Z$93,"ERRO",IF(Z328=$Z$100,"ERRO",0))))</f>
        <v>0</v>
      </c>
      <c r="BU328" s="174">
        <f>IF(AA328&lt;1,0,IF(Z328=$Z$85,AA328*AG328,IF(Z328=$Z$93,"ERRO",IF(Z328=$Z$100,"ERRO",0))))</f>
        <v>0</v>
      </c>
      <c r="BV328" s="174">
        <f>IF(Z328=$Z$92,AA328*AG328,0)</f>
        <v>0</v>
      </c>
      <c r="BW328" s="174">
        <f>IF(Z328=$Z$91,AA328*AG328,0)</f>
        <v>0</v>
      </c>
      <c r="BX328" s="174">
        <f>IF(Z328=$Z$86,AA328*AG328,0)</f>
        <v>0</v>
      </c>
      <c r="BY328" s="174">
        <f>IF(Z328=$Z$87,AA328*AG328,0)</f>
        <v>0</v>
      </c>
      <c r="BZ328" s="174">
        <f>IF(Z328=$Z$88,AA328*AG328,0)</f>
        <v>0</v>
      </c>
      <c r="CA328" s="174">
        <f>IF(Z328=$Z$89,AA328*AG328,0)</f>
        <v>0</v>
      </c>
      <c r="CB328" s="174">
        <f>IF(Z328=$Z$90,AA328*AG328,0)</f>
        <v>0</v>
      </c>
      <c r="CC328" s="175">
        <f>IFERROR(IF(L328=$L$49,AG328*AH328*(1+AI328)*(1-AK328)*(1-AL328),0),0)</f>
        <v>3699.54</v>
      </c>
      <c r="CD328" s="212">
        <f>IF(I328=$CD$97,1,IF(I328=$CD$100,2,IF(K328=$K$66,1,IF(K328=$K$69,1,3))))</f>
        <v>1</v>
      </c>
      <c r="CE328" s="212">
        <f t="shared" si="14"/>
        <v>1.07</v>
      </c>
      <c r="CF328" s="213">
        <f t="shared" si="54"/>
        <v>1.2353999999999998</v>
      </c>
      <c r="CG328" s="212">
        <f t="shared" si="15"/>
        <v>1.42</v>
      </c>
      <c r="CH328" s="213">
        <f t="shared" si="55"/>
        <v>1.5478000000000001</v>
      </c>
      <c r="CI328" s="212">
        <f t="shared" si="16"/>
        <v>1.7</v>
      </c>
      <c r="CJ328" s="214">
        <f t="shared" si="56"/>
        <v>1.0486</v>
      </c>
      <c r="CK328" s="214">
        <f t="shared" si="57"/>
        <v>1.148922</v>
      </c>
      <c r="CL328" s="214">
        <f t="shared" si="58"/>
        <v>1.3915999999999999</v>
      </c>
      <c r="CM328" s="214">
        <f t="shared" si="59"/>
        <v>1.501366</v>
      </c>
      <c r="CN328" s="215">
        <f t="shared" si="60"/>
        <v>1.6319999999999999</v>
      </c>
      <c r="CO328" s="213">
        <f t="shared" si="61"/>
        <v>1.006656</v>
      </c>
      <c r="CP328" s="216">
        <f t="shared" si="62"/>
        <v>0</v>
      </c>
      <c r="CQ328" s="217">
        <f t="shared" si="63"/>
        <v>0</v>
      </c>
      <c r="CR328" s="218">
        <f t="shared" si="72"/>
        <v>0</v>
      </c>
      <c r="CS328" s="49"/>
      <c r="CT328" s="49"/>
      <c r="CU328" s="49"/>
      <c r="CV328" s="49"/>
      <c r="CW328" s="49"/>
      <c r="CX328" s="49"/>
      <c r="CY328" s="49"/>
      <c r="CZ328" s="49"/>
      <c r="DA328" s="49"/>
      <c r="DB328" s="49"/>
      <c r="DC328" s="49"/>
      <c r="DD328" s="49"/>
      <c r="DE328" s="49"/>
      <c r="DF328" s="49"/>
      <c r="DG328" s="49"/>
      <c r="DH328" s="49"/>
      <c r="DI328" s="49"/>
      <c r="DJ328" s="49"/>
      <c r="DK328" s="49"/>
      <c r="DL328" s="49"/>
      <c r="DM328" s="49"/>
      <c r="DN328" s="49"/>
      <c r="DO328" s="49"/>
      <c r="DP328" s="49"/>
      <c r="DQ328" s="49"/>
      <c r="DR328" s="49"/>
      <c r="DS328" s="49"/>
      <c r="DT328" s="49"/>
      <c r="DU328" s="49"/>
      <c r="DV328" s="49"/>
      <c r="DW328" s="49"/>
      <c r="DX328" s="49"/>
      <c r="DY328" s="49"/>
      <c r="DZ328" s="49"/>
      <c r="EA328" s="49"/>
      <c r="EB328" s="49"/>
      <c r="EC328" s="49"/>
      <c r="ED328" s="49"/>
      <c r="EE328" s="49"/>
      <c r="EF328" s="49"/>
      <c r="EG328" s="49"/>
      <c r="EH328" s="49"/>
      <c r="EI328" s="49"/>
      <c r="EJ328" s="49"/>
      <c r="EK328" s="49"/>
      <c r="EL328" s="49"/>
      <c r="EM328" s="49"/>
      <c r="EN328" s="49"/>
      <c r="EO328" s="49"/>
      <c r="EP328" s="49"/>
      <c r="EQ328" s="49"/>
      <c r="ER328" s="49"/>
      <c r="ES328" s="49"/>
      <c r="ET328" s="49"/>
      <c r="EU328" s="49"/>
      <c r="EV328" s="49"/>
      <c r="EW328" s="49"/>
      <c r="EX328" s="49"/>
      <c r="EY328" s="49"/>
      <c r="EZ328" s="49"/>
      <c r="FA328" s="49"/>
    </row>
    <row r="329" spans="1:157" s="210" customFormat="1" ht="25.5" x14ac:dyDescent="0.25">
      <c r="A329" s="113">
        <f>IF(AND('[1]Cockpit Retorno'!$E$67=Sim,Mestre!M329=Mestre!$M$98),0,1)</f>
        <v>1</v>
      </c>
      <c r="B329" s="113">
        <f>IF(AND('[1]Cockpit Retorno'!$E$67=Sim,Mestre!L329=Mestre!$L$48),0,1)</f>
        <v>1</v>
      </c>
      <c r="C329" s="113">
        <f>IF(AND('[1]Cockpit Retorno'!$E$67=Sim,Mestre!M329=Mestre!$M$97),0,1)</f>
        <v>1</v>
      </c>
      <c r="D329" s="148" t="s">
        <v>7</v>
      </c>
      <c r="E329" s="115"/>
      <c r="F329" s="116" t="s">
        <v>107</v>
      </c>
      <c r="G329" s="149">
        <v>2</v>
      </c>
      <c r="H329" s="150" t="s">
        <v>7</v>
      </c>
      <c r="I329" s="151" t="str">
        <f t="shared" si="65"/>
        <v>Mercadorias</v>
      </c>
      <c r="J329" s="150" t="s">
        <v>15</v>
      </c>
      <c r="K329" s="151" t="s">
        <v>7</v>
      </c>
      <c r="L329" s="153" t="s">
        <v>21</v>
      </c>
      <c r="M329" s="154" t="s">
        <v>361</v>
      </c>
      <c r="N329" s="155" t="s">
        <v>472</v>
      </c>
      <c r="O329" s="155" t="s">
        <v>363</v>
      </c>
      <c r="P329" s="155" t="s">
        <v>43</v>
      </c>
      <c r="Q329" s="155" t="s">
        <v>43</v>
      </c>
      <c r="R329" s="155" t="s">
        <v>43</v>
      </c>
      <c r="S329" s="156" t="s">
        <v>43</v>
      </c>
      <c r="T329" s="156" t="s">
        <v>43</v>
      </c>
      <c r="U329" s="150" t="s">
        <v>43</v>
      </c>
      <c r="V329" s="150" t="s">
        <v>43</v>
      </c>
      <c r="W329" s="150" t="s">
        <v>43</v>
      </c>
      <c r="X329" s="157" t="s">
        <v>487</v>
      </c>
      <c r="Y329" s="150" t="s">
        <v>43</v>
      </c>
      <c r="Z329" s="150" t="s">
        <v>43</v>
      </c>
      <c r="AA329" s="150">
        <v>0</v>
      </c>
      <c r="AB329" s="155" t="s">
        <v>43</v>
      </c>
      <c r="AC329" s="150" t="s">
        <v>43</v>
      </c>
      <c r="AD329" s="155" t="s">
        <v>43</v>
      </c>
      <c r="AE329" s="155"/>
      <c r="AF329" s="150" t="s">
        <v>43</v>
      </c>
      <c r="AG329" s="159">
        <f>[1]Típicos!I103*Mestre!AG327</f>
        <v>80.91</v>
      </c>
      <c r="AH329" s="159">
        <v>6.2310000000000008</v>
      </c>
      <c r="AI329" s="202">
        <v>0</v>
      </c>
      <c r="AJ329" s="161">
        <v>0.12</v>
      </c>
      <c r="AK329" s="162"/>
      <c r="AL329" s="163"/>
      <c r="AM329" s="164">
        <f>(((IF(L329=$L$101,1,IF(L329=$L$47,1,0))*(AH329*(1-AK329)))*AG329)*(1-AL329))</f>
        <v>0</v>
      </c>
      <c r="AN329" s="165">
        <f>IF(K329=$K$50,AM329,IF(K329=$K$53,AM329,IF(K329=$K$54,AM329,IF(K329=$K$55,AM329,IF(K329=$K$56,AM329,IF(K329=$K$57,AM329,IF(K329=$K$58,AM329,IF(K329=$K$65,AM329,IF(K329=$K$66,AM329,IF(K329=$K$67,AM329,IF(K329=$K$68,AM329,IF(K329=$K$69,AM329,IF(K329=$K$51,AM329,(AM329*(1+AI329)))))))))))))))</f>
        <v>0</v>
      </c>
      <c r="AO329" s="166">
        <v>1.4</v>
      </c>
      <c r="AP329" s="160">
        <f t="shared" si="66"/>
        <v>0</v>
      </c>
      <c r="AQ329" s="167">
        <f t="shared" si="74"/>
        <v>0</v>
      </c>
      <c r="AR329" s="160">
        <f t="shared" si="67"/>
        <v>0</v>
      </c>
      <c r="AS329" s="168">
        <f t="shared" si="68"/>
        <v>0</v>
      </c>
      <c r="AT329" s="169" t="str">
        <f>K329</f>
        <v>MI</v>
      </c>
      <c r="AU329" s="169" t="str">
        <f>I329</f>
        <v>Mercadorias</v>
      </c>
      <c r="AV329" s="170"/>
      <c r="AW329" s="171">
        <f>IF(K329=$K$50,0,IF(K329=$K$53,0,IF(K329=$K$54,0,IF(K329=$K$55,0,IF(K329=$K$56,0,IF(K329=$K$57,0,IF(K329=$K$58,0,IF(K329=$K$65,0,IF(K329=$K$66,0,IF(K329=$K$67,0,IF(K329=$K$68,0,IF(K329=$K$69,0,IF(K329=$K$51,0,1))))))))))))*AM329*AI329)</f>
        <v>0</v>
      </c>
      <c r="AX329" s="172">
        <f>IF(K329=$K$50,0,IF(K329=$K$53,0,IF(K329=$K$54,0,IF(K329=$K$55,0,IF(K329=$K$56,0,IF(K329=$K$57,0,IF(K329=$K$58,0,IF(K329=$K$65,0,IF(K329=$K$66,0,IF(K329=$K$67,0,IF(K329=$K$68,0,IF(K329=$K$69,0,IF(K329=$K$51,0,1))))))))))))*AM329*AJ329*$AX$94)</f>
        <v>0</v>
      </c>
      <c r="AY329" s="172">
        <f>IF(K329=$K$53,0,IF(K329=$K$54,0,IF(K329=$K$55,0,IF(K329=$K$56,0,IF(K329=$K$58,0,IF(K329=$K$50,0,IF(K329=$K$65,0,IF(K329=$K$57,0,IF(K329=$K$51,0,AM329*$AY$102)))))))))</f>
        <v>0</v>
      </c>
      <c r="AZ329" s="172">
        <f>IF(K329=$K$53,0,IF(K329=$K$54,0,IF(K329=$K$55,0,IF(K329=$K$56,0,IF(K329=$K$58,0,IF(K329=$K$50,0,IF(K329=$K$65,0,IF(K329=$K$57,0,IF(K329=$K$51,0,AM329*$AZ$102)))))))))</f>
        <v>0</v>
      </c>
      <c r="BA329" s="172">
        <f t="shared" si="69"/>
        <v>0</v>
      </c>
      <c r="BB329" s="173">
        <f>IF($BA$97=1,AQ329*$BB$102,IF(K329=$K$50,0,IF(K329=$K$53,0,IF(K329=$K$54,0,IF(K329=$K$55,0,IF(K329=$K$56,0,IF(K329=$K$57,0,IF(K329=$K$58,0,IF(K329=$K$65,0,IF(K329=$K$66,0,IF(K329=$K$67,0,IF(K329=$K$68,0,IF(K329=$K$69,0,IF(K329=$K$51,0,1)))))))))))*AQ329*$BB$102)))</f>
        <v>0</v>
      </c>
      <c r="BC329" s="172">
        <f t="shared" si="70"/>
        <v>0</v>
      </c>
      <c r="BD329" s="172">
        <f t="shared" si="71"/>
        <v>0</v>
      </c>
      <c r="BE329" s="172">
        <f>IF($BE$95=I329,$BE$97,IF(I329=$BE$96,$BE$97,1))*($BE$102*AQ329)*$AZ$97</f>
        <v>0</v>
      </c>
      <c r="BF329" s="172">
        <f>IF('[1]Cockpit Retorno'!$C$65=Sim,Mestre!BA329,SUM(BB329:BE329)+(IF(K329=$K$56,AQ329*MOE_IRRF_LR,0)))</f>
        <v>0</v>
      </c>
      <c r="BG329" s="174">
        <f>IF(AA329&gt;0,0,IF(Z329=$Z$82,AG329*1,(IF(Z329=$Z$81,AG329*1,0))))</f>
        <v>0</v>
      </c>
      <c r="BH329" s="174">
        <f>IF(AA329&gt;0,0,IF(Z329=$Z$83,AG329*1,IF(Z329=$Z$81,AG329*1,0)))</f>
        <v>0</v>
      </c>
      <c r="BI329" s="174">
        <f>IF(AA329&gt;0,0,IF(Z329=$Z$84,AG329*1,IF(Z329=$Z$93,AG329*2,IF(Z329=$Z$100,AG329,IF(Z329=$Z$81,AG329*2,IF(Z329=$Z$80,AG329*1,IF(Z329=$Z$79,AG329*3,IF(Z329=$Z$78,AG329*2,0))))))))</f>
        <v>0</v>
      </c>
      <c r="BJ329" s="174">
        <f>IF(AA329&gt;0,0,IF(Z329=$Z$85,AG329,IF(Z329=$Z$93,AG329,IF(Z329=$Z$100,AG329,IF(Z329=$Z$81,AG329*1,IF(Z329=$Z$80,AG329*2,IF(Z329=$Z$79,AG329*2,IF(Z329=$Z$78,AG329*2,0))))))))</f>
        <v>0</v>
      </c>
      <c r="BK329" s="174">
        <f>IF(AA329&gt;0,0,IF(Z329=$Z$92,AG329,0))</f>
        <v>0</v>
      </c>
      <c r="BL329" s="174">
        <f>IF(AA329&gt;0,0,IF(Z329=$Z$91,AG329,0))</f>
        <v>0</v>
      </c>
      <c r="BM329" s="174">
        <f>IF(AA329&gt;0,0,IF(Z329=$Z$86,AG329,0))</f>
        <v>0</v>
      </c>
      <c r="BN329" s="174">
        <f>IF(AA329&gt;0,0,IF(Z329=$Z$87,AG329,0))</f>
        <v>0</v>
      </c>
      <c r="BO329" s="174">
        <f>IF(AA329&gt;0,0,IF(Z329=$Z$88,AG329,0))</f>
        <v>0</v>
      </c>
      <c r="BP329" s="174">
        <f>IF(AA329&gt;0,0,IF(Z329=$Z$89,AG329,0))</f>
        <v>0</v>
      </c>
      <c r="BQ329" s="174">
        <f>IF(AA329&gt;0,0,IF(Z329=$Z$90,AG329,0))</f>
        <v>0</v>
      </c>
      <c r="BR329" s="174">
        <f>IF(Z329=$Z$82,AA329*AG329,0)</f>
        <v>0</v>
      </c>
      <c r="BS329" s="174">
        <f>IF(Z329=$Z$83,AA329*AG329,0)</f>
        <v>0</v>
      </c>
      <c r="BT329" s="174">
        <f>IF(AA329&lt;1,0,IF(Z329=$Z$84,AA329*AG329,IF(Z329=$Z$93,"ERRO",IF(Z329=$Z$100,"ERRO",0))))</f>
        <v>0</v>
      </c>
      <c r="BU329" s="174">
        <f>IF(AA329&lt;1,0,IF(Z329=$Z$85,AA329*AG329,IF(Z329=$Z$93,"ERRO",IF(Z329=$Z$100,"ERRO",0))))</f>
        <v>0</v>
      </c>
      <c r="BV329" s="174">
        <f>IF(Z329=$Z$92,AA329*AG329,0)</f>
        <v>0</v>
      </c>
      <c r="BW329" s="174">
        <f>IF(Z329=$Z$91,AA329*AG329,0)</f>
        <v>0</v>
      </c>
      <c r="BX329" s="174">
        <f>IF(Z329=$Z$86,AA329*AG329,0)</f>
        <v>0</v>
      </c>
      <c r="BY329" s="174">
        <f>IF(Z329=$Z$87,AA329*AG329,0)</f>
        <v>0</v>
      </c>
      <c r="BZ329" s="174">
        <f>IF(Z329=$Z$88,AA329*AG329,0)</f>
        <v>0</v>
      </c>
      <c r="CA329" s="174">
        <f>IF(Z329=$Z$89,AA329*AG329,0)</f>
        <v>0</v>
      </c>
      <c r="CB329" s="174">
        <f>IF(Z329=$Z$90,AA329*AG329,0)</f>
        <v>0</v>
      </c>
      <c r="CC329" s="175">
        <f>IFERROR(IF(L329=$L$49,AG329*AH329*(1+AI329)*(1-AK329)*(1-AL329),0),0)</f>
        <v>504.15021000000002</v>
      </c>
      <c r="CD329" s="212">
        <f>IF(I329=$CD$97,1,IF(I329=$CD$100,2,IF(K329=$K$66,1,IF(K329=$K$69,1,3))))</f>
        <v>1</v>
      </c>
      <c r="CE329" s="212">
        <f t="shared" si="14"/>
        <v>1.07</v>
      </c>
      <c r="CF329" s="213">
        <f t="shared" si="54"/>
        <v>1.2353999999999998</v>
      </c>
      <c r="CG329" s="212">
        <f t="shared" si="15"/>
        <v>1.42</v>
      </c>
      <c r="CH329" s="213">
        <f t="shared" si="55"/>
        <v>1.5478000000000001</v>
      </c>
      <c r="CI329" s="212">
        <f t="shared" si="16"/>
        <v>1.7</v>
      </c>
      <c r="CJ329" s="214">
        <f t="shared" si="56"/>
        <v>1.0486</v>
      </c>
      <c r="CK329" s="214">
        <f t="shared" si="57"/>
        <v>1.148922</v>
      </c>
      <c r="CL329" s="214">
        <f t="shared" si="58"/>
        <v>1.3915999999999999</v>
      </c>
      <c r="CM329" s="214">
        <f t="shared" si="59"/>
        <v>1.501366</v>
      </c>
      <c r="CN329" s="215">
        <f t="shared" si="60"/>
        <v>1.6319999999999999</v>
      </c>
      <c r="CO329" s="213">
        <f t="shared" si="61"/>
        <v>1.006656</v>
      </c>
      <c r="CP329" s="216">
        <f t="shared" si="62"/>
        <v>0</v>
      </c>
      <c r="CQ329" s="217">
        <f t="shared" si="63"/>
        <v>0</v>
      </c>
      <c r="CR329" s="218">
        <f t="shared" si="72"/>
        <v>0</v>
      </c>
      <c r="CS329" s="49"/>
      <c r="CT329" s="49"/>
      <c r="CU329" s="49"/>
      <c r="CV329" s="49"/>
      <c r="CW329" s="49"/>
      <c r="CX329" s="49"/>
      <c r="CY329" s="49"/>
      <c r="CZ329" s="49"/>
      <c r="DA329" s="49"/>
      <c r="DB329" s="49"/>
      <c r="DC329" s="49"/>
      <c r="DD329" s="49"/>
      <c r="DE329" s="49"/>
      <c r="DF329" s="49"/>
      <c r="DG329" s="49"/>
      <c r="DH329" s="49"/>
      <c r="DI329" s="49"/>
      <c r="DJ329" s="49"/>
      <c r="DK329" s="49"/>
      <c r="DL329" s="49"/>
      <c r="DM329" s="49"/>
      <c r="DN329" s="49"/>
      <c r="DO329" s="49"/>
      <c r="DP329" s="49"/>
      <c r="DQ329" s="49"/>
      <c r="DR329" s="49"/>
      <c r="DS329" s="49"/>
      <c r="DT329" s="49"/>
      <c r="DU329" s="49"/>
      <c r="DV329" s="49"/>
      <c r="DW329" s="49"/>
      <c r="DX329" s="49"/>
      <c r="DY329" s="49"/>
      <c r="DZ329" s="49"/>
      <c r="EA329" s="49"/>
      <c r="EB329" s="49"/>
      <c r="EC329" s="49"/>
      <c r="ED329" s="49"/>
      <c r="EE329" s="49"/>
      <c r="EF329" s="49"/>
      <c r="EG329" s="49"/>
      <c r="EH329" s="49"/>
      <c r="EI329" s="49"/>
      <c r="EJ329" s="49"/>
      <c r="EK329" s="49"/>
      <c r="EL329" s="49"/>
      <c r="EM329" s="49"/>
      <c r="EN329" s="49"/>
      <c r="EO329" s="49"/>
      <c r="EP329" s="49"/>
      <c r="EQ329" s="49"/>
      <c r="ER329" s="49"/>
      <c r="ES329" s="49"/>
      <c r="ET329" s="49"/>
      <c r="EU329" s="49"/>
      <c r="EV329" s="49"/>
      <c r="EW329" s="49"/>
      <c r="EX329" s="49"/>
      <c r="EY329" s="49"/>
      <c r="EZ329" s="49"/>
      <c r="FA329" s="49"/>
    </row>
    <row r="330" spans="1:157" s="210" customFormat="1" ht="63.75" x14ac:dyDescent="0.25">
      <c r="A330" s="113">
        <f>IF(AND('[1]Cockpit Retorno'!$E$67=Sim,Mestre!M330=Mestre!$M$98),0,1)</f>
        <v>1</v>
      </c>
      <c r="B330" s="113">
        <f>IF(AND('[1]Cockpit Retorno'!$E$67=Sim,Mestre!L330=Mestre!$L$48),0,1)</f>
        <v>0</v>
      </c>
      <c r="C330" s="113">
        <f>IF(AND('[1]Cockpit Retorno'!$E$67=Sim,Mestre!M330=Mestre!$M$97),0,1)</f>
        <v>1</v>
      </c>
      <c r="D330" s="148" t="s">
        <v>7</v>
      </c>
      <c r="E330" s="115"/>
      <c r="F330" s="116" t="s">
        <v>107</v>
      </c>
      <c r="G330" s="149"/>
      <c r="H330" s="150" t="s">
        <v>7</v>
      </c>
      <c r="I330" s="151" t="str">
        <f>VLOOKUP(K330,$N$74:$O$95,2)</f>
        <v>Mercadorias</v>
      </c>
      <c r="J330" s="150" t="s">
        <v>15</v>
      </c>
      <c r="K330" s="151" t="s">
        <v>7</v>
      </c>
      <c r="L330" s="153" t="s">
        <v>15</v>
      </c>
      <c r="M330" s="154" t="s">
        <v>442</v>
      </c>
      <c r="N330" s="155" t="s">
        <v>472</v>
      </c>
      <c r="O330" s="155" t="s">
        <v>412</v>
      </c>
      <c r="P330" s="155"/>
      <c r="Q330" s="155"/>
      <c r="R330" s="155"/>
      <c r="S330" s="156"/>
      <c r="T330" s="156"/>
      <c r="U330" s="150"/>
      <c r="V330" s="150"/>
      <c r="W330" s="150"/>
      <c r="X330" s="157" t="s">
        <v>488</v>
      </c>
      <c r="Y330" s="150"/>
      <c r="Z330" s="150"/>
      <c r="AA330" s="150"/>
      <c r="AB330" s="155"/>
      <c r="AC330" s="150"/>
      <c r="AD330" s="155"/>
      <c r="AE330" s="155"/>
      <c r="AF330" s="150"/>
      <c r="AG330" s="159">
        <v>20</v>
      </c>
      <c r="AH330" s="211">
        <v>250.43970000000004</v>
      </c>
      <c r="AI330" s="202">
        <v>0</v>
      </c>
      <c r="AJ330" s="161">
        <v>0.12</v>
      </c>
      <c r="AK330" s="162"/>
      <c r="AL330" s="163"/>
      <c r="AM330" s="164">
        <f>(((IF(L330=$L$101,1,IF(L330=$L$47,1,0))*(AH330*(1-AK330)))*AG330)*(1-AL330))</f>
        <v>5008.7940000000008</v>
      </c>
      <c r="AN330" s="165">
        <f>IF(K330=$K$50,AM330,IF(K330=$K$53,AM330,IF(K330=$K$54,AM330,IF(K330=$K$55,AM330,IF(K330=$K$56,AM330,IF(K330=$K$57,AM330,IF(K330=$K$58,AM330,IF(K330=$K$65,AM330,IF(K330=$K$66,AM330,IF(K330=$K$67,AM330,IF(K330=$K$68,AM330,IF(K330=$K$69,AM330,IF(K330=$K$51,AM330,(AM330*(1+AI330)))))))))))))))</f>
        <v>5008.7940000000008</v>
      </c>
      <c r="AO330" s="166">
        <v>1.4</v>
      </c>
      <c r="AP330" s="160">
        <f>AM330*AO330</f>
        <v>7012.3116000000009</v>
      </c>
      <c r="AQ330" s="167">
        <f>AP330*Fator_Venda</f>
        <v>6075.9247816209845</v>
      </c>
      <c r="AR330" s="160">
        <f>AO330*AN330</f>
        <v>7012.3116000000009</v>
      </c>
      <c r="AS330" s="168">
        <f>IFERROR(IF($AX$94=0,(CQ330/AN330),CQ330/AM330),0)</f>
        <v>1.2612750638360886</v>
      </c>
      <c r="AT330" s="169" t="str">
        <f>K330</f>
        <v>MI</v>
      </c>
      <c r="AU330" s="169" t="str">
        <f>I330</f>
        <v>Mercadorias</v>
      </c>
      <c r="AV330" s="170"/>
      <c r="AW330" s="171">
        <f>IF(K330=$K$50,0,IF(K330=$K$53,0,IF(K330=$K$54,0,IF(K330=$K$55,0,IF(K330=$K$56,0,IF(K330=$K$57,0,IF(K330=$K$58,0,IF(K330=$K$65,0,IF(K330=$K$66,0,IF(K330=$K$67,0,IF(K330=$K$68,0,IF(K330=$K$69,0,IF(K330=$K$51,0,1))))))))))))*AM330*AI330)</f>
        <v>0</v>
      </c>
      <c r="AX330" s="172">
        <f>IF(K330=$K$50,0,IF(K330=$K$53,0,IF(K330=$K$54,0,IF(K330=$K$55,0,IF(K330=$K$56,0,IF(K330=$K$57,0,IF(K330=$K$58,0,IF(K330=$K$65,0,IF(K330=$K$66,0,IF(K330=$K$67,0,IF(K330=$K$68,0,IF(K330=$K$69,0,IF(K330=$K$51,0,1))))))))))))*AM330*AJ330*$AX$94)</f>
        <v>0</v>
      </c>
      <c r="AY330" s="172">
        <f>IF(K330=$K$53,0,IF(K330=$K$54,0,IF(K330=$K$55,0,IF(K330=$K$56,0,IF(K330=$K$58,0,IF(K330=$K$50,0,IF(K330=$K$65,0,IF(K330=$K$57,0,IF(K330=$K$51,0,AM330*$AY$102)))))))))</f>
        <v>82.645101000000011</v>
      </c>
      <c r="AZ330" s="172">
        <f>IF(K330=$K$53,0,IF(K330=$K$54,0,IF(K330=$K$55,0,IF(K330=$K$56,0,IF(K330=$K$58,0,IF(K330=$K$50,0,IF(K330=$K$65,0,IF(K330=$K$57,0,IF(K330=$K$51,0,AM330*$AZ$102)))))))))</f>
        <v>380.66834400000005</v>
      </c>
      <c r="BA330" s="172">
        <f>AZ330+AY330+AX330</f>
        <v>463.31344500000006</v>
      </c>
      <c r="BB330" s="173">
        <f>IF($BA$97=1,AQ330*$BB$102,IF(K330=$K$50,0,IF(K330=$K$53,0,IF(K330=$K$54,0,IF(K330=$K$55,0,IF(K330=$K$56,0,IF(K330=$K$57,0,IF(K330=$K$58,0,IF(K330=$K$65,0,IF(K330=$K$66,0,IF(K330=$K$67,0,IF(K330=$K$68,0,IF(K330=$K$69,0,IF(K330=$K$51,0,1)))))))))))*AQ330*$BB$102)))</f>
        <v>0</v>
      </c>
      <c r="BC330" s="172">
        <f>AQ330*$BC$102</f>
        <v>39.4935110805364</v>
      </c>
      <c r="BD330" s="172">
        <f>$BD$102*AQ330</f>
        <v>182.27774344862954</v>
      </c>
      <c r="BE330" s="172">
        <f>IF($BE$95=I330,$BE$97,IF(I330=$BE$96,$BE$97,1))*($BE$102*AQ330)*$AZ$97</f>
        <v>0</v>
      </c>
      <c r="BF330" s="172">
        <f>IF('[1]Cockpit Retorno'!$C$65=Sim,Mestre!BA330,SUM(BB330:BE330)+(IF(K330=$K$56,AQ330*MOE_IRRF_LR,0)))</f>
        <v>221.77125452916593</v>
      </c>
      <c r="BG330" s="174">
        <f>IF(AA330&gt;0,0,IF(Z330=$Z$82,AG330*1,(IF(Z330=$Z$81,AG330*1,0))))</f>
        <v>0</v>
      </c>
      <c r="BH330" s="174">
        <f>IF(AA330&gt;0,0,IF(Z330=$Z$83,AG330*1,IF(Z330=$Z$81,AG330*1,0)))</f>
        <v>0</v>
      </c>
      <c r="BI330" s="174">
        <f>IF(AA330&gt;0,0,IF(Z330=$Z$84,AG330*1,IF(Z330=$Z$93,AG330*2,IF(Z330=$Z$100,AG330,IF(Z330=$Z$81,AG330*2,IF(Z330=$Z$80,AG330*1,IF(Z330=$Z$79,AG330*3,IF(Z330=$Z$78,AG330*2,0))))))))</f>
        <v>0</v>
      </c>
      <c r="BJ330" s="174">
        <f>IF(AA330&gt;0,0,IF(Z330=$Z$85,AG330,IF(Z330=$Z$93,AG330,IF(Z330=$Z$100,AG330,IF(Z330=$Z$81,AG330*1,IF(Z330=$Z$80,AG330*2,IF(Z330=$Z$79,AG330*2,IF(Z330=$Z$78,AG330*2,0))))))))</f>
        <v>0</v>
      </c>
      <c r="BK330" s="174">
        <f>IF(AA330&gt;0,0,IF(Z330=$Z$92,AG330,0))</f>
        <v>0</v>
      </c>
      <c r="BL330" s="174">
        <f>IF(AA330&gt;0,0,IF(Z330=$Z$91,AG330,0))</f>
        <v>0</v>
      </c>
      <c r="BM330" s="174">
        <f>IF(AA330&gt;0,0,IF(Z330=$Z$86,AG330,0))</f>
        <v>0</v>
      </c>
      <c r="BN330" s="174">
        <f>IF(AA330&gt;0,0,IF(Z330=$Z$87,AG330,0))</f>
        <v>0</v>
      </c>
      <c r="BO330" s="174">
        <f>IF(AA330&gt;0,0,IF(Z330=$Z$88,AG330,0))</f>
        <v>0</v>
      </c>
      <c r="BP330" s="174">
        <f>IF(AA330&gt;0,0,IF(Z330=$Z$89,AG330,0))</f>
        <v>0</v>
      </c>
      <c r="BQ330" s="174">
        <f>IF(AA330&gt;0,0,IF(Z330=$Z$90,AG330,0))</f>
        <v>0</v>
      </c>
      <c r="BR330" s="174">
        <f>IF(Z330=$Z$82,AA330*AG330,0)</f>
        <v>0</v>
      </c>
      <c r="BS330" s="174">
        <f>IF(Z330=$Z$83,AA330*AG330,0)</f>
        <v>0</v>
      </c>
      <c r="BT330" s="174">
        <f>IF(AA330&lt;1,0,IF(Z330=$Z$84,AA330*AG330,IF(Z330=$Z$93,"ERRO",IF(Z330=$Z$100,"ERRO",0))))</f>
        <v>0</v>
      </c>
      <c r="BU330" s="174">
        <f>IF(AA330&lt;1,0,IF(Z330=$Z$85,AA330*AG330,IF(Z330=$Z$93,"ERRO",IF(Z330=$Z$100,"ERRO",0))))</f>
        <v>0</v>
      </c>
      <c r="BV330" s="174">
        <f>IF(Z330=$Z$92,AA330*AG330,0)</f>
        <v>0</v>
      </c>
      <c r="BW330" s="174">
        <f>IF(Z330=$Z$91,AA330*AG330,0)</f>
        <v>0</v>
      </c>
      <c r="BX330" s="174">
        <f>IF(Z330=$Z$86,AA330*AG330,0)</f>
        <v>0</v>
      </c>
      <c r="BY330" s="174">
        <f>IF(Z330=$Z$87,AA330*AG330,0)</f>
        <v>0</v>
      </c>
      <c r="BZ330" s="174">
        <f>IF(Z330=$Z$88,AA330*AG330,0)</f>
        <v>0</v>
      </c>
      <c r="CA330" s="174">
        <f>IF(Z330=$Z$89,AA330*AG330,0)</f>
        <v>0</v>
      </c>
      <c r="CB330" s="174">
        <f>IF(Z330=$Z$90,AA330*AG330,0)</f>
        <v>0</v>
      </c>
      <c r="CC330" s="175">
        <f>IFERROR(IF(L330=$L$49,AG330*AH330*(1+AI330)*(1-AK330)*(1-AL330),0),0)</f>
        <v>0</v>
      </c>
      <c r="CD330" s="212">
        <f>IF(I330=$CD$97,1,IF(I330=$CD$100,2,IF(K330=$K$66,1,IF(K330=$K$69,1,3))))</f>
        <v>1</v>
      </c>
      <c r="CE330" s="212">
        <f t="shared" si="14"/>
        <v>1.07</v>
      </c>
      <c r="CF330" s="213">
        <f>CG330*0.87</f>
        <v>1.2353999999999998</v>
      </c>
      <c r="CG330" s="212">
        <f t="shared" si="15"/>
        <v>1.42</v>
      </c>
      <c r="CH330" s="213">
        <f>CG330*1.09</f>
        <v>1.5478000000000001</v>
      </c>
      <c r="CI330" s="212">
        <f t="shared" si="16"/>
        <v>1.7</v>
      </c>
      <c r="CJ330" s="214">
        <f>CE330*$CJ$102</f>
        <v>1.0486</v>
      </c>
      <c r="CK330" s="214">
        <f>CF330*$CK$102</f>
        <v>1.148922</v>
      </c>
      <c r="CL330" s="214">
        <f>CG330*$CL$102</f>
        <v>1.3915999999999999</v>
      </c>
      <c r="CM330" s="214">
        <f>CH330*$CM$102</f>
        <v>1.501366</v>
      </c>
      <c r="CN330" s="215">
        <f>CI330*$CN$102</f>
        <v>1.6319999999999999</v>
      </c>
      <c r="CO330" s="213">
        <f>CJ330*$CO$102</f>
        <v>1.006656</v>
      </c>
      <c r="CP330" s="216">
        <f>BF330-BA330</f>
        <v>-241.54219047083413</v>
      </c>
      <c r="CQ330" s="217">
        <f>AQ330-CP330</f>
        <v>6317.4669720918182</v>
      </c>
      <c r="CR330" s="218">
        <f t="shared" si="72"/>
        <v>221.77125452916593</v>
      </c>
      <c r="CS330" s="49"/>
      <c r="CT330" s="49"/>
      <c r="CU330" s="49"/>
      <c r="CV330" s="49"/>
      <c r="CW330" s="49"/>
      <c r="CX330" s="49"/>
      <c r="CY330" s="49"/>
      <c r="CZ330" s="49"/>
      <c r="DA330" s="49"/>
      <c r="DB330" s="49"/>
      <c r="DC330" s="49"/>
      <c r="DD330" s="49"/>
      <c r="DE330" s="49"/>
      <c r="DF330" s="49"/>
      <c r="DG330" s="49"/>
      <c r="DH330" s="49"/>
      <c r="DI330" s="49"/>
      <c r="DJ330" s="49"/>
      <c r="DK330" s="49"/>
      <c r="DL330" s="49"/>
      <c r="DM330" s="49"/>
      <c r="DN330" s="49"/>
      <c r="DO330" s="49"/>
      <c r="DP330" s="49"/>
      <c r="DQ330" s="49"/>
      <c r="DR330" s="49"/>
      <c r="DS330" s="49"/>
      <c r="DT330" s="49"/>
      <c r="DU330" s="49"/>
      <c r="DV330" s="49"/>
      <c r="DW330" s="49"/>
      <c r="DX330" s="49"/>
      <c r="DY330" s="49"/>
      <c r="DZ330" s="49"/>
      <c r="EA330" s="49"/>
      <c r="EB330" s="49"/>
      <c r="EC330" s="49"/>
      <c r="ED330" s="49"/>
      <c r="EE330" s="49"/>
      <c r="EF330" s="49"/>
      <c r="EG330" s="49"/>
      <c r="EH330" s="49"/>
      <c r="EI330" s="49"/>
      <c r="EJ330" s="49"/>
      <c r="EK330" s="49"/>
      <c r="EL330" s="49"/>
      <c r="EM330" s="49"/>
      <c r="EN330" s="49"/>
      <c r="EO330" s="49"/>
      <c r="EP330" s="49"/>
      <c r="EQ330" s="49"/>
      <c r="ER330" s="49"/>
      <c r="ES330" s="49"/>
      <c r="ET330" s="49"/>
      <c r="EU330" s="49"/>
      <c r="EV330" s="49"/>
      <c r="EW330" s="49"/>
      <c r="EX330" s="49"/>
      <c r="EY330" s="49"/>
      <c r="EZ330" s="49"/>
      <c r="FA330" s="49"/>
    </row>
    <row r="331" spans="1:157" s="210" customFormat="1" ht="63.75" x14ac:dyDescent="0.25">
      <c r="A331" s="113">
        <f>IF(AND('[1]Cockpit Retorno'!$E$67=Sim,Mestre!M331=Mestre!$M$98),0,1)</f>
        <v>1</v>
      </c>
      <c r="B331" s="113">
        <f>IF(AND('[1]Cockpit Retorno'!$E$67=Sim,Mestre!L331=Mestre!$L$48),0,1)</f>
        <v>0</v>
      </c>
      <c r="C331" s="113">
        <f>IF(AND('[1]Cockpit Retorno'!$E$67=Sim,Mestre!M331=Mestre!$M$97),0,1)</f>
        <v>1</v>
      </c>
      <c r="D331" s="148" t="s">
        <v>7</v>
      </c>
      <c r="E331" s="115"/>
      <c r="F331" s="116" t="s">
        <v>107</v>
      </c>
      <c r="G331" s="149"/>
      <c r="H331" s="150" t="s">
        <v>7</v>
      </c>
      <c r="I331" s="151" t="str">
        <f>VLOOKUP(K331,$N$74:$O$95,2)</f>
        <v>Mercadorias</v>
      </c>
      <c r="J331" s="150" t="s">
        <v>15</v>
      </c>
      <c r="K331" s="151" t="s">
        <v>7</v>
      </c>
      <c r="L331" s="153" t="s">
        <v>15</v>
      </c>
      <c r="M331" s="154" t="s">
        <v>442</v>
      </c>
      <c r="N331" s="155" t="s">
        <v>472</v>
      </c>
      <c r="O331" s="155" t="s">
        <v>412</v>
      </c>
      <c r="P331" s="155"/>
      <c r="Q331" s="155"/>
      <c r="R331" s="155"/>
      <c r="S331" s="156"/>
      <c r="T331" s="156"/>
      <c r="U331" s="150"/>
      <c r="V331" s="150"/>
      <c r="W331" s="150"/>
      <c r="X331" s="157" t="s">
        <v>489</v>
      </c>
      <c r="Y331" s="150"/>
      <c r="Z331" s="150"/>
      <c r="AA331" s="150"/>
      <c r="AB331" s="155"/>
      <c r="AC331" s="150"/>
      <c r="AD331" s="155"/>
      <c r="AE331" s="155"/>
      <c r="AF331" s="150"/>
      <c r="AG331" s="159">
        <v>20</v>
      </c>
      <c r="AH331" s="211">
        <v>250.43970000000004</v>
      </c>
      <c r="AI331" s="202">
        <v>0</v>
      </c>
      <c r="AJ331" s="161">
        <v>0.12</v>
      </c>
      <c r="AK331" s="162"/>
      <c r="AL331" s="163"/>
      <c r="AM331" s="164">
        <f>(((IF(L331=$L$101,1,IF(L331=$L$47,1,0))*(AH331*(1-AK331)))*AG331)*(1-AL331))</f>
        <v>5008.7940000000008</v>
      </c>
      <c r="AN331" s="165">
        <f>IF(K331=$K$50,AM331,IF(K331=$K$53,AM331,IF(K331=$K$54,AM331,IF(K331=$K$55,AM331,IF(K331=$K$56,AM331,IF(K331=$K$57,AM331,IF(K331=$K$58,AM331,IF(K331=$K$65,AM331,IF(K331=$K$66,AM331,IF(K331=$K$67,AM331,IF(K331=$K$68,AM331,IF(K331=$K$69,AM331,IF(K331=$K$51,AM331,(AM331*(1+AI331)))))))))))))))</f>
        <v>5008.7940000000008</v>
      </c>
      <c r="AO331" s="166">
        <v>1.4</v>
      </c>
      <c r="AP331" s="160">
        <f>AM331*AO331</f>
        <v>7012.3116000000009</v>
      </c>
      <c r="AQ331" s="167">
        <f>AP331*Fator_Venda</f>
        <v>6075.9247816209845</v>
      </c>
      <c r="AR331" s="160">
        <f>AO331*AN331</f>
        <v>7012.3116000000009</v>
      </c>
      <c r="AS331" s="168">
        <f>IFERROR(IF($AX$94=0,(CQ331/AN331),CQ331/AM331),0)</f>
        <v>1.2612750638360886</v>
      </c>
      <c r="AT331" s="169" t="str">
        <f>K331</f>
        <v>MI</v>
      </c>
      <c r="AU331" s="169" t="str">
        <f>I331</f>
        <v>Mercadorias</v>
      </c>
      <c r="AV331" s="170"/>
      <c r="AW331" s="171">
        <f>IF(K331=$K$50,0,IF(K331=$K$53,0,IF(K331=$K$54,0,IF(K331=$K$55,0,IF(K331=$K$56,0,IF(K331=$K$57,0,IF(K331=$K$58,0,IF(K331=$K$65,0,IF(K331=$K$66,0,IF(K331=$K$67,0,IF(K331=$K$68,0,IF(K331=$K$69,0,IF(K331=$K$51,0,1))))))))))))*AM331*AI331)</f>
        <v>0</v>
      </c>
      <c r="AX331" s="172">
        <f>IF(K331=$K$50,0,IF(K331=$K$53,0,IF(K331=$K$54,0,IF(K331=$K$55,0,IF(K331=$K$56,0,IF(K331=$K$57,0,IF(K331=$K$58,0,IF(K331=$K$65,0,IF(K331=$K$66,0,IF(K331=$K$67,0,IF(K331=$K$68,0,IF(K331=$K$69,0,IF(K331=$K$51,0,1))))))))))))*AM331*AJ331*$AX$94)</f>
        <v>0</v>
      </c>
      <c r="AY331" s="172">
        <f>IF(K331=$K$53,0,IF(K331=$K$54,0,IF(K331=$K$55,0,IF(K331=$K$56,0,IF(K331=$K$58,0,IF(K331=$K$50,0,IF(K331=$K$65,0,IF(K331=$K$57,0,IF(K331=$K$51,0,AM331*$AY$102)))))))))</f>
        <v>82.645101000000011</v>
      </c>
      <c r="AZ331" s="172">
        <f>IF(K331=$K$53,0,IF(K331=$K$54,0,IF(K331=$K$55,0,IF(K331=$K$56,0,IF(K331=$K$58,0,IF(K331=$K$50,0,IF(K331=$K$65,0,IF(K331=$K$57,0,IF(K331=$K$51,0,AM331*$AZ$102)))))))))</f>
        <v>380.66834400000005</v>
      </c>
      <c r="BA331" s="172">
        <f>AZ331+AY331+AX331</f>
        <v>463.31344500000006</v>
      </c>
      <c r="BB331" s="173">
        <f>IF($BA$97=1,AQ331*$BB$102,IF(K331=$K$50,0,IF(K331=$K$53,0,IF(K331=$K$54,0,IF(K331=$K$55,0,IF(K331=$K$56,0,IF(K331=$K$57,0,IF(K331=$K$58,0,IF(K331=$K$65,0,IF(K331=$K$66,0,IF(K331=$K$67,0,IF(K331=$K$68,0,IF(K331=$K$69,0,IF(K331=$K$51,0,1)))))))))))*AQ331*$BB$102)))</f>
        <v>0</v>
      </c>
      <c r="BC331" s="172">
        <f>AQ331*$BC$102</f>
        <v>39.4935110805364</v>
      </c>
      <c r="BD331" s="172">
        <f>$BD$102*AQ331</f>
        <v>182.27774344862954</v>
      </c>
      <c r="BE331" s="172">
        <f>IF($BE$95=I331,$BE$97,IF(I331=$BE$96,$BE$97,1))*($BE$102*AQ331)*$AZ$97</f>
        <v>0</v>
      </c>
      <c r="BF331" s="172">
        <f>IF('[1]Cockpit Retorno'!$C$65=Sim,Mestre!BA331,SUM(BB331:BE331)+(IF(K331=$K$56,AQ331*MOE_IRRF_LR,0)))</f>
        <v>221.77125452916593</v>
      </c>
      <c r="BG331" s="174">
        <f>IF(AA331&gt;0,0,IF(Z331=$Z$82,AG331*1,(IF(Z331=$Z$81,AG331*1,0))))</f>
        <v>0</v>
      </c>
      <c r="BH331" s="174">
        <f>IF(AA331&gt;0,0,IF(Z331=$Z$83,AG331*1,IF(Z331=$Z$81,AG331*1,0)))</f>
        <v>0</v>
      </c>
      <c r="BI331" s="174">
        <f>IF(AA331&gt;0,0,IF(Z331=$Z$84,AG331*1,IF(Z331=$Z$93,AG331*2,IF(Z331=$Z$100,AG331,IF(Z331=$Z$81,AG331*2,IF(Z331=$Z$80,AG331*1,IF(Z331=$Z$79,AG331*3,IF(Z331=$Z$78,AG331*2,0))))))))</f>
        <v>0</v>
      </c>
      <c r="BJ331" s="174">
        <f>IF(AA331&gt;0,0,IF(Z331=$Z$85,AG331,IF(Z331=$Z$93,AG331,IF(Z331=$Z$100,AG331,IF(Z331=$Z$81,AG331*1,IF(Z331=$Z$80,AG331*2,IF(Z331=$Z$79,AG331*2,IF(Z331=$Z$78,AG331*2,0))))))))</f>
        <v>0</v>
      </c>
      <c r="BK331" s="174">
        <f>IF(AA331&gt;0,0,IF(Z331=$Z$92,AG331,0))</f>
        <v>0</v>
      </c>
      <c r="BL331" s="174">
        <f>IF(AA331&gt;0,0,IF(Z331=$Z$91,AG331,0))</f>
        <v>0</v>
      </c>
      <c r="BM331" s="174">
        <f>IF(AA331&gt;0,0,IF(Z331=$Z$86,AG331,0))</f>
        <v>0</v>
      </c>
      <c r="BN331" s="174">
        <f>IF(AA331&gt;0,0,IF(Z331=$Z$87,AG331,0))</f>
        <v>0</v>
      </c>
      <c r="BO331" s="174">
        <f>IF(AA331&gt;0,0,IF(Z331=$Z$88,AG331,0))</f>
        <v>0</v>
      </c>
      <c r="BP331" s="174">
        <f>IF(AA331&gt;0,0,IF(Z331=$Z$89,AG331,0))</f>
        <v>0</v>
      </c>
      <c r="BQ331" s="174">
        <f>IF(AA331&gt;0,0,IF(Z331=$Z$90,AG331,0))</f>
        <v>0</v>
      </c>
      <c r="BR331" s="174">
        <f>IF(Z331=$Z$82,AA331*AG331,0)</f>
        <v>0</v>
      </c>
      <c r="BS331" s="174">
        <f>IF(Z331=$Z$83,AA331*AG331,0)</f>
        <v>0</v>
      </c>
      <c r="BT331" s="174">
        <f>IF(AA331&lt;1,0,IF(Z331=$Z$84,AA331*AG331,IF(Z331=$Z$93,"ERRO",IF(Z331=$Z$100,"ERRO",0))))</f>
        <v>0</v>
      </c>
      <c r="BU331" s="174">
        <f>IF(AA331&lt;1,0,IF(Z331=$Z$85,AA331*AG331,IF(Z331=$Z$93,"ERRO",IF(Z331=$Z$100,"ERRO",0))))</f>
        <v>0</v>
      </c>
      <c r="BV331" s="174">
        <f>IF(Z331=$Z$92,AA331*AG331,0)</f>
        <v>0</v>
      </c>
      <c r="BW331" s="174">
        <f>IF(Z331=$Z$91,AA331*AG331,0)</f>
        <v>0</v>
      </c>
      <c r="BX331" s="174">
        <f>IF(Z331=$Z$86,AA331*AG331,0)</f>
        <v>0</v>
      </c>
      <c r="BY331" s="174">
        <f>IF(Z331=$Z$87,AA331*AG331,0)</f>
        <v>0</v>
      </c>
      <c r="BZ331" s="174">
        <f>IF(Z331=$Z$88,AA331*AG331,0)</f>
        <v>0</v>
      </c>
      <c r="CA331" s="174">
        <f>IF(Z331=$Z$89,AA331*AG331,0)</f>
        <v>0</v>
      </c>
      <c r="CB331" s="174">
        <f>IF(Z331=$Z$90,AA331*AG331,0)</f>
        <v>0</v>
      </c>
      <c r="CC331" s="175">
        <f>IFERROR(IF(L331=$L$49,AG331*AH331*(1+AI331)*(1-AK331)*(1-AL331),0),0)</f>
        <v>0</v>
      </c>
      <c r="CD331" s="212">
        <f>IF(I331=$CD$97,1,IF(I331=$CD$100,2,IF(K331=$K$66,1,IF(K331=$K$69,1,3))))</f>
        <v>1</v>
      </c>
      <c r="CE331" s="212">
        <f t="shared" si="14"/>
        <v>1.07</v>
      </c>
      <c r="CF331" s="213">
        <f>CG331*0.87</f>
        <v>1.2353999999999998</v>
      </c>
      <c r="CG331" s="212">
        <f t="shared" si="15"/>
        <v>1.42</v>
      </c>
      <c r="CH331" s="213">
        <f>CG331*1.09</f>
        <v>1.5478000000000001</v>
      </c>
      <c r="CI331" s="212">
        <f t="shared" si="16"/>
        <v>1.7</v>
      </c>
      <c r="CJ331" s="214">
        <f>CE331*$CJ$102</f>
        <v>1.0486</v>
      </c>
      <c r="CK331" s="214">
        <f>CF331*$CK$102</f>
        <v>1.148922</v>
      </c>
      <c r="CL331" s="214">
        <f>CG331*$CL$102</f>
        <v>1.3915999999999999</v>
      </c>
      <c r="CM331" s="214">
        <f>CH331*$CM$102</f>
        <v>1.501366</v>
      </c>
      <c r="CN331" s="215">
        <f>CI331*$CN$102</f>
        <v>1.6319999999999999</v>
      </c>
      <c r="CO331" s="213">
        <f>CJ331*$CO$102</f>
        <v>1.006656</v>
      </c>
      <c r="CP331" s="216">
        <f>BF331-BA331</f>
        <v>-241.54219047083413</v>
      </c>
      <c r="CQ331" s="217">
        <f>AQ331-CP331</f>
        <v>6317.4669720918182</v>
      </c>
      <c r="CR331" s="218">
        <f t="shared" si="72"/>
        <v>221.77125452916593</v>
      </c>
      <c r="CS331" s="49"/>
      <c r="CT331" s="49"/>
      <c r="CU331" s="49"/>
      <c r="CV331" s="49"/>
      <c r="CW331" s="49"/>
      <c r="CX331" s="49"/>
      <c r="CY331" s="49"/>
      <c r="CZ331" s="49"/>
      <c r="DA331" s="49"/>
      <c r="DB331" s="49"/>
      <c r="DC331" s="49"/>
      <c r="DD331" s="49"/>
      <c r="DE331" s="49"/>
      <c r="DF331" s="49"/>
      <c r="DG331" s="49"/>
      <c r="DH331" s="49"/>
      <c r="DI331" s="49"/>
      <c r="DJ331" s="49"/>
      <c r="DK331" s="49"/>
      <c r="DL331" s="49"/>
      <c r="DM331" s="49"/>
      <c r="DN331" s="49"/>
      <c r="DO331" s="49"/>
      <c r="DP331" s="49"/>
      <c r="DQ331" s="49"/>
      <c r="DR331" s="49"/>
      <c r="DS331" s="49"/>
      <c r="DT331" s="49"/>
      <c r="DU331" s="49"/>
      <c r="DV331" s="49"/>
      <c r="DW331" s="49"/>
      <c r="DX331" s="49"/>
      <c r="DY331" s="49"/>
      <c r="DZ331" s="49"/>
      <c r="EA331" s="49"/>
      <c r="EB331" s="49"/>
      <c r="EC331" s="49"/>
      <c r="ED331" s="49"/>
      <c r="EE331" s="49"/>
      <c r="EF331" s="49"/>
      <c r="EG331" s="49"/>
      <c r="EH331" s="49"/>
      <c r="EI331" s="49"/>
      <c r="EJ331" s="49"/>
      <c r="EK331" s="49"/>
      <c r="EL331" s="49"/>
      <c r="EM331" s="49"/>
      <c r="EN331" s="49"/>
      <c r="EO331" s="49"/>
      <c r="EP331" s="49"/>
      <c r="EQ331" s="49"/>
      <c r="ER331" s="49"/>
      <c r="ES331" s="49"/>
      <c r="ET331" s="49"/>
      <c r="EU331" s="49"/>
      <c r="EV331" s="49"/>
      <c r="EW331" s="49"/>
      <c r="EX331" s="49"/>
      <c r="EY331" s="49"/>
      <c r="EZ331" s="49"/>
      <c r="FA331" s="49"/>
    </row>
    <row r="332" spans="1:157" s="210" customFormat="1" ht="63.75" x14ac:dyDescent="0.25">
      <c r="A332" s="113">
        <f>IF(AND('[1]Cockpit Retorno'!$E$67=Sim,Mestre!M332=Mestre!$M$98),0,1)</f>
        <v>1</v>
      </c>
      <c r="B332" s="113">
        <f>IF(AND('[1]Cockpit Retorno'!$E$67=Sim,Mestre!L332=Mestre!$L$48),0,1)</f>
        <v>0</v>
      </c>
      <c r="C332" s="113">
        <f>IF(AND('[1]Cockpit Retorno'!$E$67=Sim,Mestre!M332=Mestre!$M$97),0,1)</f>
        <v>1</v>
      </c>
      <c r="D332" s="148" t="s">
        <v>7</v>
      </c>
      <c r="E332" s="115"/>
      <c r="F332" s="116" t="s">
        <v>107</v>
      </c>
      <c r="G332" s="149"/>
      <c r="H332" s="150" t="s">
        <v>7</v>
      </c>
      <c r="I332" s="151" t="str">
        <f>VLOOKUP(K332,$N$74:$O$95,2)</f>
        <v>Mercadorias</v>
      </c>
      <c r="J332" s="150" t="s">
        <v>15</v>
      </c>
      <c r="K332" s="151" t="s">
        <v>7</v>
      </c>
      <c r="L332" s="153" t="s">
        <v>15</v>
      </c>
      <c r="M332" s="154" t="s">
        <v>442</v>
      </c>
      <c r="N332" s="155" t="s">
        <v>472</v>
      </c>
      <c r="O332" s="155" t="s">
        <v>412</v>
      </c>
      <c r="P332" s="155"/>
      <c r="Q332" s="155"/>
      <c r="R332" s="155"/>
      <c r="S332" s="156"/>
      <c r="T332" s="156"/>
      <c r="U332" s="150"/>
      <c r="V332" s="150"/>
      <c r="W332" s="150"/>
      <c r="X332" s="157" t="s">
        <v>490</v>
      </c>
      <c r="Y332" s="150"/>
      <c r="Z332" s="150"/>
      <c r="AA332" s="150"/>
      <c r="AB332" s="155"/>
      <c r="AC332" s="150"/>
      <c r="AD332" s="155"/>
      <c r="AE332" s="155"/>
      <c r="AF332" s="150"/>
      <c r="AG332" s="159">
        <v>30</v>
      </c>
      <c r="AH332" s="211">
        <v>161.45730000000003</v>
      </c>
      <c r="AI332" s="202">
        <v>0</v>
      </c>
      <c r="AJ332" s="161">
        <v>0.12</v>
      </c>
      <c r="AK332" s="162"/>
      <c r="AL332" s="163"/>
      <c r="AM332" s="164">
        <f>(((IF(L332=$L$101,1,IF(L332=$L$47,1,0))*(AH332*(1-AK332)))*AG332)*(1-AL332))</f>
        <v>4843.719000000001</v>
      </c>
      <c r="AN332" s="165">
        <f>IF(K332=$K$50,AM332,IF(K332=$K$53,AM332,IF(K332=$K$54,AM332,IF(K332=$K$55,AM332,IF(K332=$K$56,AM332,IF(K332=$K$57,AM332,IF(K332=$K$58,AM332,IF(K332=$K$65,AM332,IF(K332=$K$66,AM332,IF(K332=$K$67,AM332,IF(K332=$K$68,AM332,IF(K332=$K$69,AM332,IF(K332=$K$51,AM332,(AM332*(1+AI332)))))))))))))))</f>
        <v>4843.719000000001</v>
      </c>
      <c r="AO332" s="166">
        <v>1.4</v>
      </c>
      <c r="AP332" s="160">
        <f>AM332*AO332</f>
        <v>6781.2066000000013</v>
      </c>
      <c r="AQ332" s="167">
        <f>AP332*Fator_Venda</f>
        <v>5875.6803149237949</v>
      </c>
      <c r="AR332" s="160">
        <f>AO332*AN332</f>
        <v>6781.2066000000013</v>
      </c>
      <c r="AS332" s="168">
        <f>IFERROR(IF($AX$94=0,(CQ332/AN332),CQ332/AM332),0)</f>
        <v>1.2612750638360886</v>
      </c>
      <c r="AT332" s="169" t="str">
        <f>K332</f>
        <v>MI</v>
      </c>
      <c r="AU332" s="169" t="str">
        <f>I332</f>
        <v>Mercadorias</v>
      </c>
      <c r="AV332" s="170"/>
      <c r="AW332" s="171">
        <f>IF(K332=$K$50,0,IF(K332=$K$53,0,IF(K332=$K$54,0,IF(K332=$K$55,0,IF(K332=$K$56,0,IF(K332=$K$57,0,IF(K332=$K$58,0,IF(K332=$K$65,0,IF(K332=$K$66,0,IF(K332=$K$67,0,IF(K332=$K$68,0,IF(K332=$K$69,0,IF(K332=$K$51,0,1))))))))))))*AM332*AI332)</f>
        <v>0</v>
      </c>
      <c r="AX332" s="172">
        <f>IF(K332=$K$50,0,IF(K332=$K$53,0,IF(K332=$K$54,0,IF(K332=$K$55,0,IF(K332=$K$56,0,IF(K332=$K$57,0,IF(K332=$K$58,0,IF(K332=$K$65,0,IF(K332=$K$66,0,IF(K332=$K$67,0,IF(K332=$K$68,0,IF(K332=$K$69,0,IF(K332=$K$51,0,1))))))))))))*AM332*AJ332*$AX$94)</f>
        <v>0</v>
      </c>
      <c r="AY332" s="172">
        <f>IF(K332=$K$53,0,IF(K332=$K$54,0,IF(K332=$K$55,0,IF(K332=$K$56,0,IF(K332=$K$58,0,IF(K332=$K$50,0,IF(K332=$K$65,0,IF(K332=$K$57,0,IF(K332=$K$51,0,AM332*$AY$102)))))))))</f>
        <v>79.921363500000027</v>
      </c>
      <c r="AZ332" s="172">
        <f>IF(K332=$K$53,0,IF(K332=$K$54,0,IF(K332=$K$55,0,IF(K332=$K$56,0,IF(K332=$K$58,0,IF(K332=$K$50,0,IF(K332=$K$65,0,IF(K332=$K$57,0,IF(K332=$K$51,0,AM332*$AZ$102)))))))))</f>
        <v>368.12264400000004</v>
      </c>
      <c r="BA332" s="172">
        <f>AZ332+AY332+AX332</f>
        <v>448.04400750000008</v>
      </c>
      <c r="BB332" s="173">
        <f>IF($BA$97=1,AQ332*$BB$102,IF(K332=$K$50,0,IF(K332=$K$53,0,IF(K332=$K$54,0,IF(K332=$K$55,0,IF(K332=$K$56,0,IF(K332=$K$57,0,IF(K332=$K$58,0,IF(K332=$K$65,0,IF(K332=$K$66,0,IF(K332=$K$67,0,IF(K332=$K$68,0,IF(K332=$K$69,0,IF(K332=$K$51,0,1)))))))))))*AQ332*$BB$102)))</f>
        <v>0</v>
      </c>
      <c r="BC332" s="172">
        <f>AQ332*$BC$102</f>
        <v>38.191922047004667</v>
      </c>
      <c r="BD332" s="172">
        <f>$BD$102*AQ332</f>
        <v>176.27040944771383</v>
      </c>
      <c r="BE332" s="172">
        <f>IF($BE$95=I332,$BE$97,IF(I332=$BE$96,$BE$97,1))*($BE$102*AQ332)*$AZ$97</f>
        <v>0</v>
      </c>
      <c r="BF332" s="172">
        <f>IF('[1]Cockpit Retorno'!$C$65=Sim,Mestre!BA332,SUM(BB332:BE332)+(IF(K332=$K$56,AQ332*MOE_IRRF_LR,0)))</f>
        <v>214.46233149471851</v>
      </c>
      <c r="BG332" s="174">
        <f>IF(AA332&gt;0,0,IF(Z332=$Z$82,AG332*1,(IF(Z332=$Z$81,AG332*1,0))))</f>
        <v>0</v>
      </c>
      <c r="BH332" s="174">
        <f>IF(AA332&gt;0,0,IF(Z332=$Z$83,AG332*1,IF(Z332=$Z$81,AG332*1,0)))</f>
        <v>0</v>
      </c>
      <c r="BI332" s="174">
        <f>IF(AA332&gt;0,0,IF(Z332=$Z$84,AG332*1,IF(Z332=$Z$93,AG332*2,IF(Z332=$Z$100,AG332,IF(Z332=$Z$81,AG332*2,IF(Z332=$Z$80,AG332*1,IF(Z332=$Z$79,AG332*3,IF(Z332=$Z$78,AG332*2,0))))))))</f>
        <v>0</v>
      </c>
      <c r="BJ332" s="174">
        <f>IF(AA332&gt;0,0,IF(Z332=$Z$85,AG332,IF(Z332=$Z$93,AG332,IF(Z332=$Z$100,AG332,IF(Z332=$Z$81,AG332*1,IF(Z332=$Z$80,AG332*2,IF(Z332=$Z$79,AG332*2,IF(Z332=$Z$78,AG332*2,0))))))))</f>
        <v>0</v>
      </c>
      <c r="BK332" s="174">
        <f>IF(AA332&gt;0,0,IF(Z332=$Z$92,AG332,0))</f>
        <v>0</v>
      </c>
      <c r="BL332" s="174">
        <f>IF(AA332&gt;0,0,IF(Z332=$Z$91,AG332,0))</f>
        <v>0</v>
      </c>
      <c r="BM332" s="174">
        <f>IF(AA332&gt;0,0,IF(Z332=$Z$86,AG332,0))</f>
        <v>0</v>
      </c>
      <c r="BN332" s="174">
        <f>IF(AA332&gt;0,0,IF(Z332=$Z$87,AG332,0))</f>
        <v>0</v>
      </c>
      <c r="BO332" s="174">
        <f>IF(AA332&gt;0,0,IF(Z332=$Z$88,AG332,0))</f>
        <v>0</v>
      </c>
      <c r="BP332" s="174">
        <f>IF(AA332&gt;0,0,IF(Z332=$Z$89,AG332,0))</f>
        <v>0</v>
      </c>
      <c r="BQ332" s="174">
        <f>IF(AA332&gt;0,0,IF(Z332=$Z$90,AG332,0))</f>
        <v>0</v>
      </c>
      <c r="BR332" s="174">
        <f>IF(Z332=$Z$82,AA332*AG332,0)</f>
        <v>0</v>
      </c>
      <c r="BS332" s="174">
        <f>IF(Z332=$Z$83,AA332*AG332,0)</f>
        <v>0</v>
      </c>
      <c r="BT332" s="174">
        <f>IF(AA332&lt;1,0,IF(Z332=$Z$84,AA332*AG332,IF(Z332=$Z$93,"ERRO",IF(Z332=$Z$100,"ERRO",0))))</f>
        <v>0</v>
      </c>
      <c r="BU332" s="174">
        <f>IF(AA332&lt;1,0,IF(Z332=$Z$85,AA332*AG332,IF(Z332=$Z$93,"ERRO",IF(Z332=$Z$100,"ERRO",0))))</f>
        <v>0</v>
      </c>
      <c r="BV332" s="174">
        <f>IF(Z332=$Z$92,AA332*AG332,0)</f>
        <v>0</v>
      </c>
      <c r="BW332" s="174">
        <f>IF(Z332=$Z$91,AA332*AG332,0)</f>
        <v>0</v>
      </c>
      <c r="BX332" s="174">
        <f>IF(Z332=$Z$86,AA332*AG332,0)</f>
        <v>0</v>
      </c>
      <c r="BY332" s="174">
        <f>IF(Z332=$Z$87,AA332*AG332,0)</f>
        <v>0</v>
      </c>
      <c r="BZ332" s="174">
        <f>IF(Z332=$Z$88,AA332*AG332,0)</f>
        <v>0</v>
      </c>
      <c r="CA332" s="174">
        <f>IF(Z332=$Z$89,AA332*AG332,0)</f>
        <v>0</v>
      </c>
      <c r="CB332" s="174">
        <f>IF(Z332=$Z$90,AA332*AG332,0)</f>
        <v>0</v>
      </c>
      <c r="CC332" s="175">
        <f>IFERROR(IF(L332=$L$49,AG332*AH332*(1+AI332)*(1-AK332)*(1-AL332),0),0)</f>
        <v>0</v>
      </c>
      <c r="CD332" s="212">
        <f>IF(I332=$CD$97,1,IF(I332=$CD$100,2,IF(K332=$K$66,1,IF(K332=$K$69,1,3))))</f>
        <v>1</v>
      </c>
      <c r="CE332" s="212">
        <f t="shared" si="14"/>
        <v>1.07</v>
      </c>
      <c r="CF332" s="213">
        <f>CG332*0.87</f>
        <v>1.2353999999999998</v>
      </c>
      <c r="CG332" s="212">
        <f t="shared" si="15"/>
        <v>1.42</v>
      </c>
      <c r="CH332" s="213">
        <f>CG332*1.09</f>
        <v>1.5478000000000001</v>
      </c>
      <c r="CI332" s="212">
        <f t="shared" si="16"/>
        <v>1.7</v>
      </c>
      <c r="CJ332" s="214">
        <f>CE332*$CJ$102</f>
        <v>1.0486</v>
      </c>
      <c r="CK332" s="214">
        <f>CF332*$CK$102</f>
        <v>1.148922</v>
      </c>
      <c r="CL332" s="214">
        <f>CG332*$CL$102</f>
        <v>1.3915999999999999</v>
      </c>
      <c r="CM332" s="214">
        <f>CH332*$CM$102</f>
        <v>1.501366</v>
      </c>
      <c r="CN332" s="215">
        <f>CI332*$CN$102</f>
        <v>1.6319999999999999</v>
      </c>
      <c r="CO332" s="213">
        <f>CJ332*$CO$102</f>
        <v>1.006656</v>
      </c>
      <c r="CP332" s="216">
        <f>BF332-BA332</f>
        <v>-233.58167600528157</v>
      </c>
      <c r="CQ332" s="217">
        <f>AQ332-CP332</f>
        <v>6109.2619909290761</v>
      </c>
      <c r="CR332" s="218">
        <f t="shared" si="72"/>
        <v>214.46233149471851</v>
      </c>
      <c r="CS332" s="49"/>
      <c r="CT332" s="49"/>
      <c r="CU332" s="49"/>
      <c r="CV332" s="49"/>
      <c r="CW332" s="49"/>
      <c r="CX332" s="49"/>
      <c r="CY332" s="49"/>
      <c r="CZ332" s="49"/>
      <c r="DA332" s="49"/>
      <c r="DB332" s="49"/>
      <c r="DC332" s="49"/>
      <c r="DD332" s="49"/>
      <c r="DE332" s="49"/>
      <c r="DF332" s="49"/>
      <c r="DG332" s="49"/>
      <c r="DH332" s="49"/>
      <c r="DI332" s="49"/>
      <c r="DJ332" s="49"/>
      <c r="DK332" s="49"/>
      <c r="DL332" s="49"/>
      <c r="DM332" s="49"/>
      <c r="DN332" s="49"/>
      <c r="DO332" s="49"/>
      <c r="DP332" s="49"/>
      <c r="DQ332" s="49"/>
      <c r="DR332" s="49"/>
      <c r="DS332" s="49"/>
      <c r="DT332" s="49"/>
      <c r="DU332" s="49"/>
      <c r="DV332" s="49"/>
      <c r="DW332" s="49"/>
      <c r="DX332" s="49"/>
      <c r="DY332" s="49"/>
      <c r="DZ332" s="49"/>
      <c r="EA332" s="49"/>
      <c r="EB332" s="49"/>
      <c r="EC332" s="49"/>
      <c r="ED332" s="49"/>
      <c r="EE332" s="49"/>
      <c r="EF332" s="49"/>
      <c r="EG332" s="49"/>
      <c r="EH332" s="49"/>
      <c r="EI332" s="49"/>
      <c r="EJ332" s="49"/>
      <c r="EK332" s="49"/>
      <c r="EL332" s="49"/>
      <c r="EM332" s="49"/>
      <c r="EN332" s="49"/>
      <c r="EO332" s="49"/>
      <c r="EP332" s="49"/>
      <c r="EQ332" s="49"/>
      <c r="ER332" s="49"/>
      <c r="ES332" s="49"/>
      <c r="ET332" s="49"/>
      <c r="EU332" s="49"/>
      <c r="EV332" s="49"/>
      <c r="EW332" s="49"/>
      <c r="EX332" s="49"/>
      <c r="EY332" s="49"/>
      <c r="EZ332" s="49"/>
      <c r="FA332" s="49"/>
    </row>
    <row r="333" spans="1:157" s="210" customFormat="1" ht="63.75" x14ac:dyDescent="0.25">
      <c r="A333" s="113">
        <f>IF(AND('[1]Cockpit Retorno'!$E$67=Sim,Mestre!M333=Mestre!$M$98),0,1)</f>
        <v>1</v>
      </c>
      <c r="B333" s="113">
        <f>IF(AND('[1]Cockpit Retorno'!$E$67=Sim,Mestre!L333=Mestre!$L$48),0,1)</f>
        <v>0</v>
      </c>
      <c r="C333" s="113">
        <f>IF(AND('[1]Cockpit Retorno'!$E$67=Sim,Mestre!M333=Mestre!$M$97),0,1)</f>
        <v>1</v>
      </c>
      <c r="D333" s="148" t="s">
        <v>7</v>
      </c>
      <c r="E333" s="115"/>
      <c r="F333" s="116" t="s">
        <v>107</v>
      </c>
      <c r="G333" s="149"/>
      <c r="H333" s="150" t="s">
        <v>7</v>
      </c>
      <c r="I333" s="151" t="str">
        <f>VLOOKUP(K333,$N$74:$O$95,2)</f>
        <v>Mercadorias</v>
      </c>
      <c r="J333" s="150" t="s">
        <v>15</v>
      </c>
      <c r="K333" s="151" t="s">
        <v>7</v>
      </c>
      <c r="L333" s="153" t="s">
        <v>15</v>
      </c>
      <c r="M333" s="154" t="s">
        <v>442</v>
      </c>
      <c r="N333" s="155" t="s">
        <v>472</v>
      </c>
      <c r="O333" s="155" t="s">
        <v>412</v>
      </c>
      <c r="P333" s="155"/>
      <c r="Q333" s="155"/>
      <c r="R333" s="155"/>
      <c r="S333" s="156"/>
      <c r="T333" s="156"/>
      <c r="U333" s="150"/>
      <c r="V333" s="150"/>
      <c r="W333" s="150"/>
      <c r="X333" s="157" t="s">
        <v>491</v>
      </c>
      <c r="Y333" s="150"/>
      <c r="Z333" s="150"/>
      <c r="AA333" s="150"/>
      <c r="AB333" s="155"/>
      <c r="AC333" s="150"/>
      <c r="AD333" s="155"/>
      <c r="AE333" s="155"/>
      <c r="AF333" s="150"/>
      <c r="AG333" s="159">
        <v>30</v>
      </c>
      <c r="AH333" s="211">
        <v>56.711399999999998</v>
      </c>
      <c r="AI333" s="202">
        <v>0</v>
      </c>
      <c r="AJ333" s="161">
        <v>0.12</v>
      </c>
      <c r="AK333" s="162"/>
      <c r="AL333" s="163"/>
      <c r="AM333" s="164">
        <f>(((IF(L333=$L$101,1,IF(L333=$L$47,1,0))*(AH333*(1-AK333)))*AG333)*(1-AL333))</f>
        <v>1701.3419999999999</v>
      </c>
      <c r="AN333" s="165">
        <f>IF(K333=$K$50,AM333,IF(K333=$K$53,AM333,IF(K333=$K$54,AM333,IF(K333=$K$55,AM333,IF(K333=$K$56,AM333,IF(K333=$K$57,AM333,IF(K333=$K$58,AM333,IF(K333=$K$65,AM333,IF(K333=$K$66,AM333,IF(K333=$K$67,AM333,IF(K333=$K$68,AM333,IF(K333=$K$69,AM333,IF(K333=$K$51,AM333,(AM333*(1+AI333)))))))))))))))</f>
        <v>1701.3419999999999</v>
      </c>
      <c r="AO333" s="166">
        <v>1.4</v>
      </c>
      <c r="AP333" s="160">
        <f>AM333*AO333</f>
        <v>2381.8787999999995</v>
      </c>
      <c r="AQ333" s="167">
        <f>AP333*Fator_Venda</f>
        <v>2063.8153654976836</v>
      </c>
      <c r="AR333" s="160">
        <f>AO333*AN333</f>
        <v>2381.8787999999995</v>
      </c>
      <c r="AS333" s="168">
        <f>IFERROR(IF($AX$94=0,(CQ333/AN333),CQ333/AM333),0)</f>
        <v>1.2612750638360883</v>
      </c>
      <c r="AT333" s="169" t="str">
        <f>K333</f>
        <v>MI</v>
      </c>
      <c r="AU333" s="169" t="str">
        <f>I333</f>
        <v>Mercadorias</v>
      </c>
      <c r="AV333" s="170"/>
      <c r="AW333" s="171">
        <f>IF(K333=$K$50,0,IF(K333=$K$53,0,IF(K333=$K$54,0,IF(K333=$K$55,0,IF(K333=$K$56,0,IF(K333=$K$57,0,IF(K333=$K$58,0,IF(K333=$K$65,0,IF(K333=$K$66,0,IF(K333=$K$67,0,IF(K333=$K$68,0,IF(K333=$K$69,0,IF(K333=$K$51,0,1))))))))))))*AM333*AI333)</f>
        <v>0</v>
      </c>
      <c r="AX333" s="172">
        <f>IF(K333=$K$50,0,IF(K333=$K$53,0,IF(K333=$K$54,0,IF(K333=$K$55,0,IF(K333=$K$56,0,IF(K333=$K$57,0,IF(K333=$K$58,0,IF(K333=$K$65,0,IF(K333=$K$66,0,IF(K333=$K$67,0,IF(K333=$K$68,0,IF(K333=$K$69,0,IF(K333=$K$51,0,1))))))))))))*AM333*AJ333*$AX$94)</f>
        <v>0</v>
      </c>
      <c r="AY333" s="172">
        <f>IF(K333=$K$53,0,IF(K333=$K$54,0,IF(K333=$K$55,0,IF(K333=$K$56,0,IF(K333=$K$58,0,IF(K333=$K$50,0,IF(K333=$K$65,0,IF(K333=$K$57,0,IF(K333=$K$51,0,AM333*$AY$102)))))))))</f>
        <v>28.072143000000001</v>
      </c>
      <c r="AZ333" s="172">
        <f>IF(K333=$K$53,0,IF(K333=$K$54,0,IF(K333=$K$55,0,IF(K333=$K$56,0,IF(K333=$K$58,0,IF(K333=$K$50,0,IF(K333=$K$65,0,IF(K333=$K$57,0,IF(K333=$K$51,0,AM333*$AZ$102)))))))))</f>
        <v>129.30199199999998</v>
      </c>
      <c r="BA333" s="172">
        <f>AZ333+AY333+AX333</f>
        <v>157.374135</v>
      </c>
      <c r="BB333" s="173">
        <f>IF($BA$97=1,AQ333*$BB$102,IF(K333=$K$50,0,IF(K333=$K$53,0,IF(K333=$K$54,0,IF(K333=$K$55,0,IF(K333=$K$56,0,IF(K333=$K$57,0,IF(K333=$K$58,0,IF(K333=$K$65,0,IF(K333=$K$66,0,IF(K333=$K$67,0,IF(K333=$K$68,0,IF(K333=$K$69,0,IF(K333=$K$51,0,1)))))))))))*AQ333*$BB$102)))</f>
        <v>0</v>
      </c>
      <c r="BC333" s="172">
        <f>AQ333*$BC$102</f>
        <v>13.414799875734944</v>
      </c>
      <c r="BD333" s="172">
        <f>$BD$102*AQ333</f>
        <v>61.914460964930505</v>
      </c>
      <c r="BE333" s="172">
        <f>IF($BE$95=I333,$BE$97,IF(I333=$BE$96,$BE$97,1))*($BE$102*AQ333)*$AZ$97</f>
        <v>0</v>
      </c>
      <c r="BF333" s="172">
        <f>IF('[1]Cockpit Retorno'!$C$65=Sim,Mestre!BA333,SUM(BB333:BE333)+(IF(K333=$K$56,AQ333*MOE_IRRF_LR,0)))</f>
        <v>75.329260840665455</v>
      </c>
      <c r="BG333" s="174">
        <f>IF(AA333&gt;0,0,IF(Z333=$Z$82,AG333*1,(IF(Z333=$Z$81,AG333*1,0))))</f>
        <v>0</v>
      </c>
      <c r="BH333" s="174">
        <f>IF(AA333&gt;0,0,IF(Z333=$Z$83,AG333*1,IF(Z333=$Z$81,AG333*1,0)))</f>
        <v>0</v>
      </c>
      <c r="BI333" s="174">
        <f>IF(AA333&gt;0,0,IF(Z333=$Z$84,AG333*1,IF(Z333=$Z$93,AG333*2,IF(Z333=$Z$100,AG333,IF(Z333=$Z$81,AG333*2,IF(Z333=$Z$80,AG333*1,IF(Z333=$Z$79,AG333*3,IF(Z333=$Z$78,AG333*2,0))))))))</f>
        <v>0</v>
      </c>
      <c r="BJ333" s="174">
        <f>IF(AA333&gt;0,0,IF(Z333=$Z$85,AG333,IF(Z333=$Z$93,AG333,IF(Z333=$Z$100,AG333,IF(Z333=$Z$81,AG333*1,IF(Z333=$Z$80,AG333*2,IF(Z333=$Z$79,AG333*2,IF(Z333=$Z$78,AG333*2,0))))))))</f>
        <v>0</v>
      </c>
      <c r="BK333" s="174">
        <f>IF(AA333&gt;0,0,IF(Z333=$Z$92,AG333,0))</f>
        <v>0</v>
      </c>
      <c r="BL333" s="174">
        <f>IF(AA333&gt;0,0,IF(Z333=$Z$91,AG333,0))</f>
        <v>0</v>
      </c>
      <c r="BM333" s="174">
        <f>IF(AA333&gt;0,0,IF(Z333=$Z$86,AG333,0))</f>
        <v>0</v>
      </c>
      <c r="BN333" s="174">
        <f>IF(AA333&gt;0,0,IF(Z333=$Z$87,AG333,0))</f>
        <v>0</v>
      </c>
      <c r="BO333" s="174">
        <f>IF(AA333&gt;0,0,IF(Z333=$Z$88,AG333,0))</f>
        <v>0</v>
      </c>
      <c r="BP333" s="174">
        <f>IF(AA333&gt;0,0,IF(Z333=$Z$89,AG333,0))</f>
        <v>0</v>
      </c>
      <c r="BQ333" s="174">
        <f>IF(AA333&gt;0,0,IF(Z333=$Z$90,AG333,0))</f>
        <v>0</v>
      </c>
      <c r="BR333" s="174">
        <f>IF(Z333=$Z$82,AA333*AG333,0)</f>
        <v>0</v>
      </c>
      <c r="BS333" s="174">
        <f>IF(Z333=$Z$83,AA333*AG333,0)</f>
        <v>0</v>
      </c>
      <c r="BT333" s="174">
        <f>IF(AA333&lt;1,0,IF(Z333=$Z$84,AA333*AG333,IF(Z333=$Z$93,"ERRO",IF(Z333=$Z$100,"ERRO",0))))</f>
        <v>0</v>
      </c>
      <c r="BU333" s="174">
        <f>IF(AA333&lt;1,0,IF(Z333=$Z$85,AA333*AG333,IF(Z333=$Z$93,"ERRO",IF(Z333=$Z$100,"ERRO",0))))</f>
        <v>0</v>
      </c>
      <c r="BV333" s="174">
        <f>IF(Z333=$Z$92,AA333*AG333,0)</f>
        <v>0</v>
      </c>
      <c r="BW333" s="174">
        <f>IF(Z333=$Z$91,AA333*AG333,0)</f>
        <v>0</v>
      </c>
      <c r="BX333" s="174">
        <f>IF(Z333=$Z$86,AA333*AG333,0)</f>
        <v>0</v>
      </c>
      <c r="BY333" s="174">
        <f>IF(Z333=$Z$87,AA333*AG333,0)</f>
        <v>0</v>
      </c>
      <c r="BZ333" s="174">
        <f>IF(Z333=$Z$88,AA333*AG333,0)</f>
        <v>0</v>
      </c>
      <c r="CA333" s="174">
        <f>IF(Z333=$Z$89,AA333*AG333,0)</f>
        <v>0</v>
      </c>
      <c r="CB333" s="174">
        <f>IF(Z333=$Z$90,AA333*AG333,0)</f>
        <v>0</v>
      </c>
      <c r="CC333" s="175">
        <f>IFERROR(IF(L333=$L$49,AG333*AH333*(1+AI333)*(1-AK333)*(1-AL333),0),0)</f>
        <v>0</v>
      </c>
      <c r="CD333" s="212">
        <f>IF(I333=$CD$97,1,IF(I333=$CD$100,2,IF(K333=$K$66,1,IF(K333=$K$69,1,3))))</f>
        <v>1</v>
      </c>
      <c r="CE333" s="212">
        <f t="shared" si="14"/>
        <v>1.07</v>
      </c>
      <c r="CF333" s="213">
        <f>CG333*0.87</f>
        <v>1.2353999999999998</v>
      </c>
      <c r="CG333" s="212">
        <f t="shared" si="15"/>
        <v>1.42</v>
      </c>
      <c r="CH333" s="213">
        <f>CG333*1.09</f>
        <v>1.5478000000000001</v>
      </c>
      <c r="CI333" s="212">
        <f t="shared" si="16"/>
        <v>1.7</v>
      </c>
      <c r="CJ333" s="214">
        <f>CE333*$CJ$102</f>
        <v>1.0486</v>
      </c>
      <c r="CK333" s="214">
        <f>CF333*$CK$102</f>
        <v>1.148922</v>
      </c>
      <c r="CL333" s="214">
        <f>CG333*$CL$102</f>
        <v>1.3915999999999999</v>
      </c>
      <c r="CM333" s="214">
        <f>CH333*$CM$102</f>
        <v>1.501366</v>
      </c>
      <c r="CN333" s="215">
        <f>CI333*$CN$102</f>
        <v>1.6319999999999999</v>
      </c>
      <c r="CO333" s="213">
        <f>CJ333*$CO$102</f>
        <v>1.006656</v>
      </c>
      <c r="CP333" s="216">
        <f>BF333-BA333</f>
        <v>-82.04487415933454</v>
      </c>
      <c r="CQ333" s="217">
        <f>AQ333-CP333</f>
        <v>2145.8602396570182</v>
      </c>
      <c r="CR333" s="218">
        <f t="shared" si="72"/>
        <v>75.329260840665455</v>
      </c>
      <c r="CS333" s="49"/>
      <c r="CT333" s="49"/>
      <c r="CU333" s="49"/>
      <c r="CV333" s="49"/>
      <c r="CW333" s="49"/>
      <c r="CX333" s="49"/>
      <c r="CY333" s="49"/>
      <c r="CZ333" s="49"/>
      <c r="DA333" s="49"/>
      <c r="DB333" s="49"/>
      <c r="DC333" s="49"/>
      <c r="DD333" s="49"/>
      <c r="DE333" s="49"/>
      <c r="DF333" s="49"/>
      <c r="DG333" s="49"/>
      <c r="DH333" s="49"/>
      <c r="DI333" s="49"/>
      <c r="DJ333" s="49"/>
      <c r="DK333" s="49"/>
      <c r="DL333" s="49"/>
      <c r="DM333" s="49"/>
      <c r="DN333" s="49"/>
      <c r="DO333" s="49"/>
      <c r="DP333" s="49"/>
      <c r="DQ333" s="49"/>
      <c r="DR333" s="49"/>
      <c r="DS333" s="49"/>
      <c r="DT333" s="49"/>
      <c r="DU333" s="49"/>
      <c r="DV333" s="49"/>
      <c r="DW333" s="49"/>
      <c r="DX333" s="49"/>
      <c r="DY333" s="49"/>
      <c r="DZ333" s="49"/>
      <c r="EA333" s="49"/>
      <c r="EB333" s="49"/>
      <c r="EC333" s="49"/>
      <c r="ED333" s="49"/>
      <c r="EE333" s="49"/>
      <c r="EF333" s="49"/>
      <c r="EG333" s="49"/>
      <c r="EH333" s="49"/>
      <c r="EI333" s="49"/>
      <c r="EJ333" s="49"/>
      <c r="EK333" s="49"/>
      <c r="EL333" s="49"/>
      <c r="EM333" s="49"/>
      <c r="EN333" s="49"/>
      <c r="EO333" s="49"/>
      <c r="EP333" s="49"/>
      <c r="EQ333" s="49"/>
      <c r="ER333" s="49"/>
      <c r="ES333" s="49"/>
      <c r="ET333" s="49"/>
      <c r="EU333" s="49"/>
      <c r="EV333" s="49"/>
      <c r="EW333" s="49"/>
      <c r="EX333" s="49"/>
      <c r="EY333" s="49"/>
      <c r="EZ333" s="49"/>
      <c r="FA333" s="49"/>
    </row>
    <row r="334" spans="1:157" s="210" customFormat="1" ht="63.75" x14ac:dyDescent="0.25">
      <c r="A334" s="113">
        <f>IF(AND('[1]Cockpit Retorno'!$E$67=Sim,Mestre!M334=Mestre!$M$98),0,1)</f>
        <v>1</v>
      </c>
      <c r="B334" s="113">
        <f>IF(AND('[1]Cockpit Retorno'!$E$67=Sim,Mestre!L334=Mestre!$L$48),0,1)</f>
        <v>0</v>
      </c>
      <c r="C334" s="113">
        <f>IF(AND('[1]Cockpit Retorno'!$E$67=Sim,Mestre!M334=Mestre!$M$97),0,1)</f>
        <v>1</v>
      </c>
      <c r="D334" s="148" t="s">
        <v>7</v>
      </c>
      <c r="E334" s="115"/>
      <c r="F334" s="116" t="s">
        <v>107</v>
      </c>
      <c r="G334" s="149"/>
      <c r="H334" s="150" t="s">
        <v>7</v>
      </c>
      <c r="I334" s="151" t="str">
        <f>VLOOKUP(K334,$N$74:$O$95,2)</f>
        <v>Mercadorias</v>
      </c>
      <c r="J334" s="150" t="s">
        <v>15</v>
      </c>
      <c r="K334" s="151" t="s">
        <v>7</v>
      </c>
      <c r="L334" s="153" t="s">
        <v>15</v>
      </c>
      <c r="M334" s="154" t="s">
        <v>442</v>
      </c>
      <c r="N334" s="155" t="s">
        <v>472</v>
      </c>
      <c r="O334" s="155" t="s">
        <v>412</v>
      </c>
      <c r="P334" s="155"/>
      <c r="Q334" s="155"/>
      <c r="R334" s="155"/>
      <c r="S334" s="156"/>
      <c r="T334" s="156"/>
      <c r="U334" s="150"/>
      <c r="V334" s="150"/>
      <c r="W334" s="150"/>
      <c r="X334" s="157" t="s">
        <v>492</v>
      </c>
      <c r="Y334" s="150"/>
      <c r="Z334" s="150"/>
      <c r="AA334" s="150"/>
      <c r="AB334" s="155"/>
      <c r="AC334" s="150"/>
      <c r="AD334" s="155"/>
      <c r="AE334" s="155"/>
      <c r="AF334" s="150"/>
      <c r="AG334" s="159">
        <v>30</v>
      </c>
      <c r="AH334" s="211">
        <v>33.015000000000001</v>
      </c>
      <c r="AI334" s="202">
        <v>0</v>
      </c>
      <c r="AJ334" s="161">
        <v>0.12</v>
      </c>
      <c r="AK334" s="162"/>
      <c r="AL334" s="163"/>
      <c r="AM334" s="164">
        <f>(((IF(L334=$L$101,1,IF(L334=$L$47,1,0))*(AH334*(1-AK334)))*AG334)*(1-AL334))</f>
        <v>990.45</v>
      </c>
      <c r="AN334" s="165">
        <f>IF(K334=$K$50,AM334,IF(K334=$K$53,AM334,IF(K334=$K$54,AM334,IF(K334=$K$55,AM334,IF(K334=$K$56,AM334,IF(K334=$K$57,AM334,IF(K334=$K$58,AM334,IF(K334=$K$65,AM334,IF(K334=$K$66,AM334,IF(K334=$K$67,AM334,IF(K334=$K$68,AM334,IF(K334=$K$69,AM334,IF(K334=$K$51,AM334,(AM334*(1+AI334)))))))))))))))</f>
        <v>990.45</v>
      </c>
      <c r="AO334" s="166">
        <v>1.4</v>
      </c>
      <c r="AP334" s="160">
        <f>AM334*AO334</f>
        <v>1386.6299999999999</v>
      </c>
      <c r="AQ334" s="167">
        <f>AP334*Fator_Venda</f>
        <v>1201.4668001831385</v>
      </c>
      <c r="AR334" s="160">
        <f>AO334*AN334</f>
        <v>1386.6299999999999</v>
      </c>
      <c r="AS334" s="168">
        <f>IFERROR(IF($AX$94=0,(CQ334/AN334),CQ334/AM334),0)</f>
        <v>1.2612750638360886</v>
      </c>
      <c r="AT334" s="169" t="str">
        <f>K334</f>
        <v>MI</v>
      </c>
      <c r="AU334" s="169" t="str">
        <f>I334</f>
        <v>Mercadorias</v>
      </c>
      <c r="AV334" s="170"/>
      <c r="AW334" s="171">
        <f>IF(K334=$K$50,0,IF(K334=$K$53,0,IF(K334=$K$54,0,IF(K334=$K$55,0,IF(K334=$K$56,0,IF(K334=$K$57,0,IF(K334=$K$58,0,IF(K334=$K$65,0,IF(K334=$K$66,0,IF(K334=$K$67,0,IF(K334=$K$68,0,IF(K334=$K$69,0,IF(K334=$K$51,0,1))))))))))))*AM334*AI334)</f>
        <v>0</v>
      </c>
      <c r="AX334" s="172">
        <f>IF(K334=$K$50,0,IF(K334=$K$53,0,IF(K334=$K$54,0,IF(K334=$K$55,0,IF(K334=$K$56,0,IF(K334=$K$57,0,IF(K334=$K$58,0,IF(K334=$K$65,0,IF(K334=$K$66,0,IF(K334=$K$67,0,IF(K334=$K$68,0,IF(K334=$K$69,0,IF(K334=$K$51,0,1))))))))))))*AM334*AJ334*$AX$94)</f>
        <v>0</v>
      </c>
      <c r="AY334" s="172">
        <f>IF(K334=$K$53,0,IF(K334=$K$54,0,IF(K334=$K$55,0,IF(K334=$K$56,0,IF(K334=$K$58,0,IF(K334=$K$50,0,IF(K334=$K$65,0,IF(K334=$K$57,0,IF(K334=$K$51,0,AM334*$AY$102)))))))))</f>
        <v>16.342425000000002</v>
      </c>
      <c r="AZ334" s="172">
        <f>IF(K334=$K$53,0,IF(K334=$K$54,0,IF(K334=$K$55,0,IF(K334=$K$56,0,IF(K334=$K$58,0,IF(K334=$K$50,0,IF(K334=$K$65,0,IF(K334=$K$57,0,IF(K334=$K$51,0,AM334*$AZ$102)))))))))</f>
        <v>75.274200000000008</v>
      </c>
      <c r="BA334" s="172">
        <f>AZ334+AY334+AX334</f>
        <v>91.616625000000013</v>
      </c>
      <c r="BB334" s="173">
        <f>IF($BA$97=1,AQ334*$BB$102,IF(K334=$K$50,0,IF(K334=$K$53,0,IF(K334=$K$54,0,IF(K334=$K$55,0,IF(K334=$K$56,0,IF(K334=$K$57,0,IF(K334=$K$58,0,IF(K334=$K$65,0,IF(K334=$K$66,0,IF(K334=$K$67,0,IF(K334=$K$68,0,IF(K334=$K$69,0,IF(K334=$K$51,0,1)))))))))))*AQ334*$BB$102)))</f>
        <v>0</v>
      </c>
      <c r="BC334" s="172">
        <f>AQ334*$BC$102</f>
        <v>7.8095342011904005</v>
      </c>
      <c r="BD334" s="172">
        <f>$BD$102*AQ334</f>
        <v>36.044004005494152</v>
      </c>
      <c r="BE334" s="172">
        <f>IF($BE$95=I334,$BE$97,IF(I334=$BE$96,$BE$97,1))*($BE$102*AQ334)*$AZ$97</f>
        <v>0</v>
      </c>
      <c r="BF334" s="172">
        <f>IF('[1]Cockpit Retorno'!$C$65=Sim,Mestre!BA334,SUM(BB334:BE334)+(IF(K334=$K$56,AQ334*MOE_IRRF_LR,0)))</f>
        <v>43.853538206684554</v>
      </c>
      <c r="BG334" s="174">
        <f>IF(AA334&gt;0,0,IF(Z334=$Z$82,AG334*1,(IF(Z334=$Z$81,AG334*1,0))))</f>
        <v>0</v>
      </c>
      <c r="BH334" s="174">
        <f>IF(AA334&gt;0,0,IF(Z334=$Z$83,AG334*1,IF(Z334=$Z$81,AG334*1,0)))</f>
        <v>0</v>
      </c>
      <c r="BI334" s="174">
        <f>IF(AA334&gt;0,0,IF(Z334=$Z$84,AG334*1,IF(Z334=$Z$93,AG334*2,IF(Z334=$Z$100,AG334,IF(Z334=$Z$81,AG334*2,IF(Z334=$Z$80,AG334*1,IF(Z334=$Z$79,AG334*3,IF(Z334=$Z$78,AG334*2,0))))))))</f>
        <v>0</v>
      </c>
      <c r="BJ334" s="174">
        <f>IF(AA334&gt;0,0,IF(Z334=$Z$85,AG334,IF(Z334=$Z$93,AG334,IF(Z334=$Z$100,AG334,IF(Z334=$Z$81,AG334*1,IF(Z334=$Z$80,AG334*2,IF(Z334=$Z$79,AG334*2,IF(Z334=$Z$78,AG334*2,0))))))))</f>
        <v>0</v>
      </c>
      <c r="BK334" s="174">
        <f>IF(AA334&gt;0,0,IF(Z334=$Z$92,AG334,0))</f>
        <v>0</v>
      </c>
      <c r="BL334" s="174">
        <f>IF(AA334&gt;0,0,IF(Z334=$Z$91,AG334,0))</f>
        <v>0</v>
      </c>
      <c r="BM334" s="174">
        <f>IF(AA334&gt;0,0,IF(Z334=$Z$86,AG334,0))</f>
        <v>0</v>
      </c>
      <c r="BN334" s="174">
        <f>IF(AA334&gt;0,0,IF(Z334=$Z$87,AG334,0))</f>
        <v>0</v>
      </c>
      <c r="BO334" s="174">
        <f>IF(AA334&gt;0,0,IF(Z334=$Z$88,AG334,0))</f>
        <v>0</v>
      </c>
      <c r="BP334" s="174">
        <f>IF(AA334&gt;0,0,IF(Z334=$Z$89,AG334,0))</f>
        <v>0</v>
      </c>
      <c r="BQ334" s="174">
        <f>IF(AA334&gt;0,0,IF(Z334=$Z$90,AG334,0))</f>
        <v>0</v>
      </c>
      <c r="BR334" s="174">
        <f>IF(Z334=$Z$82,AA334*AG334,0)</f>
        <v>0</v>
      </c>
      <c r="BS334" s="174">
        <f>IF(Z334=$Z$83,AA334*AG334,0)</f>
        <v>0</v>
      </c>
      <c r="BT334" s="174">
        <f>IF(AA334&lt;1,0,IF(Z334=$Z$84,AA334*AG334,IF(Z334=$Z$93,"ERRO",IF(Z334=$Z$100,"ERRO",0))))</f>
        <v>0</v>
      </c>
      <c r="BU334" s="174">
        <f>IF(AA334&lt;1,0,IF(Z334=$Z$85,AA334*AG334,IF(Z334=$Z$93,"ERRO",IF(Z334=$Z$100,"ERRO",0))))</f>
        <v>0</v>
      </c>
      <c r="BV334" s="174">
        <f>IF(Z334=$Z$92,AA334*AG334,0)</f>
        <v>0</v>
      </c>
      <c r="BW334" s="174">
        <f>IF(Z334=$Z$91,AA334*AG334,0)</f>
        <v>0</v>
      </c>
      <c r="BX334" s="174">
        <f>IF(Z334=$Z$86,AA334*AG334,0)</f>
        <v>0</v>
      </c>
      <c r="BY334" s="174">
        <f>IF(Z334=$Z$87,AA334*AG334,0)</f>
        <v>0</v>
      </c>
      <c r="BZ334" s="174">
        <f>IF(Z334=$Z$88,AA334*AG334,0)</f>
        <v>0</v>
      </c>
      <c r="CA334" s="174">
        <f>IF(Z334=$Z$89,AA334*AG334,0)</f>
        <v>0</v>
      </c>
      <c r="CB334" s="174">
        <f>IF(Z334=$Z$90,AA334*AG334,0)</f>
        <v>0</v>
      </c>
      <c r="CC334" s="175">
        <f>IFERROR(IF(L334=$L$49,AG334*AH334*(1+AI334)*(1-AK334)*(1-AL334),0),0)</f>
        <v>0</v>
      </c>
      <c r="CD334" s="212">
        <f>IF(I334=$CD$97,1,IF(I334=$CD$100,2,IF(K334=$K$66,1,IF(K334=$K$69,1,3))))</f>
        <v>1</v>
      </c>
      <c r="CE334" s="212">
        <f t="shared" si="14"/>
        <v>1.07</v>
      </c>
      <c r="CF334" s="213">
        <f>CG334*0.87</f>
        <v>1.2353999999999998</v>
      </c>
      <c r="CG334" s="212">
        <f t="shared" si="15"/>
        <v>1.42</v>
      </c>
      <c r="CH334" s="213">
        <f>CG334*1.09</f>
        <v>1.5478000000000001</v>
      </c>
      <c r="CI334" s="212">
        <f t="shared" si="16"/>
        <v>1.7</v>
      </c>
      <c r="CJ334" s="214">
        <f>CE334*$CJ$102</f>
        <v>1.0486</v>
      </c>
      <c r="CK334" s="214">
        <f>CF334*$CK$102</f>
        <v>1.148922</v>
      </c>
      <c r="CL334" s="214">
        <f>CG334*$CL$102</f>
        <v>1.3915999999999999</v>
      </c>
      <c r="CM334" s="214">
        <f>CH334*$CM$102</f>
        <v>1.501366</v>
      </c>
      <c r="CN334" s="215">
        <f>CI334*$CN$102</f>
        <v>1.6319999999999999</v>
      </c>
      <c r="CO334" s="213">
        <f>CJ334*$CO$102</f>
        <v>1.006656</v>
      </c>
      <c r="CP334" s="216">
        <f>BF334-BA334</f>
        <v>-47.763086793315459</v>
      </c>
      <c r="CQ334" s="217">
        <f>AQ334-CP334</f>
        <v>1249.2298869764541</v>
      </c>
      <c r="CR334" s="218">
        <f t="shared" si="72"/>
        <v>43.853538206684554</v>
      </c>
      <c r="CS334" s="49"/>
      <c r="CT334" s="49"/>
      <c r="CU334" s="49"/>
      <c r="CV334" s="49"/>
      <c r="CW334" s="49"/>
      <c r="CX334" s="49"/>
      <c r="CY334" s="49"/>
      <c r="CZ334" s="49"/>
      <c r="DA334" s="49"/>
      <c r="DB334" s="49"/>
      <c r="DC334" s="49"/>
      <c r="DD334" s="49"/>
      <c r="DE334" s="49"/>
      <c r="DF334" s="49"/>
      <c r="DG334" s="49"/>
      <c r="DH334" s="49"/>
      <c r="DI334" s="49"/>
      <c r="DJ334" s="49"/>
      <c r="DK334" s="49"/>
      <c r="DL334" s="49"/>
      <c r="DM334" s="49"/>
      <c r="DN334" s="49"/>
      <c r="DO334" s="49"/>
      <c r="DP334" s="49"/>
      <c r="DQ334" s="49"/>
      <c r="DR334" s="49"/>
      <c r="DS334" s="49"/>
      <c r="DT334" s="49"/>
      <c r="DU334" s="49"/>
      <c r="DV334" s="49"/>
      <c r="DW334" s="49"/>
      <c r="DX334" s="49"/>
      <c r="DY334" s="49"/>
      <c r="DZ334" s="49"/>
      <c r="EA334" s="49"/>
      <c r="EB334" s="49"/>
      <c r="EC334" s="49"/>
      <c r="ED334" s="49"/>
      <c r="EE334" s="49"/>
      <c r="EF334" s="49"/>
      <c r="EG334" s="49"/>
      <c r="EH334" s="49"/>
      <c r="EI334" s="49"/>
      <c r="EJ334" s="49"/>
      <c r="EK334" s="49"/>
      <c r="EL334" s="49"/>
      <c r="EM334" s="49"/>
      <c r="EN334" s="49"/>
      <c r="EO334" s="49"/>
      <c r="EP334" s="49"/>
      <c r="EQ334" s="49"/>
      <c r="ER334" s="49"/>
      <c r="ES334" s="49"/>
      <c r="ET334" s="49"/>
      <c r="EU334" s="49"/>
      <c r="EV334" s="49"/>
      <c r="EW334" s="49"/>
      <c r="EX334" s="49"/>
      <c r="EY334" s="49"/>
      <c r="EZ334" s="49"/>
      <c r="FA334" s="49"/>
    </row>
    <row r="335" spans="1:157" s="210" customFormat="1" x14ac:dyDescent="0.25">
      <c r="A335" s="113">
        <f>IF(AND('[1]Cockpit Retorno'!$E$67=Sim,Mestre!M335=Mestre!$M$98),0,1)</f>
        <v>1</v>
      </c>
      <c r="B335" s="113">
        <f>IF(AND('[1]Cockpit Retorno'!$E$67=Sim,Mestre!L335=Mestre!$L$48),0,1)</f>
        <v>0</v>
      </c>
      <c r="C335" s="113">
        <f>IF(AND('[1]Cockpit Retorno'!$E$67=Sim,Mestre!M335=Mestre!$M$97),0,1)</f>
        <v>1</v>
      </c>
      <c r="D335" s="148" t="s">
        <v>7</v>
      </c>
      <c r="E335" s="115"/>
      <c r="F335" s="116" t="s">
        <v>107</v>
      </c>
      <c r="G335" s="149"/>
      <c r="H335" s="150" t="s">
        <v>7</v>
      </c>
      <c r="I335" s="151" t="str">
        <f t="shared" si="65"/>
        <v>Mercadorias</v>
      </c>
      <c r="J335" s="150" t="s">
        <v>15</v>
      </c>
      <c r="K335" s="152" t="s">
        <v>7</v>
      </c>
      <c r="L335" s="153" t="s">
        <v>15</v>
      </c>
      <c r="M335" s="154" t="s">
        <v>493</v>
      </c>
      <c r="N335" s="155" t="s">
        <v>494</v>
      </c>
      <c r="O335" s="155" t="s">
        <v>473</v>
      </c>
      <c r="P335" s="155" t="s">
        <v>43</v>
      </c>
      <c r="Q335" s="155" t="s">
        <v>43</v>
      </c>
      <c r="R335" s="155" t="s">
        <v>43</v>
      </c>
      <c r="S335" s="156" t="s">
        <v>43</v>
      </c>
      <c r="T335" s="156" t="s">
        <v>43</v>
      </c>
      <c r="U335" s="150" t="s">
        <v>43</v>
      </c>
      <c r="V335" s="150" t="s">
        <v>43</v>
      </c>
      <c r="W335" s="150" t="s">
        <v>43</v>
      </c>
      <c r="X335" s="157" t="s">
        <v>495</v>
      </c>
      <c r="Y335" s="150" t="s">
        <v>496</v>
      </c>
      <c r="Z335" s="150" t="s">
        <v>43</v>
      </c>
      <c r="AA335" s="158">
        <v>0</v>
      </c>
      <c r="AB335" s="155" t="s">
        <v>43</v>
      </c>
      <c r="AC335" s="150" t="s">
        <v>43</v>
      </c>
      <c r="AD335" s="155" t="s">
        <v>43</v>
      </c>
      <c r="AE335" s="155"/>
      <c r="AF335" s="150" t="s">
        <v>43</v>
      </c>
      <c r="AG335" s="159">
        <v>304</v>
      </c>
      <c r="AH335" s="159">
        <v>0.77190000000000003</v>
      </c>
      <c r="AI335" s="202">
        <v>0</v>
      </c>
      <c r="AJ335" s="161">
        <v>0.18</v>
      </c>
      <c r="AK335" s="162"/>
      <c r="AL335" s="163"/>
      <c r="AM335" s="164">
        <f>(((IF(L335=$L$101,1,IF(L335=$L$47,1,0))*(AH335*(1-AK335)))*AG335)*(1-AL335))</f>
        <v>234.6576</v>
      </c>
      <c r="AN335" s="165">
        <f>IF(K335=$K$50,AM335,IF(K335=$K$53,AM335,IF(K335=$K$54,AM335,IF(K335=$K$55,AM335,IF(K335=$K$56,AM335,IF(K335=$K$57,AM335,IF(K335=$K$58,AM335,IF(K335=$K$65,AM335,IF(K335=$K$66,AM335,IF(K335=$K$67,AM335,IF(K335=$K$68,AM335,IF(K335=$K$69,AM335,IF(K335=$K$51,AM335,(AM335*(1+AI335)))))))))))))))</f>
        <v>234.6576</v>
      </c>
      <c r="AO335" s="166">
        <v>1.4</v>
      </c>
      <c r="AP335" s="160">
        <f t="shared" si="66"/>
        <v>328.52063999999996</v>
      </c>
      <c r="AQ335" s="167">
        <f t="shared" si="74"/>
        <v>284.65173992695725</v>
      </c>
      <c r="AR335" s="160">
        <f t="shared" si="67"/>
        <v>328.52063999999996</v>
      </c>
      <c r="AS335" s="168">
        <f t="shared" si="68"/>
        <v>1.2612750638360883</v>
      </c>
      <c r="AT335" s="169" t="str">
        <f>K335</f>
        <v>MI</v>
      </c>
      <c r="AU335" s="169" t="str">
        <f>I335</f>
        <v>Mercadorias</v>
      </c>
      <c r="AV335" s="170"/>
      <c r="AW335" s="171">
        <f>IF(K335=$K$50,0,IF(K335=$K$53,0,IF(K335=$K$54,0,IF(K335=$K$55,0,IF(K335=$K$56,0,IF(K335=$K$57,0,IF(K335=$K$58,0,IF(K335=$K$65,0,IF(K335=$K$66,0,IF(K335=$K$67,0,IF(K335=$K$68,0,IF(K335=$K$69,0,IF(K335=$K$51,0,1))))))))))))*AM335*AI335)</f>
        <v>0</v>
      </c>
      <c r="AX335" s="172">
        <f>IF(K335=$K$50,0,IF(K335=$K$53,0,IF(K335=$K$54,0,IF(K335=$K$55,0,IF(K335=$K$56,0,IF(K335=$K$57,0,IF(K335=$K$58,0,IF(K335=$K$65,0,IF(K335=$K$66,0,IF(K335=$K$67,0,IF(K335=$K$68,0,IF(K335=$K$69,0,IF(K335=$K$51,0,1))))))))))))*AM335*AJ335*$AX$94)</f>
        <v>0</v>
      </c>
      <c r="AY335" s="172">
        <f>IF(K335=$K$53,0,IF(K335=$K$54,0,IF(K335=$K$55,0,IF(K335=$K$56,0,IF(K335=$K$58,0,IF(K335=$K$50,0,IF(K335=$K$65,0,IF(K335=$K$57,0,IF(K335=$K$51,0,AM335*$AY$102)))))))))</f>
        <v>3.8718504</v>
      </c>
      <c r="AZ335" s="172">
        <f>IF(K335=$K$53,0,IF(K335=$K$54,0,IF(K335=$K$55,0,IF(K335=$K$56,0,IF(K335=$K$58,0,IF(K335=$K$50,0,IF(K335=$K$65,0,IF(K335=$K$57,0,IF(K335=$K$51,0,AM335*$AZ$102)))))))))</f>
        <v>17.833977600000001</v>
      </c>
      <c r="BA335" s="172">
        <f t="shared" si="69"/>
        <v>21.705828</v>
      </c>
      <c r="BB335" s="173">
        <f>IF($BA$97=1,AQ335*$BB$102,IF(K335=$K$50,0,IF(K335=$K$53,0,IF(K335=$K$54,0,IF(K335=$K$55,0,IF(K335=$K$56,0,IF(K335=$K$57,0,IF(K335=$K$58,0,IF(K335=$K$65,0,IF(K335=$K$66,0,IF(K335=$K$67,0,IF(K335=$K$68,0,IF(K335=$K$69,0,IF(K335=$K$51,0,1)))))))))))*AQ335*$BB$102)))</f>
        <v>0</v>
      </c>
      <c r="BC335" s="172">
        <f t="shared" si="70"/>
        <v>1.8502363095252223</v>
      </c>
      <c r="BD335" s="172">
        <f t="shared" si="71"/>
        <v>8.5395521978087174</v>
      </c>
      <c r="BE335" s="172">
        <f>IF($BE$95=I335,$BE$97,IF(I335=$BE$96,$BE$97,1))*($BE$102*AQ335)*$AZ$97</f>
        <v>0</v>
      </c>
      <c r="BF335" s="172">
        <f>IF('[1]Cockpit Retorno'!$C$65=Sim,Mestre!BA335,SUM(BB335:BE335)+(IF(K335=$K$56,AQ335*MOE_IRRF_LR,0)))</f>
        <v>10.38978850733394</v>
      </c>
      <c r="BG335" s="174">
        <f>IF(AA335&gt;0,0,IF(Z335=$Z$82,AG335*1,(IF(Z335=$Z$81,AG335*1,0))))</f>
        <v>0</v>
      </c>
      <c r="BH335" s="174">
        <f>IF(AA335&gt;0,0,IF(Z335=$Z$83,AG335*1,IF(Z335=$Z$81,AG335*1,0)))</f>
        <v>0</v>
      </c>
      <c r="BI335" s="174">
        <f>IF(AA335&gt;0,0,IF(Z335=$Z$84,AG335*1,IF(Z335=$Z$93,AG335*2,IF(Z335=$Z$100,AG335,IF(Z335=$Z$81,AG335*2,IF(Z335=$Z$80,AG335*1,IF(Z335=$Z$79,AG335*3,IF(Z335=$Z$78,AG335*2,0))))))))</f>
        <v>0</v>
      </c>
      <c r="BJ335" s="174">
        <f>IF(AA335&gt;0,0,IF(Z335=$Z$85,AG335,IF(Z335=$Z$93,AG335,IF(Z335=$Z$100,AG335,IF(Z335=$Z$81,AG335*1,IF(Z335=$Z$80,AG335*2,IF(Z335=$Z$79,AG335*2,IF(Z335=$Z$78,AG335*2,0))))))))</f>
        <v>0</v>
      </c>
      <c r="BK335" s="174">
        <f>IF(AA335&gt;0,0,IF(Z335=$Z$92,AG335,0))</f>
        <v>0</v>
      </c>
      <c r="BL335" s="174">
        <f>IF(AA335&gt;0,0,IF(Z335=$Z$91,AG335,0))</f>
        <v>0</v>
      </c>
      <c r="BM335" s="174">
        <f>IF(AA335&gt;0,0,IF(Z335=$Z$86,AG335,0))</f>
        <v>0</v>
      </c>
      <c r="BN335" s="174">
        <f>IF(AA335&gt;0,0,IF(Z335=$Z$87,AG335,0))</f>
        <v>0</v>
      </c>
      <c r="BO335" s="174">
        <f>IF(AA335&gt;0,0,IF(Z335=$Z$88,AG335,0))</f>
        <v>0</v>
      </c>
      <c r="BP335" s="174">
        <f>IF(AA335&gt;0,0,IF(Z335=$Z$89,AG335,0))</f>
        <v>0</v>
      </c>
      <c r="BQ335" s="174">
        <f>IF(AA335&gt;0,0,IF(Z335=$Z$90,AG335,0))</f>
        <v>0</v>
      </c>
      <c r="BR335" s="174">
        <f>IF(Z335=$Z$82,AA335*AG335,0)</f>
        <v>0</v>
      </c>
      <c r="BS335" s="174">
        <f>IF(Z335=$Z$83,AA335*AG335,0)</f>
        <v>0</v>
      </c>
      <c r="BT335" s="174">
        <f>IF(AA335&lt;1,0,IF(Z335=$Z$84,AA335*AG335,IF(Z335=$Z$93,"ERRO",IF(Z335=$Z$100,"ERRO",0))))</f>
        <v>0</v>
      </c>
      <c r="BU335" s="174">
        <f>IF(AA335&lt;1,0,IF(Z335=$Z$85,AA335*AG335,IF(Z335=$Z$93,"ERRO",IF(Z335=$Z$100,"ERRO",0))))</f>
        <v>0</v>
      </c>
      <c r="BV335" s="174">
        <f>IF(Z335=$Z$92,AA335*AG335,0)</f>
        <v>0</v>
      </c>
      <c r="BW335" s="174">
        <f>IF(Z335=$Z$91,AA335*AG335,0)</f>
        <v>0</v>
      </c>
      <c r="BX335" s="174">
        <f>IF(Z335=$Z$86,AA335*AG335,0)</f>
        <v>0</v>
      </c>
      <c r="BY335" s="174">
        <f>IF(Z335=$Z$87,AA335*AG335,0)</f>
        <v>0</v>
      </c>
      <c r="BZ335" s="174">
        <f>IF(Z335=$Z$88,AA335*AG335,0)</f>
        <v>0</v>
      </c>
      <c r="CA335" s="174">
        <f>IF(Z335=$Z$89,AA335*AG335,0)</f>
        <v>0</v>
      </c>
      <c r="CB335" s="174">
        <f>IF(Z335=$Z$90,AA335*AG335,0)</f>
        <v>0</v>
      </c>
      <c r="CC335" s="175">
        <f>IFERROR(IF(L335=$L$49,AG335*AH335*(1+AI335)*(1-AK335)*(1-AL335),0),0)</f>
        <v>0</v>
      </c>
      <c r="CD335" s="203">
        <f>IF(I335=$CD$97,1,IF(I335=$CD$100,2,IF(K335=$K$66,1,IF(K335=$K$69,1,3))))</f>
        <v>1</v>
      </c>
      <c r="CE335" s="203">
        <f t="shared" si="14"/>
        <v>1.07</v>
      </c>
      <c r="CF335" s="204">
        <f t="shared" si="54"/>
        <v>1.2353999999999998</v>
      </c>
      <c r="CG335" s="203">
        <f t="shared" si="15"/>
        <v>1.42</v>
      </c>
      <c r="CH335" s="204">
        <f t="shared" si="55"/>
        <v>1.5478000000000001</v>
      </c>
      <c r="CI335" s="203">
        <f t="shared" si="16"/>
        <v>1.7</v>
      </c>
      <c r="CJ335" s="205">
        <f t="shared" si="56"/>
        <v>1.0486</v>
      </c>
      <c r="CK335" s="205">
        <f t="shared" si="57"/>
        <v>1.148922</v>
      </c>
      <c r="CL335" s="205">
        <f t="shared" si="58"/>
        <v>1.3915999999999999</v>
      </c>
      <c r="CM335" s="205">
        <f t="shared" si="59"/>
        <v>1.501366</v>
      </c>
      <c r="CN335" s="206">
        <f t="shared" si="60"/>
        <v>1.6319999999999999</v>
      </c>
      <c r="CO335" s="204">
        <f t="shared" si="61"/>
        <v>1.006656</v>
      </c>
      <c r="CP335" s="207">
        <f t="shared" si="62"/>
        <v>-11.316039492666061</v>
      </c>
      <c r="CQ335" s="208">
        <f t="shared" si="63"/>
        <v>295.9677794196233</v>
      </c>
      <c r="CR335" s="209">
        <f t="shared" si="72"/>
        <v>10.38978850733394</v>
      </c>
      <c r="CS335" s="49"/>
      <c r="CT335" s="49"/>
      <c r="CU335" s="49"/>
      <c r="CV335" s="49"/>
      <c r="CW335" s="49"/>
      <c r="CX335" s="49"/>
      <c r="CY335" s="49"/>
      <c r="CZ335" s="49"/>
      <c r="DA335" s="49"/>
      <c r="DB335" s="49"/>
      <c r="DC335" s="49"/>
      <c r="DD335" s="49"/>
      <c r="DE335" s="49"/>
      <c r="DF335" s="49"/>
      <c r="DG335" s="49"/>
      <c r="DH335" s="49"/>
      <c r="DI335" s="49"/>
      <c r="DJ335" s="49"/>
      <c r="DK335" s="49"/>
      <c r="DL335" s="49"/>
      <c r="DM335" s="49"/>
      <c r="DN335" s="49"/>
      <c r="DO335" s="49"/>
      <c r="DP335" s="49"/>
      <c r="DQ335" s="49"/>
      <c r="DR335" s="49"/>
      <c r="DS335" s="49"/>
      <c r="DT335" s="49"/>
      <c r="DU335" s="49"/>
      <c r="DV335" s="49"/>
      <c r="DW335" s="49"/>
      <c r="DX335" s="49"/>
      <c r="DY335" s="49"/>
      <c r="DZ335" s="49"/>
      <c r="EA335" s="49"/>
      <c r="EB335" s="49"/>
      <c r="EC335" s="49"/>
      <c r="ED335" s="49"/>
      <c r="EE335" s="49"/>
      <c r="EF335" s="49"/>
      <c r="EG335" s="49"/>
      <c r="EH335" s="49"/>
      <c r="EI335" s="49"/>
      <c r="EJ335" s="49"/>
      <c r="EK335" s="49"/>
      <c r="EL335" s="49"/>
      <c r="EM335" s="49"/>
      <c r="EN335" s="49"/>
      <c r="EO335" s="49"/>
      <c r="EP335" s="49"/>
      <c r="EQ335" s="49"/>
      <c r="ER335" s="49"/>
      <c r="ES335" s="49"/>
      <c r="ET335" s="49"/>
      <c r="EU335" s="49"/>
      <c r="EV335" s="49"/>
      <c r="EW335" s="49"/>
      <c r="EX335" s="49"/>
      <c r="EY335" s="49"/>
      <c r="EZ335" s="49"/>
      <c r="FA335" s="49"/>
    </row>
    <row r="336" spans="1:157" s="210" customFormat="1" x14ac:dyDescent="0.25">
      <c r="A336" s="113">
        <f>IF(AND('[1]Cockpit Retorno'!$E$67=Sim,Mestre!M336=Mestre!$M$98),0,1)</f>
        <v>1</v>
      </c>
      <c r="B336" s="113">
        <f>IF(AND('[1]Cockpit Retorno'!$E$67=Sim,Mestre!L336=Mestre!$L$48),0,1)</f>
        <v>0</v>
      </c>
      <c r="C336" s="113">
        <f>IF(AND('[1]Cockpit Retorno'!$E$67=Sim,Mestre!M336=Mestre!$M$97),0,1)</f>
        <v>1</v>
      </c>
      <c r="D336" s="148" t="s">
        <v>7</v>
      </c>
      <c r="E336" s="115"/>
      <c r="F336" s="116" t="s">
        <v>107</v>
      </c>
      <c r="G336" s="149"/>
      <c r="H336" s="150" t="s">
        <v>7</v>
      </c>
      <c r="I336" s="151" t="str">
        <f t="shared" si="65"/>
        <v>Mercadorias</v>
      </c>
      <c r="J336" s="150" t="s">
        <v>15</v>
      </c>
      <c r="K336" s="152" t="s">
        <v>7</v>
      </c>
      <c r="L336" s="153" t="s">
        <v>15</v>
      </c>
      <c r="M336" s="154" t="s">
        <v>493</v>
      </c>
      <c r="N336" s="155" t="s">
        <v>494</v>
      </c>
      <c r="O336" s="155" t="s">
        <v>473</v>
      </c>
      <c r="P336" s="155" t="s">
        <v>43</v>
      </c>
      <c r="Q336" s="155" t="s">
        <v>43</v>
      </c>
      <c r="R336" s="155" t="s">
        <v>43</v>
      </c>
      <c r="S336" s="156" t="s">
        <v>43</v>
      </c>
      <c r="T336" s="156" t="s">
        <v>43</v>
      </c>
      <c r="U336" s="150" t="s">
        <v>43</v>
      </c>
      <c r="V336" s="150" t="s">
        <v>43</v>
      </c>
      <c r="W336" s="150" t="s">
        <v>43</v>
      </c>
      <c r="X336" s="157" t="s">
        <v>495</v>
      </c>
      <c r="Y336" s="150" t="s">
        <v>497</v>
      </c>
      <c r="Z336" s="150" t="s">
        <v>43</v>
      </c>
      <c r="AA336" s="158">
        <v>0</v>
      </c>
      <c r="AB336" s="155" t="s">
        <v>43</v>
      </c>
      <c r="AC336" s="150" t="s">
        <v>43</v>
      </c>
      <c r="AD336" s="155" t="s">
        <v>43</v>
      </c>
      <c r="AE336" s="155"/>
      <c r="AF336" s="150" t="s">
        <v>43</v>
      </c>
      <c r="AG336" s="159">
        <v>70</v>
      </c>
      <c r="AH336" s="159">
        <v>10.536900000000001</v>
      </c>
      <c r="AI336" s="202">
        <v>0</v>
      </c>
      <c r="AJ336" s="161">
        <v>0.18</v>
      </c>
      <c r="AK336" s="162"/>
      <c r="AL336" s="163"/>
      <c r="AM336" s="164">
        <f>(((IF(L336=$L$101,1,IF(L336=$L$47,1,0))*(AH336*(1-AK336)))*AG336)*(1-AL336))</f>
        <v>737.58300000000008</v>
      </c>
      <c r="AN336" s="165">
        <f>IF(K336=$K$50,AM336,IF(K336=$K$53,AM336,IF(K336=$K$54,AM336,IF(K336=$K$55,AM336,IF(K336=$K$56,AM336,IF(K336=$K$57,AM336,IF(K336=$K$58,AM336,IF(K336=$K$65,AM336,IF(K336=$K$66,AM336,IF(K336=$K$67,AM336,IF(K336=$K$68,AM336,IF(K336=$K$69,AM336,IF(K336=$K$51,AM336,(AM336*(1+AI336)))))))))))))))</f>
        <v>737.58300000000008</v>
      </c>
      <c r="AO336" s="166">
        <v>1.4</v>
      </c>
      <c r="AP336" s="160">
        <f t="shared" si="66"/>
        <v>1032.6162000000002</v>
      </c>
      <c r="AQ336" s="167">
        <f t="shared" si="74"/>
        <v>894.72612133826044</v>
      </c>
      <c r="AR336" s="160">
        <f t="shared" si="67"/>
        <v>1032.6162000000002</v>
      </c>
      <c r="AS336" s="168">
        <f t="shared" si="68"/>
        <v>1.2612750638360886</v>
      </c>
      <c r="AT336" s="169" t="str">
        <f>K336</f>
        <v>MI</v>
      </c>
      <c r="AU336" s="169" t="str">
        <f>I336</f>
        <v>Mercadorias</v>
      </c>
      <c r="AV336" s="170"/>
      <c r="AW336" s="171">
        <f>IF(K336=$K$50,0,IF(K336=$K$53,0,IF(K336=$K$54,0,IF(K336=$K$55,0,IF(K336=$K$56,0,IF(K336=$K$57,0,IF(K336=$K$58,0,IF(K336=$K$65,0,IF(K336=$K$66,0,IF(K336=$K$67,0,IF(K336=$K$68,0,IF(K336=$K$69,0,IF(K336=$K$51,0,1))))))))))))*AM336*AI336)</f>
        <v>0</v>
      </c>
      <c r="AX336" s="172">
        <f>IF(K336=$K$50,0,IF(K336=$K$53,0,IF(K336=$K$54,0,IF(K336=$K$55,0,IF(K336=$K$56,0,IF(K336=$K$57,0,IF(K336=$K$58,0,IF(K336=$K$65,0,IF(K336=$K$66,0,IF(K336=$K$67,0,IF(K336=$K$68,0,IF(K336=$K$69,0,IF(K336=$K$51,0,1))))))))))))*AM336*AJ336*$AX$94)</f>
        <v>0</v>
      </c>
      <c r="AY336" s="172">
        <f>IF(K336=$K$53,0,IF(K336=$K$54,0,IF(K336=$K$55,0,IF(K336=$K$56,0,IF(K336=$K$58,0,IF(K336=$K$50,0,IF(K336=$K$65,0,IF(K336=$K$57,0,IF(K336=$K$51,0,AM336*$AY$102)))))))))</f>
        <v>12.170119500000002</v>
      </c>
      <c r="AZ336" s="172">
        <f>IF(K336=$K$53,0,IF(K336=$K$54,0,IF(K336=$K$55,0,IF(K336=$K$56,0,IF(K336=$K$58,0,IF(K336=$K$50,0,IF(K336=$K$65,0,IF(K336=$K$57,0,IF(K336=$K$51,0,AM336*$AZ$102)))))))))</f>
        <v>56.056308000000008</v>
      </c>
      <c r="BA336" s="172">
        <f t="shared" si="69"/>
        <v>68.226427500000014</v>
      </c>
      <c r="BB336" s="173">
        <f>IF($BA$97=1,AQ336*$BB$102,IF(K336=$K$50,0,IF(K336=$K$53,0,IF(K336=$K$54,0,IF(K336=$K$55,0,IF(K336=$K$56,0,IF(K336=$K$57,0,IF(K336=$K$58,0,IF(K336=$K$65,0,IF(K336=$K$66,0,IF(K336=$K$67,0,IF(K336=$K$68,0,IF(K336=$K$69,0,IF(K336=$K$51,0,1)))))))))))*AQ336*$BB$102)))</f>
        <v>0</v>
      </c>
      <c r="BC336" s="172">
        <f t="shared" si="70"/>
        <v>5.8157197886986935</v>
      </c>
      <c r="BD336" s="172">
        <f t="shared" si="71"/>
        <v>26.841783640147813</v>
      </c>
      <c r="BE336" s="172">
        <f>IF($BE$95=I336,$BE$97,IF(I336=$BE$96,$BE$97,1))*($BE$102*AQ336)*$AZ$97</f>
        <v>0</v>
      </c>
      <c r="BF336" s="172">
        <f>IF('[1]Cockpit Retorno'!$C$65=Sim,Mestre!BA336,SUM(BB336:BE336)+(IF(K336=$K$56,AQ336*MOE_IRRF_LR,0)))</f>
        <v>32.65750342884651</v>
      </c>
      <c r="BG336" s="174">
        <f>IF(AA336&gt;0,0,IF(Z336=$Z$82,AG336*1,(IF(Z336=$Z$81,AG336*1,0))))</f>
        <v>0</v>
      </c>
      <c r="BH336" s="174">
        <f>IF(AA336&gt;0,0,IF(Z336=$Z$83,AG336*1,IF(Z336=$Z$81,AG336*1,0)))</f>
        <v>0</v>
      </c>
      <c r="BI336" s="174">
        <f>IF(AA336&gt;0,0,IF(Z336=$Z$84,AG336*1,IF(Z336=$Z$93,AG336*2,IF(Z336=$Z$100,AG336,IF(Z336=$Z$81,AG336*2,IF(Z336=$Z$80,AG336*1,IF(Z336=$Z$79,AG336*3,IF(Z336=$Z$78,AG336*2,0))))))))</f>
        <v>0</v>
      </c>
      <c r="BJ336" s="174">
        <f>IF(AA336&gt;0,0,IF(Z336=$Z$85,AG336,IF(Z336=$Z$93,AG336,IF(Z336=$Z$100,AG336,IF(Z336=$Z$81,AG336*1,IF(Z336=$Z$80,AG336*2,IF(Z336=$Z$79,AG336*2,IF(Z336=$Z$78,AG336*2,0))))))))</f>
        <v>0</v>
      </c>
      <c r="BK336" s="174">
        <f>IF(AA336&gt;0,0,IF(Z336=$Z$92,AG336,0))</f>
        <v>0</v>
      </c>
      <c r="BL336" s="174">
        <f>IF(AA336&gt;0,0,IF(Z336=$Z$91,AG336,0))</f>
        <v>0</v>
      </c>
      <c r="BM336" s="174">
        <f>IF(AA336&gt;0,0,IF(Z336=$Z$86,AG336,0))</f>
        <v>0</v>
      </c>
      <c r="BN336" s="174">
        <f>IF(AA336&gt;0,0,IF(Z336=$Z$87,AG336,0))</f>
        <v>0</v>
      </c>
      <c r="BO336" s="174">
        <f>IF(AA336&gt;0,0,IF(Z336=$Z$88,AG336,0))</f>
        <v>0</v>
      </c>
      <c r="BP336" s="174">
        <f>IF(AA336&gt;0,0,IF(Z336=$Z$89,AG336,0))</f>
        <v>0</v>
      </c>
      <c r="BQ336" s="174">
        <f>IF(AA336&gt;0,0,IF(Z336=$Z$90,AG336,0))</f>
        <v>0</v>
      </c>
      <c r="BR336" s="174">
        <f>IF(Z336=$Z$82,AA336*AG336,0)</f>
        <v>0</v>
      </c>
      <c r="BS336" s="174">
        <f>IF(Z336=$Z$83,AA336*AG336,0)</f>
        <v>0</v>
      </c>
      <c r="BT336" s="174">
        <f>IF(AA336&lt;1,0,IF(Z336=$Z$84,AA336*AG336,IF(Z336=$Z$93,"ERRO",IF(Z336=$Z$100,"ERRO",0))))</f>
        <v>0</v>
      </c>
      <c r="BU336" s="174">
        <f>IF(AA336&lt;1,0,IF(Z336=$Z$85,AA336*AG336,IF(Z336=$Z$93,"ERRO",IF(Z336=$Z$100,"ERRO",0))))</f>
        <v>0</v>
      </c>
      <c r="BV336" s="174">
        <f>IF(Z336=$Z$92,AA336*AG336,0)</f>
        <v>0</v>
      </c>
      <c r="BW336" s="174">
        <f>IF(Z336=$Z$91,AA336*AG336,0)</f>
        <v>0</v>
      </c>
      <c r="BX336" s="174">
        <f>IF(Z336=$Z$86,AA336*AG336,0)</f>
        <v>0</v>
      </c>
      <c r="BY336" s="174">
        <f>IF(Z336=$Z$87,AA336*AG336,0)</f>
        <v>0</v>
      </c>
      <c r="BZ336" s="174">
        <f>IF(Z336=$Z$88,AA336*AG336,0)</f>
        <v>0</v>
      </c>
      <c r="CA336" s="174">
        <f>IF(Z336=$Z$89,AA336*AG336,0)</f>
        <v>0</v>
      </c>
      <c r="CB336" s="174">
        <f>IF(Z336=$Z$90,AA336*AG336,0)</f>
        <v>0</v>
      </c>
      <c r="CC336" s="175">
        <f>IFERROR(IF(L336=$L$49,AG336*AH336*(1+AI336)*(1-AK336)*(1-AL336),0),0)</f>
        <v>0</v>
      </c>
      <c r="CD336" s="203">
        <f>IF(I336=$CD$97,1,IF(I336=$CD$100,2,IF(K336=$K$66,1,IF(K336=$K$69,1,3))))</f>
        <v>1</v>
      </c>
      <c r="CE336" s="203">
        <f t="shared" si="14"/>
        <v>1.07</v>
      </c>
      <c r="CF336" s="204">
        <f t="shared" si="54"/>
        <v>1.2353999999999998</v>
      </c>
      <c r="CG336" s="203">
        <f t="shared" si="15"/>
        <v>1.42</v>
      </c>
      <c r="CH336" s="204">
        <f t="shared" si="55"/>
        <v>1.5478000000000001</v>
      </c>
      <c r="CI336" s="203">
        <f t="shared" si="16"/>
        <v>1.7</v>
      </c>
      <c r="CJ336" s="205">
        <f t="shared" si="56"/>
        <v>1.0486</v>
      </c>
      <c r="CK336" s="205">
        <f t="shared" si="57"/>
        <v>1.148922</v>
      </c>
      <c r="CL336" s="205">
        <f t="shared" si="58"/>
        <v>1.3915999999999999</v>
      </c>
      <c r="CM336" s="205">
        <f t="shared" si="59"/>
        <v>1.501366</v>
      </c>
      <c r="CN336" s="206">
        <f t="shared" si="60"/>
        <v>1.6319999999999999</v>
      </c>
      <c r="CO336" s="204">
        <f t="shared" si="61"/>
        <v>1.006656</v>
      </c>
      <c r="CP336" s="207">
        <f t="shared" si="62"/>
        <v>-35.568924071153504</v>
      </c>
      <c r="CQ336" s="208">
        <f t="shared" si="63"/>
        <v>930.29504540941389</v>
      </c>
      <c r="CR336" s="209">
        <f t="shared" si="72"/>
        <v>32.65750342884651</v>
      </c>
      <c r="CS336" s="49"/>
      <c r="CT336" s="49"/>
      <c r="CU336" s="49"/>
      <c r="CV336" s="49"/>
      <c r="CW336" s="49"/>
      <c r="CX336" s="49"/>
      <c r="CY336" s="49"/>
      <c r="CZ336" s="49"/>
      <c r="DA336" s="49"/>
      <c r="DB336" s="49"/>
      <c r="DC336" s="49"/>
      <c r="DD336" s="49"/>
      <c r="DE336" s="49"/>
      <c r="DF336" s="49"/>
      <c r="DG336" s="49"/>
      <c r="DH336" s="49"/>
      <c r="DI336" s="49"/>
      <c r="DJ336" s="49"/>
      <c r="DK336" s="49"/>
      <c r="DL336" s="49"/>
      <c r="DM336" s="49"/>
      <c r="DN336" s="49"/>
      <c r="DO336" s="49"/>
      <c r="DP336" s="49"/>
      <c r="DQ336" s="49"/>
      <c r="DR336" s="49"/>
      <c r="DS336" s="49"/>
      <c r="DT336" s="49"/>
      <c r="DU336" s="49"/>
      <c r="DV336" s="49"/>
      <c r="DW336" s="49"/>
      <c r="DX336" s="49"/>
      <c r="DY336" s="49"/>
      <c r="DZ336" s="49"/>
      <c r="EA336" s="49"/>
      <c r="EB336" s="49"/>
      <c r="EC336" s="49"/>
      <c r="ED336" s="49"/>
      <c r="EE336" s="49"/>
      <c r="EF336" s="49"/>
      <c r="EG336" s="49"/>
      <c r="EH336" s="49"/>
      <c r="EI336" s="49"/>
      <c r="EJ336" s="49"/>
      <c r="EK336" s="49"/>
      <c r="EL336" s="49"/>
      <c r="EM336" s="49"/>
      <c r="EN336" s="49"/>
      <c r="EO336" s="49"/>
      <c r="EP336" s="49"/>
      <c r="EQ336" s="49"/>
      <c r="ER336" s="49"/>
      <c r="ES336" s="49"/>
      <c r="ET336" s="49"/>
      <c r="EU336" s="49"/>
      <c r="EV336" s="49"/>
      <c r="EW336" s="49"/>
      <c r="EX336" s="49"/>
      <c r="EY336" s="49"/>
      <c r="EZ336" s="49"/>
      <c r="FA336" s="49"/>
    </row>
    <row r="337" spans="1:157" s="210" customFormat="1" x14ac:dyDescent="0.25">
      <c r="A337" s="113">
        <f>IF(AND('[1]Cockpit Retorno'!$E$67=Sim,Mestre!M337=Mestre!$M$98),0,1)</f>
        <v>1</v>
      </c>
      <c r="B337" s="113">
        <f>IF(AND('[1]Cockpit Retorno'!$E$67=Sim,Mestre!L337=Mestre!$L$48),0,1)</f>
        <v>0</v>
      </c>
      <c r="C337" s="113">
        <f>IF(AND('[1]Cockpit Retorno'!$E$67=Sim,Mestre!M337=Mestre!$M$97),0,1)</f>
        <v>1</v>
      </c>
      <c r="D337" s="148" t="s">
        <v>7</v>
      </c>
      <c r="E337" s="115"/>
      <c r="F337" s="116" t="s">
        <v>107</v>
      </c>
      <c r="G337" s="149"/>
      <c r="H337" s="150" t="s">
        <v>7</v>
      </c>
      <c r="I337" s="151" t="str">
        <f t="shared" si="65"/>
        <v>Mercadorias</v>
      </c>
      <c r="J337" s="150" t="s">
        <v>15</v>
      </c>
      <c r="K337" s="152" t="s">
        <v>7</v>
      </c>
      <c r="L337" s="153" t="s">
        <v>15</v>
      </c>
      <c r="M337" s="154" t="s">
        <v>493</v>
      </c>
      <c r="N337" s="155" t="s">
        <v>494</v>
      </c>
      <c r="O337" s="155" t="s">
        <v>473</v>
      </c>
      <c r="P337" s="155" t="s">
        <v>43</v>
      </c>
      <c r="Q337" s="155" t="s">
        <v>43</v>
      </c>
      <c r="R337" s="155" t="s">
        <v>43</v>
      </c>
      <c r="S337" s="156" t="s">
        <v>43</v>
      </c>
      <c r="T337" s="156" t="s">
        <v>43</v>
      </c>
      <c r="U337" s="150" t="s">
        <v>43</v>
      </c>
      <c r="V337" s="150" t="s">
        <v>43</v>
      </c>
      <c r="W337" s="150" t="s">
        <v>43</v>
      </c>
      <c r="X337" s="157" t="s">
        <v>495</v>
      </c>
      <c r="Y337" s="150" t="s">
        <v>498</v>
      </c>
      <c r="Z337" s="150" t="s">
        <v>43</v>
      </c>
      <c r="AA337" s="158">
        <v>0</v>
      </c>
      <c r="AB337" s="155" t="s">
        <v>43</v>
      </c>
      <c r="AC337" s="150" t="s">
        <v>43</v>
      </c>
      <c r="AD337" s="155" t="s">
        <v>43</v>
      </c>
      <c r="AE337" s="155"/>
      <c r="AF337" s="150" t="s">
        <v>43</v>
      </c>
      <c r="AG337" s="159">
        <v>24</v>
      </c>
      <c r="AH337" s="159">
        <v>13.531500000000001</v>
      </c>
      <c r="AI337" s="202">
        <v>0</v>
      </c>
      <c r="AJ337" s="161">
        <v>0.18</v>
      </c>
      <c r="AK337" s="162"/>
      <c r="AL337" s="163"/>
      <c r="AM337" s="164">
        <f>(((IF(L337=$L$101,1,IF(L337=$L$47,1,0))*(AH337*(1-AK337)))*AG337)*(1-AL337))</f>
        <v>324.75600000000003</v>
      </c>
      <c r="AN337" s="165">
        <f>IF(K337=$K$50,AM337,IF(K337=$K$53,AM337,IF(K337=$K$54,AM337,IF(K337=$K$55,AM337,IF(K337=$K$56,AM337,IF(K337=$K$57,AM337,IF(K337=$K$58,AM337,IF(K337=$K$65,AM337,IF(K337=$K$66,AM337,IF(K337=$K$67,AM337,IF(K337=$K$68,AM337,IF(K337=$K$69,AM337,IF(K337=$K$51,AM337,(AM337*(1+AI337)))))))))))))))</f>
        <v>324.75600000000003</v>
      </c>
      <c r="AO337" s="166">
        <v>1.4</v>
      </c>
      <c r="AP337" s="160">
        <f t="shared" si="66"/>
        <v>454.65840000000003</v>
      </c>
      <c r="AQ337" s="167">
        <f t="shared" si="74"/>
        <v>393.9457339192038</v>
      </c>
      <c r="AR337" s="160">
        <f t="shared" si="67"/>
        <v>454.65840000000003</v>
      </c>
      <c r="AS337" s="168">
        <f t="shared" si="68"/>
        <v>1.2612750638360886</v>
      </c>
      <c r="AT337" s="169" t="str">
        <f>K337</f>
        <v>MI</v>
      </c>
      <c r="AU337" s="169" t="str">
        <f>I337</f>
        <v>Mercadorias</v>
      </c>
      <c r="AV337" s="170"/>
      <c r="AW337" s="171">
        <f>IF(K337=$K$50,0,IF(K337=$K$53,0,IF(K337=$K$54,0,IF(K337=$K$55,0,IF(K337=$K$56,0,IF(K337=$K$57,0,IF(K337=$K$58,0,IF(K337=$K$65,0,IF(K337=$K$66,0,IF(K337=$K$67,0,IF(K337=$K$68,0,IF(K337=$K$69,0,IF(K337=$K$51,0,1))))))))))))*AM337*AI337)</f>
        <v>0</v>
      </c>
      <c r="AX337" s="172">
        <f>IF(K337=$K$50,0,IF(K337=$K$53,0,IF(K337=$K$54,0,IF(K337=$K$55,0,IF(K337=$K$56,0,IF(K337=$K$57,0,IF(K337=$K$58,0,IF(K337=$K$65,0,IF(K337=$K$66,0,IF(K337=$K$67,0,IF(K337=$K$68,0,IF(K337=$K$69,0,IF(K337=$K$51,0,1))))))))))))*AM337*AJ337*$AX$94)</f>
        <v>0</v>
      </c>
      <c r="AY337" s="172">
        <f>IF(K337=$K$53,0,IF(K337=$K$54,0,IF(K337=$K$55,0,IF(K337=$K$56,0,IF(K337=$K$58,0,IF(K337=$K$50,0,IF(K337=$K$65,0,IF(K337=$K$57,0,IF(K337=$K$51,0,AM337*$AY$102)))))))))</f>
        <v>5.3584740000000011</v>
      </c>
      <c r="AZ337" s="172">
        <f>IF(K337=$K$53,0,IF(K337=$K$54,0,IF(K337=$K$55,0,IF(K337=$K$56,0,IF(K337=$K$58,0,IF(K337=$K$50,0,IF(K337=$K$65,0,IF(K337=$K$57,0,IF(K337=$K$51,0,AM337*$AZ$102)))))))))</f>
        <v>24.681456000000001</v>
      </c>
      <c r="BA337" s="172">
        <f t="shared" si="69"/>
        <v>30.039930000000002</v>
      </c>
      <c r="BB337" s="173">
        <f>IF($BA$97=1,AQ337*$BB$102,IF(K337=$K$50,0,IF(K337=$K$53,0,IF(K337=$K$54,0,IF(K337=$K$55,0,IF(K337=$K$56,0,IF(K337=$K$57,0,IF(K337=$K$58,0,IF(K337=$K$65,0,IF(K337=$K$66,0,IF(K337=$K$67,0,IF(K337=$K$68,0,IF(K337=$K$69,0,IF(K337=$K$51,0,1)))))))))))*AQ337*$BB$102)))</f>
        <v>0</v>
      </c>
      <c r="BC337" s="172">
        <f t="shared" si="70"/>
        <v>2.5606472704748251</v>
      </c>
      <c r="BD337" s="172">
        <f t="shared" si="71"/>
        <v>11.818372017576113</v>
      </c>
      <c r="BE337" s="172">
        <f>IF($BE$95=I337,$BE$97,IF(I337=$BE$96,$BE$97,1))*($BE$102*AQ337)*$AZ$97</f>
        <v>0</v>
      </c>
      <c r="BF337" s="172">
        <f>IF('[1]Cockpit Retorno'!$C$65=Sim,Mestre!BA337,SUM(BB337:BE337)+(IF(K337=$K$56,AQ337*MOE_IRRF_LR,0)))</f>
        <v>14.379019288050937</v>
      </c>
      <c r="BG337" s="174">
        <f>IF(AA337&gt;0,0,IF(Z337=$Z$82,AG337*1,(IF(Z337=$Z$81,AG337*1,0))))</f>
        <v>0</v>
      </c>
      <c r="BH337" s="174">
        <f>IF(AA337&gt;0,0,IF(Z337=$Z$83,AG337*1,IF(Z337=$Z$81,AG337*1,0)))</f>
        <v>0</v>
      </c>
      <c r="BI337" s="174">
        <f>IF(AA337&gt;0,0,IF(Z337=$Z$84,AG337*1,IF(Z337=$Z$93,AG337*2,IF(Z337=$Z$100,AG337,IF(Z337=$Z$81,AG337*2,IF(Z337=$Z$80,AG337*1,IF(Z337=$Z$79,AG337*3,IF(Z337=$Z$78,AG337*2,0))))))))</f>
        <v>0</v>
      </c>
      <c r="BJ337" s="174">
        <f>IF(AA337&gt;0,0,IF(Z337=$Z$85,AG337,IF(Z337=$Z$93,AG337,IF(Z337=$Z$100,AG337,IF(Z337=$Z$81,AG337*1,IF(Z337=$Z$80,AG337*2,IF(Z337=$Z$79,AG337*2,IF(Z337=$Z$78,AG337*2,0))))))))</f>
        <v>0</v>
      </c>
      <c r="BK337" s="174">
        <f>IF(AA337&gt;0,0,IF(Z337=$Z$92,AG337,0))</f>
        <v>0</v>
      </c>
      <c r="BL337" s="174">
        <f>IF(AA337&gt;0,0,IF(Z337=$Z$91,AG337,0))</f>
        <v>0</v>
      </c>
      <c r="BM337" s="174">
        <f>IF(AA337&gt;0,0,IF(Z337=$Z$86,AG337,0))</f>
        <v>0</v>
      </c>
      <c r="BN337" s="174">
        <f>IF(AA337&gt;0,0,IF(Z337=$Z$87,AG337,0))</f>
        <v>0</v>
      </c>
      <c r="BO337" s="174">
        <f>IF(AA337&gt;0,0,IF(Z337=$Z$88,AG337,0))</f>
        <v>0</v>
      </c>
      <c r="BP337" s="174">
        <f>IF(AA337&gt;0,0,IF(Z337=$Z$89,AG337,0))</f>
        <v>0</v>
      </c>
      <c r="BQ337" s="174">
        <f>IF(AA337&gt;0,0,IF(Z337=$Z$90,AG337,0))</f>
        <v>0</v>
      </c>
      <c r="BR337" s="174">
        <f>IF(Z337=$Z$82,AA337*AG337,0)</f>
        <v>0</v>
      </c>
      <c r="BS337" s="174">
        <f>IF(Z337=$Z$83,AA337*AG337,0)</f>
        <v>0</v>
      </c>
      <c r="BT337" s="174">
        <f>IF(AA337&lt;1,0,IF(Z337=$Z$84,AA337*AG337,IF(Z337=$Z$93,"ERRO",IF(Z337=$Z$100,"ERRO",0))))</f>
        <v>0</v>
      </c>
      <c r="BU337" s="174">
        <f>IF(AA337&lt;1,0,IF(Z337=$Z$85,AA337*AG337,IF(Z337=$Z$93,"ERRO",IF(Z337=$Z$100,"ERRO",0))))</f>
        <v>0</v>
      </c>
      <c r="BV337" s="174">
        <f>IF(Z337=$Z$92,AA337*AG337,0)</f>
        <v>0</v>
      </c>
      <c r="BW337" s="174">
        <f>IF(Z337=$Z$91,AA337*AG337,0)</f>
        <v>0</v>
      </c>
      <c r="BX337" s="174">
        <f>IF(Z337=$Z$86,AA337*AG337,0)</f>
        <v>0</v>
      </c>
      <c r="BY337" s="174">
        <f>IF(Z337=$Z$87,AA337*AG337,0)</f>
        <v>0</v>
      </c>
      <c r="BZ337" s="174">
        <f>IF(Z337=$Z$88,AA337*AG337,0)</f>
        <v>0</v>
      </c>
      <c r="CA337" s="174">
        <f>IF(Z337=$Z$89,AA337*AG337,0)</f>
        <v>0</v>
      </c>
      <c r="CB337" s="174">
        <f>IF(Z337=$Z$90,AA337*AG337,0)</f>
        <v>0</v>
      </c>
      <c r="CC337" s="175">
        <f>IFERROR(IF(L337=$L$49,AG337*AH337*(1+AI337)*(1-AK337)*(1-AL337),0),0)</f>
        <v>0</v>
      </c>
      <c r="CD337" s="203">
        <f>IF(I337=$CD$97,1,IF(I337=$CD$100,2,IF(K337=$K$66,1,IF(K337=$K$69,1,3))))</f>
        <v>1</v>
      </c>
      <c r="CE337" s="203">
        <f t="shared" si="14"/>
        <v>1.07</v>
      </c>
      <c r="CF337" s="204">
        <f t="shared" si="54"/>
        <v>1.2353999999999998</v>
      </c>
      <c r="CG337" s="203">
        <f t="shared" si="15"/>
        <v>1.42</v>
      </c>
      <c r="CH337" s="204">
        <f t="shared" si="55"/>
        <v>1.5478000000000001</v>
      </c>
      <c r="CI337" s="203">
        <f t="shared" si="16"/>
        <v>1.7</v>
      </c>
      <c r="CJ337" s="205">
        <f t="shared" si="56"/>
        <v>1.0486</v>
      </c>
      <c r="CK337" s="205">
        <f t="shared" si="57"/>
        <v>1.148922</v>
      </c>
      <c r="CL337" s="205">
        <f t="shared" si="58"/>
        <v>1.3915999999999999</v>
      </c>
      <c r="CM337" s="205">
        <f t="shared" si="59"/>
        <v>1.501366</v>
      </c>
      <c r="CN337" s="206">
        <f t="shared" si="60"/>
        <v>1.6319999999999999</v>
      </c>
      <c r="CO337" s="204">
        <f t="shared" si="61"/>
        <v>1.006656</v>
      </c>
      <c r="CP337" s="207">
        <f t="shared" si="62"/>
        <v>-15.660910711949064</v>
      </c>
      <c r="CQ337" s="208">
        <f t="shared" si="63"/>
        <v>409.60664463115285</v>
      </c>
      <c r="CR337" s="209">
        <f t="shared" si="72"/>
        <v>14.379019288050937</v>
      </c>
      <c r="CS337" s="49"/>
      <c r="CT337" s="49"/>
      <c r="CU337" s="49"/>
      <c r="CV337" s="49"/>
      <c r="CW337" s="49"/>
      <c r="CX337" s="49"/>
      <c r="CY337" s="49"/>
      <c r="CZ337" s="49"/>
      <c r="DA337" s="49"/>
      <c r="DB337" s="49"/>
      <c r="DC337" s="49"/>
      <c r="DD337" s="49"/>
      <c r="DE337" s="49"/>
      <c r="DF337" s="49"/>
      <c r="DG337" s="49"/>
      <c r="DH337" s="49"/>
      <c r="DI337" s="49"/>
      <c r="DJ337" s="49"/>
      <c r="DK337" s="49"/>
      <c r="DL337" s="49"/>
      <c r="DM337" s="49"/>
      <c r="DN337" s="49"/>
      <c r="DO337" s="49"/>
      <c r="DP337" s="49"/>
      <c r="DQ337" s="49"/>
      <c r="DR337" s="49"/>
      <c r="DS337" s="49"/>
      <c r="DT337" s="49"/>
      <c r="DU337" s="49"/>
      <c r="DV337" s="49"/>
      <c r="DW337" s="49"/>
      <c r="DX337" s="49"/>
      <c r="DY337" s="49"/>
      <c r="DZ337" s="49"/>
      <c r="EA337" s="49"/>
      <c r="EB337" s="49"/>
      <c r="EC337" s="49"/>
      <c r="ED337" s="49"/>
      <c r="EE337" s="49"/>
      <c r="EF337" s="49"/>
      <c r="EG337" s="49"/>
      <c r="EH337" s="49"/>
      <c r="EI337" s="49"/>
      <c r="EJ337" s="49"/>
      <c r="EK337" s="49"/>
      <c r="EL337" s="49"/>
      <c r="EM337" s="49"/>
      <c r="EN337" s="49"/>
      <c r="EO337" s="49"/>
      <c r="EP337" s="49"/>
      <c r="EQ337" s="49"/>
      <c r="ER337" s="49"/>
      <c r="ES337" s="49"/>
      <c r="ET337" s="49"/>
      <c r="EU337" s="49"/>
      <c r="EV337" s="49"/>
      <c r="EW337" s="49"/>
      <c r="EX337" s="49"/>
      <c r="EY337" s="49"/>
      <c r="EZ337" s="49"/>
      <c r="FA337" s="49"/>
    </row>
    <row r="338" spans="1:157" s="210" customFormat="1" x14ac:dyDescent="0.25">
      <c r="A338" s="113">
        <f>IF(AND('[1]Cockpit Retorno'!$E$67=Sim,Mestre!M338=Mestre!$M$98),0,1)</f>
        <v>1</v>
      </c>
      <c r="B338" s="113">
        <f>IF(AND('[1]Cockpit Retorno'!$E$67=Sim,Mestre!L338=Mestre!$L$48),0,1)</f>
        <v>0</v>
      </c>
      <c r="C338" s="113">
        <f>IF(AND('[1]Cockpit Retorno'!$E$67=Sim,Mestre!M338=Mestre!$M$97),0,1)</f>
        <v>1</v>
      </c>
      <c r="D338" s="148" t="s">
        <v>7</v>
      </c>
      <c r="E338" s="115"/>
      <c r="F338" s="116" t="s">
        <v>107</v>
      </c>
      <c r="G338" s="149"/>
      <c r="H338" s="150" t="s">
        <v>7</v>
      </c>
      <c r="I338" s="151" t="str">
        <f t="shared" si="65"/>
        <v>Mercadorias</v>
      </c>
      <c r="J338" s="150" t="s">
        <v>15</v>
      </c>
      <c r="K338" s="152" t="s">
        <v>7</v>
      </c>
      <c r="L338" s="153" t="s">
        <v>15</v>
      </c>
      <c r="M338" s="154" t="s">
        <v>493</v>
      </c>
      <c r="N338" s="155" t="s">
        <v>494</v>
      </c>
      <c r="O338" s="155" t="s">
        <v>473</v>
      </c>
      <c r="P338" s="155" t="s">
        <v>43</v>
      </c>
      <c r="Q338" s="155" t="s">
        <v>43</v>
      </c>
      <c r="R338" s="155" t="s">
        <v>43</v>
      </c>
      <c r="S338" s="156" t="s">
        <v>43</v>
      </c>
      <c r="T338" s="156" t="s">
        <v>43</v>
      </c>
      <c r="U338" s="150" t="s">
        <v>43</v>
      </c>
      <c r="V338" s="150" t="s">
        <v>43</v>
      </c>
      <c r="W338" s="150" t="s">
        <v>43</v>
      </c>
      <c r="X338" s="157" t="s">
        <v>495</v>
      </c>
      <c r="Y338" s="150" t="s">
        <v>499</v>
      </c>
      <c r="Z338" s="150" t="s">
        <v>43</v>
      </c>
      <c r="AA338" s="158">
        <v>0</v>
      </c>
      <c r="AB338" s="155" t="s">
        <v>43</v>
      </c>
      <c r="AC338" s="150" t="s">
        <v>43</v>
      </c>
      <c r="AD338" s="155" t="s">
        <v>43</v>
      </c>
      <c r="AE338" s="155"/>
      <c r="AF338" s="150" t="s">
        <v>43</v>
      </c>
      <c r="AG338" s="159">
        <v>248</v>
      </c>
      <c r="AH338" s="159">
        <v>1.0137</v>
      </c>
      <c r="AI338" s="202">
        <v>0</v>
      </c>
      <c r="AJ338" s="161">
        <v>0.18</v>
      </c>
      <c r="AK338" s="162"/>
      <c r="AL338" s="163"/>
      <c r="AM338" s="164">
        <f>(((IF(L338=$L$101,1,IF(L338=$L$47,1,0))*(AH338*(1-AK338)))*AG338)*(1-AL338))</f>
        <v>251.39760000000001</v>
      </c>
      <c r="AN338" s="165">
        <f>IF(K338=$K$50,AM338,IF(K338=$K$53,AM338,IF(K338=$K$54,AM338,IF(K338=$K$55,AM338,IF(K338=$K$56,AM338,IF(K338=$K$57,AM338,IF(K338=$K$58,AM338,IF(K338=$K$65,AM338,IF(K338=$K$66,AM338,IF(K338=$K$67,AM338,IF(K338=$K$68,AM338,IF(K338=$K$69,AM338,IF(K338=$K$51,AM338,(AM338*(1+AI338)))))))))))))))</f>
        <v>251.39760000000001</v>
      </c>
      <c r="AO338" s="166">
        <v>1.4</v>
      </c>
      <c r="AP338" s="160">
        <f t="shared" si="66"/>
        <v>351.95663999999999</v>
      </c>
      <c r="AQ338" s="167">
        <f t="shared" si="74"/>
        <v>304.95822105681316</v>
      </c>
      <c r="AR338" s="160">
        <f t="shared" si="67"/>
        <v>351.95663999999999</v>
      </c>
      <c r="AS338" s="168">
        <f t="shared" si="68"/>
        <v>1.2612750638360886</v>
      </c>
      <c r="AT338" s="169" t="str">
        <f>K338</f>
        <v>MI</v>
      </c>
      <c r="AU338" s="169" t="str">
        <f>I338</f>
        <v>Mercadorias</v>
      </c>
      <c r="AV338" s="170"/>
      <c r="AW338" s="171">
        <f>IF(K338=$K$50,0,IF(K338=$K$53,0,IF(K338=$K$54,0,IF(K338=$K$55,0,IF(K338=$K$56,0,IF(K338=$K$57,0,IF(K338=$K$58,0,IF(K338=$K$65,0,IF(K338=$K$66,0,IF(K338=$K$67,0,IF(K338=$K$68,0,IF(K338=$K$69,0,IF(K338=$K$51,0,1))))))))))))*AM338*AI338)</f>
        <v>0</v>
      </c>
      <c r="AX338" s="172">
        <f>IF(K338=$K$50,0,IF(K338=$K$53,0,IF(K338=$K$54,0,IF(K338=$K$55,0,IF(K338=$K$56,0,IF(K338=$K$57,0,IF(K338=$K$58,0,IF(K338=$K$65,0,IF(K338=$K$66,0,IF(K338=$K$67,0,IF(K338=$K$68,0,IF(K338=$K$69,0,IF(K338=$K$51,0,1))))))))))))*AM338*AJ338*$AX$94)</f>
        <v>0</v>
      </c>
      <c r="AY338" s="172">
        <f>IF(K338=$K$53,0,IF(K338=$K$54,0,IF(K338=$K$55,0,IF(K338=$K$56,0,IF(K338=$K$58,0,IF(K338=$K$50,0,IF(K338=$K$65,0,IF(K338=$K$57,0,IF(K338=$K$51,0,AM338*$AY$102)))))))))</f>
        <v>4.1480604000000003</v>
      </c>
      <c r="AZ338" s="172">
        <f>IF(K338=$K$53,0,IF(K338=$K$54,0,IF(K338=$K$55,0,IF(K338=$K$56,0,IF(K338=$K$58,0,IF(K338=$K$50,0,IF(K338=$K$65,0,IF(K338=$K$57,0,IF(K338=$K$51,0,AM338*$AZ$102)))))))))</f>
        <v>19.106217600000001</v>
      </c>
      <c r="BA338" s="172">
        <f t="shared" si="69"/>
        <v>23.254277999999999</v>
      </c>
      <c r="BB338" s="173">
        <f>IF($BA$97=1,AQ338*$BB$102,IF(K338=$K$50,0,IF(K338=$K$53,0,IF(K338=$K$54,0,IF(K338=$K$55,0,IF(K338=$K$56,0,IF(K338=$K$57,0,IF(K338=$K$58,0,IF(K338=$K$65,0,IF(K338=$K$66,0,IF(K338=$K$67,0,IF(K338=$K$68,0,IF(K338=$K$69,0,IF(K338=$K$51,0,1)))))))))))*AQ338*$BB$102)))</f>
        <v>0</v>
      </c>
      <c r="BC338" s="172">
        <f t="shared" si="70"/>
        <v>1.9822284368692857</v>
      </c>
      <c r="BD338" s="172">
        <f t="shared" si="71"/>
        <v>9.1487466317043946</v>
      </c>
      <c r="BE338" s="172">
        <f>IF($BE$95=I338,$BE$97,IF(I338=$BE$96,$BE$97,1))*($BE$102*AQ338)*$AZ$97</f>
        <v>0</v>
      </c>
      <c r="BF338" s="172">
        <f>IF('[1]Cockpit Retorno'!$C$65=Sim,Mestre!BA338,SUM(BB338:BE338)+(IF(K338=$K$56,AQ338*MOE_IRRF_LR,0)))</f>
        <v>11.130975068573679</v>
      </c>
      <c r="BG338" s="174">
        <f>IF(AA338&gt;0,0,IF(Z338=$Z$82,AG338*1,(IF(Z338=$Z$81,AG338*1,0))))</f>
        <v>0</v>
      </c>
      <c r="BH338" s="174">
        <f>IF(AA338&gt;0,0,IF(Z338=$Z$83,AG338*1,IF(Z338=$Z$81,AG338*1,0)))</f>
        <v>0</v>
      </c>
      <c r="BI338" s="174">
        <f>IF(AA338&gt;0,0,IF(Z338=$Z$84,AG338*1,IF(Z338=$Z$93,AG338*2,IF(Z338=$Z$100,AG338,IF(Z338=$Z$81,AG338*2,IF(Z338=$Z$80,AG338*1,IF(Z338=$Z$79,AG338*3,IF(Z338=$Z$78,AG338*2,0))))))))</f>
        <v>0</v>
      </c>
      <c r="BJ338" s="174">
        <f>IF(AA338&gt;0,0,IF(Z338=$Z$85,AG338,IF(Z338=$Z$93,AG338,IF(Z338=$Z$100,AG338,IF(Z338=$Z$81,AG338*1,IF(Z338=$Z$80,AG338*2,IF(Z338=$Z$79,AG338*2,IF(Z338=$Z$78,AG338*2,0))))))))</f>
        <v>0</v>
      </c>
      <c r="BK338" s="174">
        <f>IF(AA338&gt;0,0,IF(Z338=$Z$92,AG338,0))</f>
        <v>0</v>
      </c>
      <c r="BL338" s="174">
        <f>IF(AA338&gt;0,0,IF(Z338=$Z$91,AG338,0))</f>
        <v>0</v>
      </c>
      <c r="BM338" s="174">
        <f>IF(AA338&gt;0,0,IF(Z338=$Z$86,AG338,0))</f>
        <v>0</v>
      </c>
      <c r="BN338" s="174">
        <f>IF(AA338&gt;0,0,IF(Z338=$Z$87,AG338,0))</f>
        <v>0</v>
      </c>
      <c r="BO338" s="174">
        <f>IF(AA338&gt;0,0,IF(Z338=$Z$88,AG338,0))</f>
        <v>0</v>
      </c>
      <c r="BP338" s="174">
        <f>IF(AA338&gt;0,0,IF(Z338=$Z$89,AG338,0))</f>
        <v>0</v>
      </c>
      <c r="BQ338" s="174">
        <f>IF(AA338&gt;0,0,IF(Z338=$Z$90,AG338,0))</f>
        <v>0</v>
      </c>
      <c r="BR338" s="174">
        <f>IF(Z338=$Z$82,AA338*AG338,0)</f>
        <v>0</v>
      </c>
      <c r="BS338" s="174">
        <f>IF(Z338=$Z$83,AA338*AG338,0)</f>
        <v>0</v>
      </c>
      <c r="BT338" s="174">
        <f>IF(AA338&lt;1,0,IF(Z338=$Z$84,AA338*AG338,IF(Z338=$Z$93,"ERRO",IF(Z338=$Z$100,"ERRO",0))))</f>
        <v>0</v>
      </c>
      <c r="BU338" s="174">
        <f>IF(AA338&lt;1,0,IF(Z338=$Z$85,AA338*AG338,IF(Z338=$Z$93,"ERRO",IF(Z338=$Z$100,"ERRO",0))))</f>
        <v>0</v>
      </c>
      <c r="BV338" s="174">
        <f>IF(Z338=$Z$92,AA338*AG338,0)</f>
        <v>0</v>
      </c>
      <c r="BW338" s="174">
        <f>IF(Z338=$Z$91,AA338*AG338,0)</f>
        <v>0</v>
      </c>
      <c r="BX338" s="174">
        <f>IF(Z338=$Z$86,AA338*AG338,0)</f>
        <v>0</v>
      </c>
      <c r="BY338" s="174">
        <f>IF(Z338=$Z$87,AA338*AG338,0)</f>
        <v>0</v>
      </c>
      <c r="BZ338" s="174">
        <f>IF(Z338=$Z$88,AA338*AG338,0)</f>
        <v>0</v>
      </c>
      <c r="CA338" s="174">
        <f>IF(Z338=$Z$89,AA338*AG338,0)</f>
        <v>0</v>
      </c>
      <c r="CB338" s="174">
        <f>IF(Z338=$Z$90,AA338*AG338,0)</f>
        <v>0</v>
      </c>
      <c r="CC338" s="175">
        <f>IFERROR(IF(L338=$L$49,AG338*AH338*(1+AI338)*(1-AK338)*(1-AL338),0),0)</f>
        <v>0</v>
      </c>
      <c r="CD338" s="203">
        <f>IF(I338=$CD$97,1,IF(I338=$CD$100,2,IF(K338=$K$66,1,IF(K338=$K$69,1,3))))</f>
        <v>1</v>
      </c>
      <c r="CE338" s="203">
        <f t="shared" si="14"/>
        <v>1.07</v>
      </c>
      <c r="CF338" s="204">
        <f t="shared" si="54"/>
        <v>1.2353999999999998</v>
      </c>
      <c r="CG338" s="203">
        <f t="shared" si="15"/>
        <v>1.42</v>
      </c>
      <c r="CH338" s="204">
        <f t="shared" si="55"/>
        <v>1.5478000000000001</v>
      </c>
      <c r="CI338" s="203">
        <f t="shared" si="16"/>
        <v>1.7</v>
      </c>
      <c r="CJ338" s="205">
        <f t="shared" si="56"/>
        <v>1.0486</v>
      </c>
      <c r="CK338" s="205">
        <f t="shared" si="57"/>
        <v>1.148922</v>
      </c>
      <c r="CL338" s="205">
        <f t="shared" si="58"/>
        <v>1.3915999999999999</v>
      </c>
      <c r="CM338" s="205">
        <f t="shared" si="59"/>
        <v>1.501366</v>
      </c>
      <c r="CN338" s="206">
        <f t="shared" si="60"/>
        <v>1.6319999999999999</v>
      </c>
      <c r="CO338" s="204">
        <f t="shared" si="61"/>
        <v>1.006656</v>
      </c>
      <c r="CP338" s="207">
        <f t="shared" si="62"/>
        <v>-12.12330293142632</v>
      </c>
      <c r="CQ338" s="208">
        <f t="shared" si="63"/>
        <v>317.0815239882395</v>
      </c>
      <c r="CR338" s="209">
        <f t="shared" si="72"/>
        <v>11.130975068573679</v>
      </c>
      <c r="CS338" s="49"/>
      <c r="CT338" s="49"/>
      <c r="CU338" s="49"/>
      <c r="CV338" s="49"/>
      <c r="CW338" s="49"/>
      <c r="CX338" s="49"/>
      <c r="CY338" s="49"/>
      <c r="CZ338" s="49"/>
      <c r="DA338" s="49"/>
      <c r="DB338" s="49"/>
      <c r="DC338" s="49"/>
      <c r="DD338" s="49"/>
      <c r="DE338" s="49"/>
      <c r="DF338" s="49"/>
      <c r="DG338" s="49"/>
      <c r="DH338" s="49"/>
      <c r="DI338" s="49"/>
      <c r="DJ338" s="49"/>
      <c r="DK338" s="49"/>
      <c r="DL338" s="49"/>
      <c r="DM338" s="49"/>
      <c r="DN338" s="49"/>
      <c r="DO338" s="49"/>
      <c r="DP338" s="49"/>
      <c r="DQ338" s="49"/>
      <c r="DR338" s="49"/>
      <c r="DS338" s="49"/>
      <c r="DT338" s="49"/>
      <c r="DU338" s="49"/>
      <c r="DV338" s="49"/>
      <c r="DW338" s="49"/>
      <c r="DX338" s="49"/>
      <c r="DY338" s="49"/>
      <c r="DZ338" s="49"/>
      <c r="EA338" s="49"/>
      <c r="EB338" s="49"/>
      <c r="EC338" s="49"/>
      <c r="ED338" s="49"/>
      <c r="EE338" s="49"/>
      <c r="EF338" s="49"/>
      <c r="EG338" s="49"/>
      <c r="EH338" s="49"/>
      <c r="EI338" s="49"/>
      <c r="EJ338" s="49"/>
      <c r="EK338" s="49"/>
      <c r="EL338" s="49"/>
      <c r="EM338" s="49"/>
      <c r="EN338" s="49"/>
      <c r="EO338" s="49"/>
      <c r="EP338" s="49"/>
      <c r="EQ338" s="49"/>
      <c r="ER338" s="49"/>
      <c r="ES338" s="49"/>
      <c r="ET338" s="49"/>
      <c r="EU338" s="49"/>
      <c r="EV338" s="49"/>
      <c r="EW338" s="49"/>
      <c r="EX338" s="49"/>
      <c r="EY338" s="49"/>
      <c r="EZ338" s="49"/>
      <c r="FA338" s="49"/>
    </row>
    <row r="339" spans="1:157" s="210" customFormat="1" x14ac:dyDescent="0.25">
      <c r="A339" s="113">
        <f>IF(AND('[1]Cockpit Retorno'!$E$67=Sim,Mestre!M339=Mestre!$M$98),0,1)</f>
        <v>1</v>
      </c>
      <c r="B339" s="113">
        <f>IF(AND('[1]Cockpit Retorno'!$E$67=Sim,Mestre!L339=Mestre!$L$48),0,1)</f>
        <v>0</v>
      </c>
      <c r="C339" s="113">
        <f>IF(AND('[1]Cockpit Retorno'!$E$67=Sim,Mestre!M339=Mestre!$M$97),0,1)</f>
        <v>1</v>
      </c>
      <c r="D339" s="148" t="s">
        <v>7</v>
      </c>
      <c r="E339" s="115"/>
      <c r="F339" s="116" t="s">
        <v>107</v>
      </c>
      <c r="G339" s="149"/>
      <c r="H339" s="150" t="s">
        <v>7</v>
      </c>
      <c r="I339" s="151" t="str">
        <f t="shared" si="65"/>
        <v>Mercadorias</v>
      </c>
      <c r="J339" s="150" t="s">
        <v>15</v>
      </c>
      <c r="K339" s="152" t="s">
        <v>7</v>
      </c>
      <c r="L339" s="153" t="s">
        <v>15</v>
      </c>
      <c r="M339" s="154" t="s">
        <v>493</v>
      </c>
      <c r="N339" s="155" t="s">
        <v>494</v>
      </c>
      <c r="O339" s="155" t="s">
        <v>473</v>
      </c>
      <c r="P339" s="155" t="s">
        <v>43</v>
      </c>
      <c r="Q339" s="155" t="s">
        <v>43</v>
      </c>
      <c r="R339" s="155" t="s">
        <v>43</v>
      </c>
      <c r="S339" s="156" t="s">
        <v>43</v>
      </c>
      <c r="T339" s="156" t="s">
        <v>43</v>
      </c>
      <c r="U339" s="150" t="s">
        <v>43</v>
      </c>
      <c r="V339" s="150" t="s">
        <v>43</v>
      </c>
      <c r="W339" s="150" t="s">
        <v>43</v>
      </c>
      <c r="X339" s="157" t="s">
        <v>495</v>
      </c>
      <c r="Y339" s="150" t="s">
        <v>500</v>
      </c>
      <c r="Z339" s="150" t="s">
        <v>43</v>
      </c>
      <c r="AA339" s="158">
        <v>0</v>
      </c>
      <c r="AB339" s="155" t="s">
        <v>43</v>
      </c>
      <c r="AC339" s="150" t="s">
        <v>43</v>
      </c>
      <c r="AD339" s="155" t="s">
        <v>43</v>
      </c>
      <c r="AE339" s="155"/>
      <c r="AF339" s="150" t="s">
        <v>43</v>
      </c>
      <c r="AG339" s="159">
        <v>32</v>
      </c>
      <c r="AH339" s="159">
        <v>16.2378</v>
      </c>
      <c r="AI339" s="202">
        <v>0</v>
      </c>
      <c r="AJ339" s="161">
        <v>0.18</v>
      </c>
      <c r="AK339" s="162"/>
      <c r="AL339" s="163"/>
      <c r="AM339" s="164">
        <f>(((IF(L339=$L$101,1,IF(L339=$L$47,1,0))*(AH339*(1-AK339)))*AG339)*(1-AL339))</f>
        <v>519.6096</v>
      </c>
      <c r="AN339" s="165">
        <f>IF(K339=$K$50,AM339,IF(K339=$K$53,AM339,IF(K339=$K$54,AM339,IF(K339=$K$55,AM339,IF(K339=$K$56,AM339,IF(K339=$K$57,AM339,IF(K339=$K$58,AM339,IF(K339=$K$65,AM339,IF(K339=$K$66,AM339,IF(K339=$K$67,AM339,IF(K339=$K$68,AM339,IF(K339=$K$69,AM339,IF(K339=$K$51,AM339,(AM339*(1+AI339)))))))))))))))</f>
        <v>519.6096</v>
      </c>
      <c r="AO339" s="166">
        <v>1.4</v>
      </c>
      <c r="AP339" s="160">
        <f t="shared" si="66"/>
        <v>727.45344</v>
      </c>
      <c r="AQ339" s="167">
        <f t="shared" si="74"/>
        <v>630.31317427072599</v>
      </c>
      <c r="AR339" s="160">
        <f t="shared" si="67"/>
        <v>727.45344</v>
      </c>
      <c r="AS339" s="168">
        <f t="shared" si="68"/>
        <v>1.2612750638360886</v>
      </c>
      <c r="AT339" s="169" t="str">
        <f>K339</f>
        <v>MI</v>
      </c>
      <c r="AU339" s="169" t="str">
        <f>I339</f>
        <v>Mercadorias</v>
      </c>
      <c r="AV339" s="170"/>
      <c r="AW339" s="171">
        <f>IF(K339=$K$50,0,IF(K339=$K$53,0,IF(K339=$K$54,0,IF(K339=$K$55,0,IF(K339=$K$56,0,IF(K339=$K$57,0,IF(K339=$K$58,0,IF(K339=$K$65,0,IF(K339=$K$66,0,IF(K339=$K$67,0,IF(K339=$K$68,0,IF(K339=$K$69,0,IF(K339=$K$51,0,1))))))))))))*AM339*AI339)</f>
        <v>0</v>
      </c>
      <c r="AX339" s="172">
        <f>IF(K339=$K$50,0,IF(K339=$K$53,0,IF(K339=$K$54,0,IF(K339=$K$55,0,IF(K339=$K$56,0,IF(K339=$K$57,0,IF(K339=$K$58,0,IF(K339=$K$65,0,IF(K339=$K$66,0,IF(K339=$K$67,0,IF(K339=$K$68,0,IF(K339=$K$69,0,IF(K339=$K$51,0,1))))))))))))*AM339*AJ339*$AX$94)</f>
        <v>0</v>
      </c>
      <c r="AY339" s="172">
        <f>IF(K339=$K$53,0,IF(K339=$K$54,0,IF(K339=$K$55,0,IF(K339=$K$56,0,IF(K339=$K$58,0,IF(K339=$K$50,0,IF(K339=$K$65,0,IF(K339=$K$57,0,IF(K339=$K$51,0,AM339*$AY$102)))))))))</f>
        <v>8.5735583999999996</v>
      </c>
      <c r="AZ339" s="172">
        <f>IF(K339=$K$53,0,IF(K339=$K$54,0,IF(K339=$K$55,0,IF(K339=$K$56,0,IF(K339=$K$58,0,IF(K339=$K$50,0,IF(K339=$K$65,0,IF(K339=$K$57,0,IF(K339=$K$51,0,AM339*$AZ$102)))))))))</f>
        <v>39.490329600000003</v>
      </c>
      <c r="BA339" s="172">
        <f t="shared" si="69"/>
        <v>48.063888000000006</v>
      </c>
      <c r="BB339" s="173">
        <f>IF($BA$97=1,AQ339*$BB$102,IF(K339=$K$50,0,IF(K339=$K$53,0,IF(K339=$K$54,0,IF(K339=$K$55,0,IF(K339=$K$56,0,IF(K339=$K$57,0,IF(K339=$K$58,0,IF(K339=$K$65,0,IF(K339=$K$66,0,IF(K339=$K$67,0,IF(K339=$K$68,0,IF(K339=$K$69,0,IF(K339=$K$51,0,1)))))))))))*AQ339*$BB$102)))</f>
        <v>0</v>
      </c>
      <c r="BC339" s="172">
        <f t="shared" si="70"/>
        <v>4.0970356327597193</v>
      </c>
      <c r="BD339" s="172">
        <f t="shared" si="71"/>
        <v>18.909395228121777</v>
      </c>
      <c r="BE339" s="172">
        <f>IF($BE$95=I339,$BE$97,IF(I339=$BE$96,$BE$97,1))*($BE$102*AQ339)*$AZ$97</f>
        <v>0</v>
      </c>
      <c r="BF339" s="172">
        <f>IF('[1]Cockpit Retorno'!$C$65=Sim,Mestre!BA339,SUM(BB339:BE339)+(IF(K339=$K$56,AQ339*MOE_IRRF_LR,0)))</f>
        <v>23.006430860881498</v>
      </c>
      <c r="BG339" s="174">
        <f>IF(AA339&gt;0,0,IF(Z339=$Z$82,AG339*1,(IF(Z339=$Z$81,AG339*1,0))))</f>
        <v>0</v>
      </c>
      <c r="BH339" s="174">
        <f>IF(AA339&gt;0,0,IF(Z339=$Z$83,AG339*1,IF(Z339=$Z$81,AG339*1,0)))</f>
        <v>0</v>
      </c>
      <c r="BI339" s="174">
        <f>IF(AA339&gt;0,0,IF(Z339=$Z$84,AG339*1,IF(Z339=$Z$93,AG339*2,IF(Z339=$Z$100,AG339,IF(Z339=$Z$81,AG339*2,IF(Z339=$Z$80,AG339*1,IF(Z339=$Z$79,AG339*3,IF(Z339=$Z$78,AG339*2,0))))))))</f>
        <v>0</v>
      </c>
      <c r="BJ339" s="174">
        <f>IF(AA339&gt;0,0,IF(Z339=$Z$85,AG339,IF(Z339=$Z$93,AG339,IF(Z339=$Z$100,AG339,IF(Z339=$Z$81,AG339*1,IF(Z339=$Z$80,AG339*2,IF(Z339=$Z$79,AG339*2,IF(Z339=$Z$78,AG339*2,0))))))))</f>
        <v>0</v>
      </c>
      <c r="BK339" s="174">
        <f>IF(AA339&gt;0,0,IF(Z339=$Z$92,AG339,0))</f>
        <v>0</v>
      </c>
      <c r="BL339" s="174">
        <f>IF(AA339&gt;0,0,IF(Z339=$Z$91,AG339,0))</f>
        <v>0</v>
      </c>
      <c r="BM339" s="174">
        <f>IF(AA339&gt;0,0,IF(Z339=$Z$86,AG339,0))</f>
        <v>0</v>
      </c>
      <c r="BN339" s="174">
        <f>IF(AA339&gt;0,0,IF(Z339=$Z$87,AG339,0))</f>
        <v>0</v>
      </c>
      <c r="BO339" s="174">
        <f>IF(AA339&gt;0,0,IF(Z339=$Z$88,AG339,0))</f>
        <v>0</v>
      </c>
      <c r="BP339" s="174">
        <f>IF(AA339&gt;0,0,IF(Z339=$Z$89,AG339,0))</f>
        <v>0</v>
      </c>
      <c r="BQ339" s="174">
        <f>IF(AA339&gt;0,0,IF(Z339=$Z$90,AG339,0))</f>
        <v>0</v>
      </c>
      <c r="BR339" s="174">
        <f>IF(Z339=$Z$82,AA339*AG339,0)</f>
        <v>0</v>
      </c>
      <c r="BS339" s="174">
        <f>IF(Z339=$Z$83,AA339*AG339,0)</f>
        <v>0</v>
      </c>
      <c r="BT339" s="174">
        <f>IF(AA339&lt;1,0,IF(Z339=$Z$84,AA339*AG339,IF(Z339=$Z$93,"ERRO",IF(Z339=$Z$100,"ERRO",0))))</f>
        <v>0</v>
      </c>
      <c r="BU339" s="174">
        <f>IF(AA339&lt;1,0,IF(Z339=$Z$85,AA339*AG339,IF(Z339=$Z$93,"ERRO",IF(Z339=$Z$100,"ERRO",0))))</f>
        <v>0</v>
      </c>
      <c r="BV339" s="174">
        <f>IF(Z339=$Z$92,AA339*AG339,0)</f>
        <v>0</v>
      </c>
      <c r="BW339" s="174">
        <f>IF(Z339=$Z$91,AA339*AG339,0)</f>
        <v>0</v>
      </c>
      <c r="BX339" s="174">
        <f>IF(Z339=$Z$86,AA339*AG339,0)</f>
        <v>0</v>
      </c>
      <c r="BY339" s="174">
        <f>IF(Z339=$Z$87,AA339*AG339,0)</f>
        <v>0</v>
      </c>
      <c r="BZ339" s="174">
        <f>IF(Z339=$Z$88,AA339*AG339,0)</f>
        <v>0</v>
      </c>
      <c r="CA339" s="174">
        <f>IF(Z339=$Z$89,AA339*AG339,0)</f>
        <v>0</v>
      </c>
      <c r="CB339" s="174">
        <f>IF(Z339=$Z$90,AA339*AG339,0)</f>
        <v>0</v>
      </c>
      <c r="CC339" s="175">
        <f>IFERROR(IF(L339=$L$49,AG339*AH339*(1+AI339)*(1-AK339)*(1-AL339),0),0)</f>
        <v>0</v>
      </c>
      <c r="CD339" s="203">
        <f>IF(I339=$CD$97,1,IF(I339=$CD$100,2,IF(K339=$K$66,1,IF(K339=$K$69,1,3))))</f>
        <v>1</v>
      </c>
      <c r="CE339" s="203">
        <f t="shared" si="14"/>
        <v>1.07</v>
      </c>
      <c r="CF339" s="204">
        <f t="shared" si="54"/>
        <v>1.2353999999999998</v>
      </c>
      <c r="CG339" s="203">
        <f t="shared" si="15"/>
        <v>1.42</v>
      </c>
      <c r="CH339" s="204">
        <f t="shared" si="55"/>
        <v>1.5478000000000001</v>
      </c>
      <c r="CI339" s="203">
        <f t="shared" si="16"/>
        <v>1.7</v>
      </c>
      <c r="CJ339" s="205">
        <f t="shared" si="56"/>
        <v>1.0486</v>
      </c>
      <c r="CK339" s="205">
        <f t="shared" si="57"/>
        <v>1.148922</v>
      </c>
      <c r="CL339" s="205">
        <f t="shared" si="58"/>
        <v>1.3915999999999999</v>
      </c>
      <c r="CM339" s="205">
        <f t="shared" si="59"/>
        <v>1.501366</v>
      </c>
      <c r="CN339" s="206">
        <f t="shared" si="60"/>
        <v>1.6319999999999999</v>
      </c>
      <c r="CO339" s="204">
        <f t="shared" si="61"/>
        <v>1.006656</v>
      </c>
      <c r="CP339" s="207">
        <f t="shared" si="62"/>
        <v>-25.057457139118508</v>
      </c>
      <c r="CQ339" s="208">
        <f t="shared" si="63"/>
        <v>655.37063140984446</v>
      </c>
      <c r="CR339" s="209">
        <f t="shared" si="72"/>
        <v>23.006430860881498</v>
      </c>
      <c r="CS339" s="49"/>
      <c r="CT339" s="49"/>
      <c r="CU339" s="49"/>
      <c r="CV339" s="49"/>
      <c r="CW339" s="49"/>
      <c r="CX339" s="49"/>
      <c r="CY339" s="49"/>
      <c r="CZ339" s="49"/>
      <c r="DA339" s="49"/>
      <c r="DB339" s="49"/>
      <c r="DC339" s="49"/>
      <c r="DD339" s="49"/>
      <c r="DE339" s="49"/>
      <c r="DF339" s="49"/>
      <c r="DG339" s="49"/>
      <c r="DH339" s="49"/>
      <c r="DI339" s="49"/>
      <c r="DJ339" s="49"/>
      <c r="DK339" s="49"/>
      <c r="DL339" s="49"/>
      <c r="DM339" s="49"/>
      <c r="DN339" s="49"/>
      <c r="DO339" s="49"/>
      <c r="DP339" s="49"/>
      <c r="DQ339" s="49"/>
      <c r="DR339" s="49"/>
      <c r="DS339" s="49"/>
      <c r="DT339" s="49"/>
      <c r="DU339" s="49"/>
      <c r="DV339" s="49"/>
      <c r="DW339" s="49"/>
      <c r="DX339" s="49"/>
      <c r="DY339" s="49"/>
      <c r="DZ339" s="49"/>
      <c r="EA339" s="49"/>
      <c r="EB339" s="49"/>
      <c r="EC339" s="49"/>
      <c r="ED339" s="49"/>
      <c r="EE339" s="49"/>
      <c r="EF339" s="49"/>
      <c r="EG339" s="49"/>
      <c r="EH339" s="49"/>
      <c r="EI339" s="49"/>
      <c r="EJ339" s="49"/>
      <c r="EK339" s="49"/>
      <c r="EL339" s="49"/>
      <c r="EM339" s="49"/>
      <c r="EN339" s="49"/>
      <c r="EO339" s="49"/>
      <c r="EP339" s="49"/>
      <c r="EQ339" s="49"/>
      <c r="ER339" s="49"/>
      <c r="ES339" s="49"/>
      <c r="ET339" s="49"/>
      <c r="EU339" s="49"/>
      <c r="EV339" s="49"/>
      <c r="EW339" s="49"/>
      <c r="EX339" s="49"/>
      <c r="EY339" s="49"/>
      <c r="EZ339" s="49"/>
      <c r="FA339" s="49"/>
    </row>
    <row r="340" spans="1:157" s="210" customFormat="1" x14ac:dyDescent="0.25">
      <c r="A340" s="113">
        <f>IF(AND('[1]Cockpit Retorno'!$E$67=Sim,Mestre!M340=Mestre!$M$98),0,1)</f>
        <v>1</v>
      </c>
      <c r="B340" s="113">
        <f>IF(AND('[1]Cockpit Retorno'!$E$67=Sim,Mestre!L340=Mestre!$L$48),0,1)</f>
        <v>0</v>
      </c>
      <c r="C340" s="113">
        <f>IF(AND('[1]Cockpit Retorno'!$E$67=Sim,Mestre!M340=Mestre!$M$97),0,1)</f>
        <v>1</v>
      </c>
      <c r="D340" s="148" t="s">
        <v>7</v>
      </c>
      <c r="E340" s="115"/>
      <c r="F340" s="116" t="s">
        <v>107</v>
      </c>
      <c r="G340" s="149"/>
      <c r="H340" s="150" t="s">
        <v>7</v>
      </c>
      <c r="I340" s="151" t="str">
        <f t="shared" si="65"/>
        <v>Mercadorias</v>
      </c>
      <c r="J340" s="150" t="s">
        <v>15</v>
      </c>
      <c r="K340" s="152" t="s">
        <v>7</v>
      </c>
      <c r="L340" s="153" t="s">
        <v>15</v>
      </c>
      <c r="M340" s="154" t="s">
        <v>493</v>
      </c>
      <c r="N340" s="155" t="s">
        <v>494</v>
      </c>
      <c r="O340" s="155" t="s">
        <v>473</v>
      </c>
      <c r="P340" s="155" t="s">
        <v>43</v>
      </c>
      <c r="Q340" s="155" t="s">
        <v>43</v>
      </c>
      <c r="R340" s="155" t="s">
        <v>43</v>
      </c>
      <c r="S340" s="156" t="s">
        <v>43</v>
      </c>
      <c r="T340" s="156" t="s">
        <v>43</v>
      </c>
      <c r="U340" s="150" t="s">
        <v>43</v>
      </c>
      <c r="V340" s="150" t="s">
        <v>43</v>
      </c>
      <c r="W340" s="150" t="s">
        <v>43</v>
      </c>
      <c r="X340" s="157" t="s">
        <v>495</v>
      </c>
      <c r="Y340" s="150" t="s">
        <v>501</v>
      </c>
      <c r="Z340" s="150" t="s">
        <v>43</v>
      </c>
      <c r="AA340" s="158">
        <v>0</v>
      </c>
      <c r="AB340" s="155" t="s">
        <v>43</v>
      </c>
      <c r="AC340" s="150" t="s">
        <v>43</v>
      </c>
      <c r="AD340" s="155" t="s">
        <v>43</v>
      </c>
      <c r="AE340" s="155"/>
      <c r="AF340" s="150" t="s">
        <v>43</v>
      </c>
      <c r="AG340" s="159">
        <v>916</v>
      </c>
      <c r="AH340" s="159">
        <v>0.6603</v>
      </c>
      <c r="AI340" s="202">
        <v>0</v>
      </c>
      <c r="AJ340" s="161">
        <v>0.18</v>
      </c>
      <c r="AK340" s="162"/>
      <c r="AL340" s="163"/>
      <c r="AM340" s="164">
        <f>(((IF(L340=$L$101,1,IF(L340=$L$47,1,0))*(AH340*(1-AK340)))*AG340)*(1-AL340))</f>
        <v>604.83479999999997</v>
      </c>
      <c r="AN340" s="165">
        <f>IF(K340=$K$50,AM340,IF(K340=$K$53,AM340,IF(K340=$K$54,AM340,IF(K340=$K$55,AM340,IF(K340=$K$56,AM340,IF(K340=$K$57,AM340,IF(K340=$K$58,AM340,IF(K340=$K$65,AM340,IF(K340=$K$66,AM340,IF(K340=$K$67,AM340,IF(K340=$K$68,AM340,IF(K340=$K$69,AM340,IF(K340=$K$51,AM340,(AM340*(1+AI340)))))))))))))))</f>
        <v>604.83479999999997</v>
      </c>
      <c r="AO340" s="166">
        <v>1.4</v>
      </c>
      <c r="AP340" s="160">
        <f t="shared" si="66"/>
        <v>846.76871999999992</v>
      </c>
      <c r="AQ340" s="167">
        <f t="shared" si="74"/>
        <v>733.69572597850322</v>
      </c>
      <c r="AR340" s="160">
        <f t="shared" si="67"/>
        <v>846.76871999999992</v>
      </c>
      <c r="AS340" s="168">
        <f t="shared" si="68"/>
        <v>1.2612750638360886</v>
      </c>
      <c r="AT340" s="169" t="str">
        <f>K340</f>
        <v>MI</v>
      </c>
      <c r="AU340" s="169" t="str">
        <f>I340</f>
        <v>Mercadorias</v>
      </c>
      <c r="AV340" s="170"/>
      <c r="AW340" s="171">
        <f>IF(K340=$K$50,0,IF(K340=$K$53,0,IF(K340=$K$54,0,IF(K340=$K$55,0,IF(K340=$K$56,0,IF(K340=$K$57,0,IF(K340=$K$58,0,IF(K340=$K$65,0,IF(K340=$K$66,0,IF(K340=$K$67,0,IF(K340=$K$68,0,IF(K340=$K$69,0,IF(K340=$K$51,0,1))))))))))))*AM340*AI340)</f>
        <v>0</v>
      </c>
      <c r="AX340" s="172">
        <f>IF(K340=$K$50,0,IF(K340=$K$53,0,IF(K340=$K$54,0,IF(K340=$K$55,0,IF(K340=$K$56,0,IF(K340=$K$57,0,IF(K340=$K$58,0,IF(K340=$K$65,0,IF(K340=$K$66,0,IF(K340=$K$67,0,IF(K340=$K$68,0,IF(K340=$K$69,0,IF(K340=$K$51,0,1))))))))))))*AM340*AJ340*$AX$94)</f>
        <v>0</v>
      </c>
      <c r="AY340" s="172">
        <f>IF(K340=$K$53,0,IF(K340=$K$54,0,IF(K340=$K$55,0,IF(K340=$K$56,0,IF(K340=$K$58,0,IF(K340=$K$50,0,IF(K340=$K$65,0,IF(K340=$K$57,0,IF(K340=$K$51,0,AM340*$AY$102)))))))))</f>
        <v>9.9797741999999996</v>
      </c>
      <c r="AZ340" s="172">
        <f>IF(K340=$K$53,0,IF(K340=$K$54,0,IF(K340=$K$55,0,IF(K340=$K$56,0,IF(K340=$K$58,0,IF(K340=$K$50,0,IF(K340=$K$65,0,IF(K340=$K$57,0,IF(K340=$K$51,0,AM340*$AZ$102)))))))))</f>
        <v>45.967444799999996</v>
      </c>
      <c r="BA340" s="172">
        <f t="shared" si="69"/>
        <v>55.947218999999997</v>
      </c>
      <c r="BB340" s="173">
        <f>IF($BA$97=1,AQ340*$BB$102,IF(K340=$K$50,0,IF(K340=$K$53,0,IF(K340=$K$54,0,IF(K340=$K$55,0,IF(K340=$K$56,0,IF(K340=$K$57,0,IF(K340=$K$58,0,IF(K340=$K$65,0,IF(K340=$K$66,0,IF(K340=$K$67,0,IF(K340=$K$68,0,IF(K340=$K$69,0,IF(K340=$K$51,0,1)))))))))))*AQ340*$BB$102)))</f>
        <v>0</v>
      </c>
      <c r="BC340" s="172">
        <f t="shared" si="70"/>
        <v>4.7690222188602718</v>
      </c>
      <c r="BD340" s="172">
        <f t="shared" si="71"/>
        <v>22.010871779355096</v>
      </c>
      <c r="BE340" s="172">
        <f>IF($BE$95=I340,$BE$97,IF(I340=$BE$96,$BE$97,1))*($BE$102*AQ340)*$AZ$97</f>
        <v>0</v>
      </c>
      <c r="BF340" s="172">
        <f>IF('[1]Cockpit Retorno'!$C$65=Sim,Mestre!BA340,SUM(BB340:BE340)+(IF(K340=$K$56,AQ340*MOE_IRRF_LR,0)))</f>
        <v>26.779893998215368</v>
      </c>
      <c r="BG340" s="174">
        <f>IF(AA340&gt;0,0,IF(Z340=$Z$82,AG340*1,(IF(Z340=$Z$81,AG340*1,0))))</f>
        <v>0</v>
      </c>
      <c r="BH340" s="174">
        <f>IF(AA340&gt;0,0,IF(Z340=$Z$83,AG340*1,IF(Z340=$Z$81,AG340*1,0)))</f>
        <v>0</v>
      </c>
      <c r="BI340" s="174">
        <f>IF(AA340&gt;0,0,IF(Z340=$Z$84,AG340*1,IF(Z340=$Z$93,AG340*2,IF(Z340=$Z$100,AG340,IF(Z340=$Z$81,AG340*2,IF(Z340=$Z$80,AG340*1,IF(Z340=$Z$79,AG340*3,IF(Z340=$Z$78,AG340*2,0))))))))</f>
        <v>0</v>
      </c>
      <c r="BJ340" s="174">
        <f>IF(AA340&gt;0,0,IF(Z340=$Z$85,AG340,IF(Z340=$Z$93,AG340,IF(Z340=$Z$100,AG340,IF(Z340=$Z$81,AG340*1,IF(Z340=$Z$80,AG340*2,IF(Z340=$Z$79,AG340*2,IF(Z340=$Z$78,AG340*2,0))))))))</f>
        <v>0</v>
      </c>
      <c r="BK340" s="174">
        <f>IF(AA340&gt;0,0,IF(Z340=$Z$92,AG340,0))</f>
        <v>0</v>
      </c>
      <c r="BL340" s="174">
        <f>IF(AA340&gt;0,0,IF(Z340=$Z$91,AG340,0))</f>
        <v>0</v>
      </c>
      <c r="BM340" s="174">
        <f>IF(AA340&gt;0,0,IF(Z340=$Z$86,AG340,0))</f>
        <v>0</v>
      </c>
      <c r="BN340" s="174">
        <f>IF(AA340&gt;0,0,IF(Z340=$Z$87,AG340,0))</f>
        <v>0</v>
      </c>
      <c r="BO340" s="174">
        <f>IF(AA340&gt;0,0,IF(Z340=$Z$88,AG340,0))</f>
        <v>0</v>
      </c>
      <c r="BP340" s="174">
        <f>IF(AA340&gt;0,0,IF(Z340=$Z$89,AG340,0))</f>
        <v>0</v>
      </c>
      <c r="BQ340" s="174">
        <f>IF(AA340&gt;0,0,IF(Z340=$Z$90,AG340,0))</f>
        <v>0</v>
      </c>
      <c r="BR340" s="174">
        <f>IF(Z340=$Z$82,AA340*AG340,0)</f>
        <v>0</v>
      </c>
      <c r="BS340" s="174">
        <f>IF(Z340=$Z$83,AA340*AG340,0)</f>
        <v>0</v>
      </c>
      <c r="BT340" s="174">
        <f>IF(AA340&lt;1,0,IF(Z340=$Z$84,AA340*AG340,IF(Z340=$Z$93,"ERRO",IF(Z340=$Z$100,"ERRO",0))))</f>
        <v>0</v>
      </c>
      <c r="BU340" s="174">
        <f>IF(AA340&lt;1,0,IF(Z340=$Z$85,AA340*AG340,IF(Z340=$Z$93,"ERRO",IF(Z340=$Z$100,"ERRO",0))))</f>
        <v>0</v>
      </c>
      <c r="BV340" s="174">
        <f>IF(Z340=$Z$92,AA340*AG340,0)</f>
        <v>0</v>
      </c>
      <c r="BW340" s="174">
        <f>IF(Z340=$Z$91,AA340*AG340,0)</f>
        <v>0</v>
      </c>
      <c r="BX340" s="174">
        <f>IF(Z340=$Z$86,AA340*AG340,0)</f>
        <v>0</v>
      </c>
      <c r="BY340" s="174">
        <f>IF(Z340=$Z$87,AA340*AG340,0)</f>
        <v>0</v>
      </c>
      <c r="BZ340" s="174">
        <f>IF(Z340=$Z$88,AA340*AG340,0)</f>
        <v>0</v>
      </c>
      <c r="CA340" s="174">
        <f>IF(Z340=$Z$89,AA340*AG340,0)</f>
        <v>0</v>
      </c>
      <c r="CB340" s="174">
        <f>IF(Z340=$Z$90,AA340*AG340,0)</f>
        <v>0</v>
      </c>
      <c r="CC340" s="175">
        <f>IFERROR(IF(L340=$L$49,AG340*AH340*(1+AI340)*(1-AK340)*(1-AL340),0),0)</f>
        <v>0</v>
      </c>
      <c r="CD340" s="203">
        <f>IF(I340=$CD$97,1,IF(I340=$CD$100,2,IF(K340=$K$66,1,IF(K340=$K$69,1,3))))</f>
        <v>1</v>
      </c>
      <c r="CE340" s="203">
        <f t="shared" si="14"/>
        <v>1.07</v>
      </c>
      <c r="CF340" s="204">
        <f t="shared" si="54"/>
        <v>1.2353999999999998</v>
      </c>
      <c r="CG340" s="203">
        <f t="shared" si="15"/>
        <v>1.42</v>
      </c>
      <c r="CH340" s="204">
        <f t="shared" si="55"/>
        <v>1.5478000000000001</v>
      </c>
      <c r="CI340" s="203">
        <f t="shared" si="16"/>
        <v>1.7</v>
      </c>
      <c r="CJ340" s="205">
        <f t="shared" si="56"/>
        <v>1.0486</v>
      </c>
      <c r="CK340" s="205">
        <f t="shared" si="57"/>
        <v>1.148922</v>
      </c>
      <c r="CL340" s="205">
        <f t="shared" si="58"/>
        <v>1.3915999999999999</v>
      </c>
      <c r="CM340" s="205">
        <f t="shared" si="59"/>
        <v>1.501366</v>
      </c>
      <c r="CN340" s="206">
        <f t="shared" si="60"/>
        <v>1.6319999999999999</v>
      </c>
      <c r="CO340" s="204">
        <f t="shared" si="61"/>
        <v>1.006656</v>
      </c>
      <c r="CP340" s="207">
        <f t="shared" si="62"/>
        <v>-29.167325001784629</v>
      </c>
      <c r="CQ340" s="208">
        <f t="shared" si="63"/>
        <v>762.86305098028788</v>
      </c>
      <c r="CR340" s="209">
        <f t="shared" si="72"/>
        <v>26.779893998215368</v>
      </c>
      <c r="CS340" s="49"/>
      <c r="CT340" s="49"/>
      <c r="CU340" s="49"/>
      <c r="CV340" s="49"/>
      <c r="CW340" s="49"/>
      <c r="CX340" s="49"/>
      <c r="CY340" s="49"/>
      <c r="CZ340" s="49"/>
      <c r="DA340" s="49"/>
      <c r="DB340" s="49"/>
      <c r="DC340" s="49"/>
      <c r="DD340" s="49"/>
      <c r="DE340" s="49"/>
      <c r="DF340" s="49"/>
      <c r="DG340" s="49"/>
      <c r="DH340" s="49"/>
      <c r="DI340" s="49"/>
      <c r="DJ340" s="49"/>
      <c r="DK340" s="49"/>
      <c r="DL340" s="49"/>
      <c r="DM340" s="49"/>
      <c r="DN340" s="49"/>
      <c r="DO340" s="49"/>
      <c r="DP340" s="49"/>
      <c r="DQ340" s="49"/>
      <c r="DR340" s="49"/>
      <c r="DS340" s="49"/>
      <c r="DT340" s="49"/>
      <c r="DU340" s="49"/>
      <c r="DV340" s="49"/>
      <c r="DW340" s="49"/>
      <c r="DX340" s="49"/>
      <c r="DY340" s="49"/>
      <c r="DZ340" s="49"/>
      <c r="EA340" s="49"/>
      <c r="EB340" s="49"/>
      <c r="EC340" s="49"/>
      <c r="ED340" s="49"/>
      <c r="EE340" s="49"/>
      <c r="EF340" s="49"/>
      <c r="EG340" s="49"/>
      <c r="EH340" s="49"/>
      <c r="EI340" s="49"/>
      <c r="EJ340" s="49"/>
      <c r="EK340" s="49"/>
      <c r="EL340" s="49"/>
      <c r="EM340" s="49"/>
      <c r="EN340" s="49"/>
      <c r="EO340" s="49"/>
      <c r="EP340" s="49"/>
      <c r="EQ340" s="49"/>
      <c r="ER340" s="49"/>
      <c r="ES340" s="49"/>
      <c r="ET340" s="49"/>
      <c r="EU340" s="49"/>
      <c r="EV340" s="49"/>
      <c r="EW340" s="49"/>
      <c r="EX340" s="49"/>
      <c r="EY340" s="49"/>
      <c r="EZ340" s="49"/>
      <c r="FA340" s="49"/>
    </row>
    <row r="341" spans="1:157" s="210" customFormat="1" x14ac:dyDescent="0.25">
      <c r="A341" s="113">
        <f>IF(AND('[1]Cockpit Retorno'!$E$67=Sim,Mestre!M341=Mestre!$M$98),0,1)</f>
        <v>1</v>
      </c>
      <c r="B341" s="113">
        <f>IF(AND('[1]Cockpit Retorno'!$E$67=Sim,Mestre!L341=Mestre!$L$48),0,1)</f>
        <v>0</v>
      </c>
      <c r="C341" s="113">
        <f>IF(AND('[1]Cockpit Retorno'!$E$67=Sim,Mestre!M341=Mestre!$M$97),0,1)</f>
        <v>1</v>
      </c>
      <c r="D341" s="148" t="s">
        <v>7</v>
      </c>
      <c r="E341" s="115"/>
      <c r="F341" s="116" t="s">
        <v>107</v>
      </c>
      <c r="G341" s="149"/>
      <c r="H341" s="150" t="s">
        <v>7</v>
      </c>
      <c r="I341" s="151" t="str">
        <f t="shared" si="65"/>
        <v>Mercadorias</v>
      </c>
      <c r="J341" s="150" t="s">
        <v>15</v>
      </c>
      <c r="K341" s="152" t="s">
        <v>7</v>
      </c>
      <c r="L341" s="153" t="s">
        <v>15</v>
      </c>
      <c r="M341" s="154" t="s">
        <v>493</v>
      </c>
      <c r="N341" s="155" t="s">
        <v>494</v>
      </c>
      <c r="O341" s="155" t="s">
        <v>473</v>
      </c>
      <c r="P341" s="155" t="s">
        <v>43</v>
      </c>
      <c r="Q341" s="155" t="s">
        <v>43</v>
      </c>
      <c r="R341" s="155" t="s">
        <v>43</v>
      </c>
      <c r="S341" s="156" t="s">
        <v>43</v>
      </c>
      <c r="T341" s="156" t="s">
        <v>43</v>
      </c>
      <c r="U341" s="150" t="s">
        <v>43</v>
      </c>
      <c r="V341" s="150" t="s">
        <v>43</v>
      </c>
      <c r="W341" s="150" t="s">
        <v>43</v>
      </c>
      <c r="X341" s="157" t="s">
        <v>495</v>
      </c>
      <c r="Y341" s="150" t="s">
        <v>502</v>
      </c>
      <c r="Z341" s="150" t="s">
        <v>43</v>
      </c>
      <c r="AA341" s="158">
        <v>0</v>
      </c>
      <c r="AB341" s="155" t="s">
        <v>43</v>
      </c>
      <c r="AC341" s="150" t="s">
        <v>43</v>
      </c>
      <c r="AD341" s="155" t="s">
        <v>43</v>
      </c>
      <c r="AE341" s="155"/>
      <c r="AF341" s="150" t="s">
        <v>43</v>
      </c>
      <c r="AG341" s="159">
        <f>408+(5*3*4*2)+10</f>
        <v>538</v>
      </c>
      <c r="AH341" s="159">
        <v>26.346900000000002</v>
      </c>
      <c r="AI341" s="202">
        <v>0</v>
      </c>
      <c r="AJ341" s="161">
        <v>0.18</v>
      </c>
      <c r="AK341" s="162"/>
      <c r="AL341" s="163"/>
      <c r="AM341" s="164">
        <f>(((IF(L341=$L$101,1,IF(L341=$L$47,1,0))*(AH341*(1-AK341)))*AG341)*(1-AL341))</f>
        <v>14174.6322</v>
      </c>
      <c r="AN341" s="165">
        <f>IF(K341=$K$50,AM341,IF(K341=$K$53,AM341,IF(K341=$K$54,AM341,IF(K341=$K$55,AM341,IF(K341=$K$56,AM341,IF(K341=$K$57,AM341,IF(K341=$K$58,AM341,IF(K341=$K$65,AM341,IF(K341=$K$66,AM341,IF(K341=$K$67,AM341,IF(K341=$K$68,AM341,IF(K341=$K$69,AM341,IF(K341=$K$51,AM341,(AM341*(1+AI341)))))))))))))))</f>
        <v>14174.6322</v>
      </c>
      <c r="AO341" s="166">
        <v>1.4</v>
      </c>
      <c r="AP341" s="160">
        <f t="shared" si="66"/>
        <v>19844.485079999999</v>
      </c>
      <c r="AQ341" s="167">
        <f t="shared" si="74"/>
        <v>17194.558022219073</v>
      </c>
      <c r="AR341" s="160">
        <f t="shared" si="67"/>
        <v>19844.485079999999</v>
      </c>
      <c r="AS341" s="168">
        <f t="shared" si="68"/>
        <v>1.2612750638360886</v>
      </c>
      <c r="AT341" s="169" t="str">
        <f>K341</f>
        <v>MI</v>
      </c>
      <c r="AU341" s="169" t="str">
        <f>I341</f>
        <v>Mercadorias</v>
      </c>
      <c r="AV341" s="170"/>
      <c r="AW341" s="171">
        <f>IF(K341=$K$50,0,IF(K341=$K$53,0,IF(K341=$K$54,0,IF(K341=$K$55,0,IF(K341=$K$56,0,IF(K341=$K$57,0,IF(K341=$K$58,0,IF(K341=$K$65,0,IF(K341=$K$66,0,IF(K341=$K$67,0,IF(K341=$K$68,0,IF(K341=$K$69,0,IF(K341=$K$51,0,1))))))))))))*AM341*AI341)</f>
        <v>0</v>
      </c>
      <c r="AX341" s="172">
        <f>IF(K341=$K$50,0,IF(K341=$K$53,0,IF(K341=$K$54,0,IF(K341=$K$55,0,IF(K341=$K$56,0,IF(K341=$K$57,0,IF(K341=$K$58,0,IF(K341=$K$65,0,IF(K341=$K$66,0,IF(K341=$K$67,0,IF(K341=$K$68,0,IF(K341=$K$69,0,IF(K341=$K$51,0,1))))))))))))*AM341*AJ341*$AX$94)</f>
        <v>0</v>
      </c>
      <c r="AY341" s="172">
        <f>IF(K341=$K$53,0,IF(K341=$K$54,0,IF(K341=$K$55,0,IF(K341=$K$56,0,IF(K341=$K$58,0,IF(K341=$K$50,0,IF(K341=$K$65,0,IF(K341=$K$57,0,IF(K341=$K$51,0,AM341*$AY$102)))))))))</f>
        <v>233.8814313</v>
      </c>
      <c r="AZ341" s="172">
        <f>IF(K341=$K$53,0,IF(K341=$K$54,0,IF(K341=$K$55,0,IF(K341=$K$56,0,IF(K341=$K$58,0,IF(K341=$K$50,0,IF(K341=$K$65,0,IF(K341=$K$57,0,IF(K341=$K$51,0,AM341*$AZ$102)))))))))</f>
        <v>1077.2720471999999</v>
      </c>
      <c r="BA341" s="172">
        <f t="shared" si="69"/>
        <v>1311.1534784999999</v>
      </c>
      <c r="BB341" s="173">
        <f>IF($BA$97=1,AQ341*$BB$102,IF(K341=$K$50,0,IF(K341=$K$53,0,IF(K341=$K$54,0,IF(K341=$K$55,0,IF(K341=$K$56,0,IF(K341=$K$57,0,IF(K341=$K$58,0,IF(K341=$K$65,0,IF(K341=$K$66,0,IF(K341=$K$67,0,IF(K341=$K$68,0,IF(K341=$K$69,0,IF(K341=$K$51,0,1)))))))))))*AQ341*$BB$102)))</f>
        <v>0</v>
      </c>
      <c r="BC341" s="172">
        <f t="shared" si="70"/>
        <v>111.76462714442398</v>
      </c>
      <c r="BD341" s="172">
        <f t="shared" si="71"/>
        <v>515.83674066657215</v>
      </c>
      <c r="BE341" s="172">
        <f>IF($BE$95=I341,$BE$97,IF(I341=$BE$96,$BE$97,1))*($BE$102*AQ341)*$AZ$97</f>
        <v>0</v>
      </c>
      <c r="BF341" s="172">
        <f>IF('[1]Cockpit Retorno'!$C$65=Sim,Mestre!BA341,SUM(BB341:BE341)+(IF(K341=$K$56,AQ341*MOE_IRRF_LR,0)))</f>
        <v>627.60136781099618</v>
      </c>
      <c r="BG341" s="174">
        <f>IF(AA341&gt;0,0,IF(Z341=$Z$82,AG341*1,(IF(Z341=$Z$81,AG341*1,0))))</f>
        <v>0</v>
      </c>
      <c r="BH341" s="174">
        <f>IF(AA341&gt;0,0,IF(Z341=$Z$83,AG341*1,IF(Z341=$Z$81,AG341*1,0)))</f>
        <v>0</v>
      </c>
      <c r="BI341" s="174">
        <f>IF(AA341&gt;0,0,IF(Z341=$Z$84,AG341*1,IF(Z341=$Z$93,AG341*2,IF(Z341=$Z$100,AG341,IF(Z341=$Z$81,AG341*2,IF(Z341=$Z$80,AG341*1,IF(Z341=$Z$79,AG341*3,IF(Z341=$Z$78,AG341*2,0))))))))</f>
        <v>0</v>
      </c>
      <c r="BJ341" s="174">
        <f>IF(AA341&gt;0,0,IF(Z341=$Z$85,AG341,IF(Z341=$Z$93,AG341,IF(Z341=$Z$100,AG341,IF(Z341=$Z$81,AG341*1,IF(Z341=$Z$80,AG341*2,IF(Z341=$Z$79,AG341*2,IF(Z341=$Z$78,AG341*2,0))))))))</f>
        <v>0</v>
      </c>
      <c r="BK341" s="174">
        <f>IF(AA341&gt;0,0,IF(Z341=$Z$92,AG341,0))</f>
        <v>0</v>
      </c>
      <c r="BL341" s="174">
        <f>IF(AA341&gt;0,0,IF(Z341=$Z$91,AG341,0))</f>
        <v>0</v>
      </c>
      <c r="BM341" s="174">
        <f>IF(AA341&gt;0,0,IF(Z341=$Z$86,AG341,0))</f>
        <v>0</v>
      </c>
      <c r="BN341" s="174">
        <f>IF(AA341&gt;0,0,IF(Z341=$Z$87,AG341,0))</f>
        <v>0</v>
      </c>
      <c r="BO341" s="174">
        <f>IF(AA341&gt;0,0,IF(Z341=$Z$88,AG341,0))</f>
        <v>0</v>
      </c>
      <c r="BP341" s="174">
        <f>IF(AA341&gt;0,0,IF(Z341=$Z$89,AG341,0))</f>
        <v>0</v>
      </c>
      <c r="BQ341" s="174">
        <f>IF(AA341&gt;0,0,IF(Z341=$Z$90,AG341,0))</f>
        <v>0</v>
      </c>
      <c r="BR341" s="174">
        <f>IF(Z341=$Z$82,AA341*AG341,0)</f>
        <v>0</v>
      </c>
      <c r="BS341" s="174">
        <f>IF(Z341=$Z$83,AA341*AG341,0)</f>
        <v>0</v>
      </c>
      <c r="BT341" s="174">
        <f>IF(AA341&lt;1,0,IF(Z341=$Z$84,AA341*AG341,IF(Z341=$Z$93,"ERRO",IF(Z341=$Z$100,"ERRO",0))))</f>
        <v>0</v>
      </c>
      <c r="BU341" s="174">
        <f>IF(AA341&lt;1,0,IF(Z341=$Z$85,AA341*AG341,IF(Z341=$Z$93,"ERRO",IF(Z341=$Z$100,"ERRO",0))))</f>
        <v>0</v>
      </c>
      <c r="BV341" s="174">
        <f>IF(Z341=$Z$92,AA341*AG341,0)</f>
        <v>0</v>
      </c>
      <c r="BW341" s="174">
        <f>IF(Z341=$Z$91,AA341*AG341,0)</f>
        <v>0</v>
      </c>
      <c r="BX341" s="174">
        <f>IF(Z341=$Z$86,AA341*AG341,0)</f>
        <v>0</v>
      </c>
      <c r="BY341" s="174">
        <f>IF(Z341=$Z$87,AA341*AG341,0)</f>
        <v>0</v>
      </c>
      <c r="BZ341" s="174">
        <f>IF(Z341=$Z$88,AA341*AG341,0)</f>
        <v>0</v>
      </c>
      <c r="CA341" s="174">
        <f>IF(Z341=$Z$89,AA341*AG341,0)</f>
        <v>0</v>
      </c>
      <c r="CB341" s="174">
        <f>IF(Z341=$Z$90,AA341*AG341,0)</f>
        <v>0</v>
      </c>
      <c r="CC341" s="175">
        <f>IFERROR(IF(L341=$L$49,AG341*AH341*(1+AI341)*(1-AK341)*(1-AL341),0),0)</f>
        <v>0</v>
      </c>
      <c r="CD341" s="203">
        <f>IF(I341=$CD$97,1,IF(I341=$CD$100,2,IF(K341=$K$66,1,IF(K341=$K$69,1,3))))</f>
        <v>1</v>
      </c>
      <c r="CE341" s="203">
        <f t="shared" si="14"/>
        <v>1.07</v>
      </c>
      <c r="CF341" s="204">
        <f t="shared" si="54"/>
        <v>1.2353999999999998</v>
      </c>
      <c r="CG341" s="203">
        <f t="shared" si="15"/>
        <v>1.42</v>
      </c>
      <c r="CH341" s="204">
        <f t="shared" si="55"/>
        <v>1.5478000000000001</v>
      </c>
      <c r="CI341" s="203">
        <f t="shared" si="16"/>
        <v>1.7</v>
      </c>
      <c r="CJ341" s="205">
        <f t="shared" si="56"/>
        <v>1.0486</v>
      </c>
      <c r="CK341" s="205">
        <f t="shared" si="57"/>
        <v>1.148922</v>
      </c>
      <c r="CL341" s="205">
        <f t="shared" si="58"/>
        <v>1.3915999999999999</v>
      </c>
      <c r="CM341" s="205">
        <f t="shared" si="59"/>
        <v>1.501366</v>
      </c>
      <c r="CN341" s="206">
        <f t="shared" si="60"/>
        <v>1.6319999999999999</v>
      </c>
      <c r="CO341" s="204">
        <f t="shared" si="61"/>
        <v>1.006656</v>
      </c>
      <c r="CP341" s="207">
        <f t="shared" si="62"/>
        <v>-683.55211068900371</v>
      </c>
      <c r="CQ341" s="208">
        <f t="shared" si="63"/>
        <v>17878.110132908078</v>
      </c>
      <c r="CR341" s="209">
        <f t="shared" si="72"/>
        <v>627.60136781099618</v>
      </c>
      <c r="CS341" s="49"/>
      <c r="CT341" s="49"/>
      <c r="CU341" s="49"/>
      <c r="CV341" s="49"/>
      <c r="CW341" s="49"/>
      <c r="CX341" s="49"/>
      <c r="CY341" s="49"/>
      <c r="CZ341" s="49"/>
      <c r="DA341" s="49"/>
      <c r="DB341" s="49"/>
      <c r="DC341" s="49"/>
      <c r="DD341" s="49"/>
      <c r="DE341" s="49"/>
      <c r="DF341" s="49"/>
      <c r="DG341" s="49"/>
      <c r="DH341" s="49"/>
      <c r="DI341" s="49"/>
      <c r="DJ341" s="49"/>
      <c r="DK341" s="49"/>
      <c r="DL341" s="49"/>
      <c r="DM341" s="49"/>
      <c r="DN341" s="49"/>
      <c r="DO341" s="49"/>
      <c r="DP341" s="49"/>
      <c r="DQ341" s="49"/>
      <c r="DR341" s="49"/>
      <c r="DS341" s="49"/>
      <c r="DT341" s="49"/>
      <c r="DU341" s="49"/>
      <c r="DV341" s="49"/>
      <c r="DW341" s="49"/>
      <c r="DX341" s="49"/>
      <c r="DY341" s="49"/>
      <c r="DZ341" s="49"/>
      <c r="EA341" s="49"/>
      <c r="EB341" s="49"/>
      <c r="EC341" s="49"/>
      <c r="ED341" s="49"/>
      <c r="EE341" s="49"/>
      <c r="EF341" s="49"/>
      <c r="EG341" s="49"/>
      <c r="EH341" s="49"/>
      <c r="EI341" s="49"/>
      <c r="EJ341" s="49"/>
      <c r="EK341" s="49"/>
      <c r="EL341" s="49"/>
      <c r="EM341" s="49"/>
      <c r="EN341" s="49"/>
      <c r="EO341" s="49"/>
      <c r="EP341" s="49"/>
      <c r="EQ341" s="49"/>
      <c r="ER341" s="49"/>
      <c r="ES341" s="49"/>
      <c r="ET341" s="49"/>
      <c r="EU341" s="49"/>
      <c r="EV341" s="49"/>
      <c r="EW341" s="49"/>
      <c r="EX341" s="49"/>
      <c r="EY341" s="49"/>
      <c r="EZ341" s="49"/>
      <c r="FA341" s="49"/>
    </row>
    <row r="342" spans="1:157" s="210" customFormat="1" x14ac:dyDescent="0.25">
      <c r="A342" s="113">
        <f>IF(AND('[1]Cockpit Retorno'!$E$67=Sim,Mestre!M342=Mestre!$M$98),0,1)</f>
        <v>1</v>
      </c>
      <c r="B342" s="113">
        <f>IF(AND('[1]Cockpit Retorno'!$E$67=Sim,Mestre!L342=Mestre!$L$48),0,1)</f>
        <v>0</v>
      </c>
      <c r="C342" s="113">
        <f>IF(AND('[1]Cockpit Retorno'!$E$67=Sim,Mestre!M342=Mestre!$M$97),0,1)</f>
        <v>1</v>
      </c>
      <c r="D342" s="148" t="s">
        <v>7</v>
      </c>
      <c r="E342" s="115"/>
      <c r="F342" s="116" t="s">
        <v>107</v>
      </c>
      <c r="G342" s="149"/>
      <c r="H342" s="150" t="s">
        <v>7</v>
      </c>
      <c r="I342" s="151" t="str">
        <f t="shared" si="65"/>
        <v>Mercadorias</v>
      </c>
      <c r="J342" s="150" t="s">
        <v>15</v>
      </c>
      <c r="K342" s="152" t="s">
        <v>7</v>
      </c>
      <c r="L342" s="153" t="s">
        <v>15</v>
      </c>
      <c r="M342" s="154" t="s">
        <v>493</v>
      </c>
      <c r="N342" s="155" t="s">
        <v>494</v>
      </c>
      <c r="O342" s="155" t="s">
        <v>473</v>
      </c>
      <c r="P342" s="155" t="s">
        <v>43</v>
      </c>
      <c r="Q342" s="155" t="s">
        <v>43</v>
      </c>
      <c r="R342" s="155" t="s">
        <v>43</v>
      </c>
      <c r="S342" s="156" t="s">
        <v>43</v>
      </c>
      <c r="T342" s="156" t="s">
        <v>43</v>
      </c>
      <c r="U342" s="150" t="s">
        <v>43</v>
      </c>
      <c r="V342" s="150" t="s">
        <v>43</v>
      </c>
      <c r="W342" s="150" t="s">
        <v>43</v>
      </c>
      <c r="X342" s="157" t="s">
        <v>495</v>
      </c>
      <c r="Y342" s="150" t="s">
        <v>503</v>
      </c>
      <c r="Z342" s="150" t="s">
        <v>43</v>
      </c>
      <c r="AA342" s="158">
        <v>0</v>
      </c>
      <c r="AB342" s="155" t="s">
        <v>43</v>
      </c>
      <c r="AC342" s="150" t="s">
        <v>43</v>
      </c>
      <c r="AD342" s="155" t="s">
        <v>43</v>
      </c>
      <c r="AE342" s="155"/>
      <c r="AF342" s="150" t="s">
        <v>43</v>
      </c>
      <c r="AG342" s="159">
        <v>160</v>
      </c>
      <c r="AH342" s="159">
        <v>1.6926000000000001</v>
      </c>
      <c r="AI342" s="202">
        <v>0</v>
      </c>
      <c r="AJ342" s="161">
        <v>0.18</v>
      </c>
      <c r="AK342" s="162"/>
      <c r="AL342" s="163"/>
      <c r="AM342" s="164">
        <f>(((IF(L342=$L$101,1,IF(L342=$L$47,1,0))*(AH342*(1-AK342)))*AG342)*(1-AL342))</f>
        <v>270.81600000000003</v>
      </c>
      <c r="AN342" s="165">
        <f>IF(K342=$K$50,AM342,IF(K342=$K$53,AM342,IF(K342=$K$54,AM342,IF(K342=$K$55,AM342,IF(K342=$K$56,AM342,IF(K342=$K$57,AM342,IF(K342=$K$58,AM342,IF(K342=$K$65,AM342,IF(K342=$K$66,AM342,IF(K342=$K$67,AM342,IF(K342=$K$68,AM342,IF(K342=$K$69,AM342,IF(K342=$K$51,AM342,(AM342*(1+AI342)))))))))))))))</f>
        <v>270.81600000000003</v>
      </c>
      <c r="AO342" s="166">
        <v>1.4</v>
      </c>
      <c r="AP342" s="160">
        <f t="shared" si="66"/>
        <v>379.14240000000001</v>
      </c>
      <c r="AQ342" s="167">
        <f t="shared" si="74"/>
        <v>328.51373916744598</v>
      </c>
      <c r="AR342" s="160">
        <f t="shared" si="67"/>
        <v>379.14240000000001</v>
      </c>
      <c r="AS342" s="168">
        <f t="shared" si="68"/>
        <v>1.2612750638360886</v>
      </c>
      <c r="AT342" s="169" t="str">
        <f>K342</f>
        <v>MI</v>
      </c>
      <c r="AU342" s="169" t="str">
        <f>I342</f>
        <v>Mercadorias</v>
      </c>
      <c r="AV342" s="170"/>
      <c r="AW342" s="171">
        <f>IF(K342=$K$50,0,IF(K342=$K$53,0,IF(K342=$K$54,0,IF(K342=$K$55,0,IF(K342=$K$56,0,IF(K342=$K$57,0,IF(K342=$K$58,0,IF(K342=$K$65,0,IF(K342=$K$66,0,IF(K342=$K$67,0,IF(K342=$K$68,0,IF(K342=$K$69,0,IF(K342=$K$51,0,1))))))))))))*AM342*AI342)</f>
        <v>0</v>
      </c>
      <c r="AX342" s="172">
        <f>IF(K342=$K$50,0,IF(K342=$K$53,0,IF(K342=$K$54,0,IF(K342=$K$55,0,IF(K342=$K$56,0,IF(K342=$K$57,0,IF(K342=$K$58,0,IF(K342=$K$65,0,IF(K342=$K$66,0,IF(K342=$K$67,0,IF(K342=$K$68,0,IF(K342=$K$69,0,IF(K342=$K$51,0,1))))))))))))*AM342*AJ342*$AX$94)</f>
        <v>0</v>
      </c>
      <c r="AY342" s="172">
        <f>IF(K342=$K$53,0,IF(K342=$K$54,0,IF(K342=$K$55,0,IF(K342=$K$56,0,IF(K342=$K$58,0,IF(K342=$K$50,0,IF(K342=$K$65,0,IF(K342=$K$57,0,IF(K342=$K$51,0,AM342*$AY$102)))))))))</f>
        <v>4.4684640000000009</v>
      </c>
      <c r="AZ342" s="172">
        <f>IF(K342=$K$53,0,IF(K342=$K$54,0,IF(K342=$K$55,0,IF(K342=$K$56,0,IF(K342=$K$58,0,IF(K342=$K$50,0,IF(K342=$K$65,0,IF(K342=$K$57,0,IF(K342=$K$51,0,AM342*$AZ$102)))))))))</f>
        <v>20.582016000000003</v>
      </c>
      <c r="BA342" s="172">
        <f t="shared" si="69"/>
        <v>25.050480000000004</v>
      </c>
      <c r="BB342" s="173">
        <f>IF($BA$97=1,AQ342*$BB$102,IF(K342=$K$50,0,IF(K342=$K$53,0,IF(K342=$K$54,0,IF(K342=$K$55,0,IF(K342=$K$56,0,IF(K342=$K$57,0,IF(K342=$K$58,0,IF(K342=$K$65,0,IF(K342=$K$66,0,IF(K342=$K$67,0,IF(K342=$K$68,0,IF(K342=$K$69,0,IF(K342=$K$51,0,1)))))))))))*AQ342*$BB$102)))</f>
        <v>0</v>
      </c>
      <c r="BC342" s="172">
        <f t="shared" si="70"/>
        <v>2.135339304588399</v>
      </c>
      <c r="BD342" s="172">
        <f t="shared" si="71"/>
        <v>9.8554121750233783</v>
      </c>
      <c r="BE342" s="172">
        <f>IF($BE$95=I342,$BE$97,IF(I342=$BE$96,$BE$97,1))*($BE$102*AQ342)*$AZ$97</f>
        <v>0</v>
      </c>
      <c r="BF342" s="172">
        <f>IF('[1]Cockpit Retorno'!$C$65=Sim,Mestre!BA342,SUM(BB342:BE342)+(IF(K342=$K$56,AQ342*MOE_IRRF_LR,0)))</f>
        <v>11.990751479611777</v>
      </c>
      <c r="BG342" s="174">
        <f>IF(AA342&gt;0,0,IF(Z342=$Z$82,AG342*1,(IF(Z342=$Z$81,AG342*1,0))))</f>
        <v>0</v>
      </c>
      <c r="BH342" s="174">
        <f>IF(AA342&gt;0,0,IF(Z342=$Z$83,AG342*1,IF(Z342=$Z$81,AG342*1,0)))</f>
        <v>0</v>
      </c>
      <c r="BI342" s="174">
        <f>IF(AA342&gt;0,0,IF(Z342=$Z$84,AG342*1,IF(Z342=$Z$93,AG342*2,IF(Z342=$Z$100,AG342,IF(Z342=$Z$81,AG342*2,IF(Z342=$Z$80,AG342*1,IF(Z342=$Z$79,AG342*3,IF(Z342=$Z$78,AG342*2,0))))))))</f>
        <v>0</v>
      </c>
      <c r="BJ342" s="174">
        <f>IF(AA342&gt;0,0,IF(Z342=$Z$85,AG342,IF(Z342=$Z$93,AG342,IF(Z342=$Z$100,AG342,IF(Z342=$Z$81,AG342*1,IF(Z342=$Z$80,AG342*2,IF(Z342=$Z$79,AG342*2,IF(Z342=$Z$78,AG342*2,0))))))))</f>
        <v>0</v>
      </c>
      <c r="BK342" s="174">
        <f>IF(AA342&gt;0,0,IF(Z342=$Z$92,AG342,0))</f>
        <v>0</v>
      </c>
      <c r="BL342" s="174">
        <f>IF(AA342&gt;0,0,IF(Z342=$Z$91,AG342,0))</f>
        <v>0</v>
      </c>
      <c r="BM342" s="174">
        <f>IF(AA342&gt;0,0,IF(Z342=$Z$86,AG342,0))</f>
        <v>0</v>
      </c>
      <c r="BN342" s="174">
        <f>IF(AA342&gt;0,0,IF(Z342=$Z$87,AG342,0))</f>
        <v>0</v>
      </c>
      <c r="BO342" s="174">
        <f>IF(AA342&gt;0,0,IF(Z342=$Z$88,AG342,0))</f>
        <v>0</v>
      </c>
      <c r="BP342" s="174">
        <f>IF(AA342&gt;0,0,IF(Z342=$Z$89,AG342,0))</f>
        <v>0</v>
      </c>
      <c r="BQ342" s="174">
        <f>IF(AA342&gt;0,0,IF(Z342=$Z$90,AG342,0))</f>
        <v>0</v>
      </c>
      <c r="BR342" s="174">
        <f>IF(Z342=$Z$82,AA342*AG342,0)</f>
        <v>0</v>
      </c>
      <c r="BS342" s="174">
        <f>IF(Z342=$Z$83,AA342*AG342,0)</f>
        <v>0</v>
      </c>
      <c r="BT342" s="174">
        <f>IF(AA342&lt;1,0,IF(Z342=$Z$84,AA342*AG342,IF(Z342=$Z$93,"ERRO",IF(Z342=$Z$100,"ERRO",0))))</f>
        <v>0</v>
      </c>
      <c r="BU342" s="174">
        <f>IF(AA342&lt;1,0,IF(Z342=$Z$85,AA342*AG342,IF(Z342=$Z$93,"ERRO",IF(Z342=$Z$100,"ERRO",0))))</f>
        <v>0</v>
      </c>
      <c r="BV342" s="174">
        <f>IF(Z342=$Z$92,AA342*AG342,0)</f>
        <v>0</v>
      </c>
      <c r="BW342" s="174">
        <f>IF(Z342=$Z$91,AA342*AG342,0)</f>
        <v>0</v>
      </c>
      <c r="BX342" s="174">
        <f>IF(Z342=$Z$86,AA342*AG342,0)</f>
        <v>0</v>
      </c>
      <c r="BY342" s="174">
        <f>IF(Z342=$Z$87,AA342*AG342,0)</f>
        <v>0</v>
      </c>
      <c r="BZ342" s="174">
        <f>IF(Z342=$Z$88,AA342*AG342,0)</f>
        <v>0</v>
      </c>
      <c r="CA342" s="174">
        <f>IF(Z342=$Z$89,AA342*AG342,0)</f>
        <v>0</v>
      </c>
      <c r="CB342" s="174">
        <f>IF(Z342=$Z$90,AA342*AG342,0)</f>
        <v>0</v>
      </c>
      <c r="CC342" s="175">
        <f>IFERROR(IF(L342=$L$49,AG342*AH342*(1+AI342)*(1-AK342)*(1-AL342),0),0)</f>
        <v>0</v>
      </c>
      <c r="CD342" s="203">
        <f>IF(I342=$CD$97,1,IF(I342=$CD$100,2,IF(K342=$K$66,1,IF(K342=$K$69,1,3))))</f>
        <v>1</v>
      </c>
      <c r="CE342" s="203">
        <f t="shared" si="14"/>
        <v>1.07</v>
      </c>
      <c r="CF342" s="204">
        <f t="shared" ref="CF342:CF405" si="75">CG342*0.87</f>
        <v>1.2353999999999998</v>
      </c>
      <c r="CG342" s="203">
        <f t="shared" si="15"/>
        <v>1.42</v>
      </c>
      <c r="CH342" s="204">
        <f t="shared" ref="CH342:CH405" si="76">CG342*1.09</f>
        <v>1.5478000000000001</v>
      </c>
      <c r="CI342" s="203">
        <f t="shared" si="16"/>
        <v>1.7</v>
      </c>
      <c r="CJ342" s="205">
        <f t="shared" ref="CJ342:CJ405" si="77">CE342*$CJ$102</f>
        <v>1.0486</v>
      </c>
      <c r="CK342" s="205">
        <f t="shared" ref="CK342:CK405" si="78">CF342*$CK$102</f>
        <v>1.148922</v>
      </c>
      <c r="CL342" s="205">
        <f t="shared" ref="CL342:CL405" si="79">CG342*$CL$102</f>
        <v>1.3915999999999999</v>
      </c>
      <c r="CM342" s="205">
        <f t="shared" ref="CM342:CM405" si="80">CH342*$CM$102</f>
        <v>1.501366</v>
      </c>
      <c r="CN342" s="206">
        <f t="shared" ref="CN342:CN405" si="81">CI342*$CN$102</f>
        <v>1.6319999999999999</v>
      </c>
      <c r="CO342" s="204">
        <f t="shared" ref="CO342:CO405" si="82">CJ342*$CO$102</f>
        <v>1.006656</v>
      </c>
      <c r="CP342" s="207">
        <f t="shared" ref="CP342:CP405" si="83">BF342-BA342</f>
        <v>-13.059728520388227</v>
      </c>
      <c r="CQ342" s="208">
        <f t="shared" ref="CQ342:CQ405" si="84">AQ342-CP342</f>
        <v>341.57346768783418</v>
      </c>
      <c r="CR342" s="209">
        <f t="shared" si="72"/>
        <v>11.990751479611777</v>
      </c>
      <c r="CS342" s="49"/>
      <c r="CT342" s="49"/>
      <c r="CU342" s="49"/>
      <c r="CV342" s="49"/>
      <c r="CW342" s="49"/>
      <c r="CX342" s="49"/>
      <c r="CY342" s="49"/>
      <c r="CZ342" s="49"/>
      <c r="DA342" s="49"/>
      <c r="DB342" s="49"/>
      <c r="DC342" s="49"/>
      <c r="DD342" s="49"/>
      <c r="DE342" s="49"/>
      <c r="DF342" s="49"/>
      <c r="DG342" s="49"/>
      <c r="DH342" s="49"/>
      <c r="DI342" s="49"/>
      <c r="DJ342" s="49"/>
      <c r="DK342" s="49"/>
      <c r="DL342" s="49"/>
      <c r="DM342" s="49"/>
      <c r="DN342" s="49"/>
      <c r="DO342" s="49"/>
      <c r="DP342" s="49"/>
      <c r="DQ342" s="49"/>
      <c r="DR342" s="49"/>
      <c r="DS342" s="49"/>
      <c r="DT342" s="49"/>
      <c r="DU342" s="49"/>
      <c r="DV342" s="49"/>
      <c r="DW342" s="49"/>
      <c r="DX342" s="49"/>
      <c r="DY342" s="49"/>
      <c r="DZ342" s="49"/>
      <c r="EA342" s="49"/>
      <c r="EB342" s="49"/>
      <c r="EC342" s="49"/>
      <c r="ED342" s="49"/>
      <c r="EE342" s="49"/>
      <c r="EF342" s="49"/>
      <c r="EG342" s="49"/>
      <c r="EH342" s="49"/>
      <c r="EI342" s="49"/>
      <c r="EJ342" s="49"/>
      <c r="EK342" s="49"/>
      <c r="EL342" s="49"/>
      <c r="EM342" s="49"/>
      <c r="EN342" s="49"/>
      <c r="EO342" s="49"/>
      <c r="EP342" s="49"/>
      <c r="EQ342" s="49"/>
      <c r="ER342" s="49"/>
      <c r="ES342" s="49"/>
      <c r="ET342" s="49"/>
      <c r="EU342" s="49"/>
      <c r="EV342" s="49"/>
      <c r="EW342" s="49"/>
      <c r="EX342" s="49"/>
      <c r="EY342" s="49"/>
      <c r="EZ342" s="49"/>
      <c r="FA342" s="49"/>
    </row>
    <row r="343" spans="1:157" s="210" customFormat="1" x14ac:dyDescent="0.25">
      <c r="A343" s="113">
        <f>IF(AND('[1]Cockpit Retorno'!$E$67=Sim,Mestre!M343=Mestre!$M$98),0,1)</f>
        <v>1</v>
      </c>
      <c r="B343" s="113">
        <f>IF(AND('[1]Cockpit Retorno'!$E$67=Sim,Mestre!L343=Mestre!$L$48),0,1)</f>
        <v>0</v>
      </c>
      <c r="C343" s="113">
        <f>IF(AND('[1]Cockpit Retorno'!$E$67=Sim,Mestre!M343=Mestre!$M$97),0,1)</f>
        <v>1</v>
      </c>
      <c r="D343" s="148" t="s">
        <v>7</v>
      </c>
      <c r="E343" s="115"/>
      <c r="F343" s="116" t="s">
        <v>107</v>
      </c>
      <c r="G343" s="149"/>
      <c r="H343" s="150" t="s">
        <v>7</v>
      </c>
      <c r="I343" s="151" t="str">
        <f t="shared" si="65"/>
        <v>Mercadorias</v>
      </c>
      <c r="J343" s="150" t="s">
        <v>15</v>
      </c>
      <c r="K343" s="152" t="s">
        <v>7</v>
      </c>
      <c r="L343" s="153" t="s">
        <v>15</v>
      </c>
      <c r="M343" s="154" t="s">
        <v>493</v>
      </c>
      <c r="N343" s="155" t="s">
        <v>494</v>
      </c>
      <c r="O343" s="155" t="s">
        <v>473</v>
      </c>
      <c r="P343" s="155" t="s">
        <v>43</v>
      </c>
      <c r="Q343" s="155" t="s">
        <v>43</v>
      </c>
      <c r="R343" s="155" t="s">
        <v>43</v>
      </c>
      <c r="S343" s="156" t="s">
        <v>43</v>
      </c>
      <c r="T343" s="156" t="s">
        <v>43</v>
      </c>
      <c r="U343" s="150" t="s">
        <v>43</v>
      </c>
      <c r="V343" s="150" t="s">
        <v>43</v>
      </c>
      <c r="W343" s="150" t="s">
        <v>43</v>
      </c>
      <c r="X343" s="157" t="s">
        <v>495</v>
      </c>
      <c r="Y343" s="150" t="s">
        <v>504</v>
      </c>
      <c r="Z343" s="150" t="s">
        <v>43</v>
      </c>
      <c r="AA343" s="158">
        <v>0</v>
      </c>
      <c r="AB343" s="155" t="s">
        <v>43</v>
      </c>
      <c r="AC343" s="150" t="s">
        <v>43</v>
      </c>
      <c r="AD343" s="155" t="s">
        <v>43</v>
      </c>
      <c r="AE343" s="155"/>
      <c r="AF343" s="150" t="s">
        <v>43</v>
      </c>
      <c r="AG343" s="159">
        <v>70</v>
      </c>
      <c r="AH343" s="159">
        <v>2.2320000000000002</v>
      </c>
      <c r="AI343" s="202">
        <v>0</v>
      </c>
      <c r="AJ343" s="161">
        <v>0.18</v>
      </c>
      <c r="AK343" s="162"/>
      <c r="AL343" s="163"/>
      <c r="AM343" s="164">
        <f>(((IF(L343=$L$101,1,IF(L343=$L$47,1,0))*(AH343*(1-AK343)))*AG343)*(1-AL343))</f>
        <v>156.24</v>
      </c>
      <c r="AN343" s="165">
        <f>IF(K343=$K$50,AM343,IF(K343=$K$53,AM343,IF(K343=$K$54,AM343,IF(K343=$K$55,AM343,IF(K343=$K$56,AM343,IF(K343=$K$57,AM343,IF(K343=$K$58,AM343,IF(K343=$K$65,AM343,IF(K343=$K$66,AM343,IF(K343=$K$67,AM343,IF(K343=$K$68,AM343,IF(K343=$K$69,AM343,IF(K343=$K$51,AM343,(AM343*(1+AI343)))))))))))))))</f>
        <v>156.24</v>
      </c>
      <c r="AO343" s="166">
        <v>1.4</v>
      </c>
      <c r="AP343" s="160">
        <f t="shared" si="66"/>
        <v>218.73599999999999</v>
      </c>
      <c r="AQ343" s="167">
        <f t="shared" si="74"/>
        <v>189.52715721198805</v>
      </c>
      <c r="AR343" s="160">
        <f t="shared" si="67"/>
        <v>218.73599999999999</v>
      </c>
      <c r="AS343" s="168">
        <f t="shared" si="68"/>
        <v>1.2612750638360886</v>
      </c>
      <c r="AT343" s="169" t="str">
        <f>K343</f>
        <v>MI</v>
      </c>
      <c r="AU343" s="169" t="str">
        <f>I343</f>
        <v>Mercadorias</v>
      </c>
      <c r="AV343" s="170"/>
      <c r="AW343" s="171">
        <f>IF(K343=$K$50,0,IF(K343=$K$53,0,IF(K343=$K$54,0,IF(K343=$K$55,0,IF(K343=$K$56,0,IF(K343=$K$57,0,IF(K343=$K$58,0,IF(K343=$K$65,0,IF(K343=$K$66,0,IF(K343=$K$67,0,IF(K343=$K$68,0,IF(K343=$K$69,0,IF(K343=$K$51,0,1))))))))))))*AM343*AI343)</f>
        <v>0</v>
      </c>
      <c r="AX343" s="172">
        <f>IF(K343=$K$50,0,IF(K343=$K$53,0,IF(K343=$K$54,0,IF(K343=$K$55,0,IF(K343=$K$56,0,IF(K343=$K$57,0,IF(K343=$K$58,0,IF(K343=$K$65,0,IF(K343=$K$66,0,IF(K343=$K$67,0,IF(K343=$K$68,0,IF(K343=$K$69,0,IF(K343=$K$51,0,1))))))))))))*AM343*AJ343*$AX$94)</f>
        <v>0</v>
      </c>
      <c r="AY343" s="172">
        <f>IF(K343=$K$53,0,IF(K343=$K$54,0,IF(K343=$K$55,0,IF(K343=$K$56,0,IF(K343=$K$58,0,IF(K343=$K$50,0,IF(K343=$K$65,0,IF(K343=$K$57,0,IF(K343=$K$51,0,AM343*$AY$102)))))))))</f>
        <v>2.5779600000000005</v>
      </c>
      <c r="AZ343" s="172">
        <f>IF(K343=$K$53,0,IF(K343=$K$54,0,IF(K343=$K$55,0,IF(K343=$K$56,0,IF(K343=$K$58,0,IF(K343=$K$50,0,IF(K343=$K$65,0,IF(K343=$K$57,0,IF(K343=$K$51,0,AM343*$AZ$102)))))))))</f>
        <v>11.87424</v>
      </c>
      <c r="BA343" s="172">
        <f t="shared" si="69"/>
        <v>14.452200000000001</v>
      </c>
      <c r="BB343" s="173">
        <f>IF($BA$97=1,AQ343*$BB$102,IF(K343=$K$50,0,IF(K343=$K$53,0,IF(K343=$K$54,0,IF(K343=$K$55,0,IF(K343=$K$56,0,IF(K343=$K$57,0,IF(K343=$K$58,0,IF(K343=$K$65,0,IF(K343=$K$66,0,IF(K343=$K$67,0,IF(K343=$K$68,0,IF(K343=$K$69,0,IF(K343=$K$51,0,1)))))))))))*AQ343*$BB$102)))</f>
        <v>0</v>
      </c>
      <c r="BC343" s="172">
        <f t="shared" si="70"/>
        <v>1.2319265218779225</v>
      </c>
      <c r="BD343" s="172">
        <f t="shared" si="71"/>
        <v>5.6858147163596415</v>
      </c>
      <c r="BE343" s="172">
        <f>IF($BE$95=I343,$BE$97,IF(I343=$BE$96,$BE$97,1))*($BE$102*AQ343)*$AZ$97</f>
        <v>0</v>
      </c>
      <c r="BF343" s="172">
        <f>IF('[1]Cockpit Retorno'!$C$65=Sim,Mestre!BA343,SUM(BB343:BE343)+(IF(K343=$K$56,AQ343*MOE_IRRF_LR,0)))</f>
        <v>6.9177412382375643</v>
      </c>
      <c r="BG343" s="174">
        <f>IF(AA343&gt;0,0,IF(Z343=$Z$82,AG343*1,(IF(Z343=$Z$81,AG343*1,0))))</f>
        <v>0</v>
      </c>
      <c r="BH343" s="174">
        <f>IF(AA343&gt;0,0,IF(Z343=$Z$83,AG343*1,IF(Z343=$Z$81,AG343*1,0)))</f>
        <v>0</v>
      </c>
      <c r="BI343" s="174">
        <f>IF(AA343&gt;0,0,IF(Z343=$Z$84,AG343*1,IF(Z343=$Z$93,AG343*2,IF(Z343=$Z$100,AG343,IF(Z343=$Z$81,AG343*2,IF(Z343=$Z$80,AG343*1,IF(Z343=$Z$79,AG343*3,IF(Z343=$Z$78,AG343*2,0))))))))</f>
        <v>0</v>
      </c>
      <c r="BJ343" s="174">
        <f>IF(AA343&gt;0,0,IF(Z343=$Z$85,AG343,IF(Z343=$Z$93,AG343,IF(Z343=$Z$100,AG343,IF(Z343=$Z$81,AG343*1,IF(Z343=$Z$80,AG343*2,IF(Z343=$Z$79,AG343*2,IF(Z343=$Z$78,AG343*2,0))))))))</f>
        <v>0</v>
      </c>
      <c r="BK343" s="174">
        <f>IF(AA343&gt;0,0,IF(Z343=$Z$92,AG343,0))</f>
        <v>0</v>
      </c>
      <c r="BL343" s="174">
        <f>IF(AA343&gt;0,0,IF(Z343=$Z$91,AG343,0))</f>
        <v>0</v>
      </c>
      <c r="BM343" s="174">
        <f>IF(AA343&gt;0,0,IF(Z343=$Z$86,AG343,0))</f>
        <v>0</v>
      </c>
      <c r="BN343" s="174">
        <f>IF(AA343&gt;0,0,IF(Z343=$Z$87,AG343,0))</f>
        <v>0</v>
      </c>
      <c r="BO343" s="174">
        <f>IF(AA343&gt;0,0,IF(Z343=$Z$88,AG343,0))</f>
        <v>0</v>
      </c>
      <c r="BP343" s="174">
        <f>IF(AA343&gt;0,0,IF(Z343=$Z$89,AG343,0))</f>
        <v>0</v>
      </c>
      <c r="BQ343" s="174">
        <f>IF(AA343&gt;0,0,IF(Z343=$Z$90,AG343,0))</f>
        <v>0</v>
      </c>
      <c r="BR343" s="174">
        <f>IF(Z343=$Z$82,AA343*AG343,0)</f>
        <v>0</v>
      </c>
      <c r="BS343" s="174">
        <f>IF(Z343=$Z$83,AA343*AG343,0)</f>
        <v>0</v>
      </c>
      <c r="BT343" s="174">
        <f>IF(AA343&lt;1,0,IF(Z343=$Z$84,AA343*AG343,IF(Z343=$Z$93,"ERRO",IF(Z343=$Z$100,"ERRO",0))))</f>
        <v>0</v>
      </c>
      <c r="BU343" s="174">
        <f>IF(AA343&lt;1,0,IF(Z343=$Z$85,AA343*AG343,IF(Z343=$Z$93,"ERRO",IF(Z343=$Z$100,"ERRO",0))))</f>
        <v>0</v>
      </c>
      <c r="BV343" s="174">
        <f>IF(Z343=$Z$92,AA343*AG343,0)</f>
        <v>0</v>
      </c>
      <c r="BW343" s="174">
        <f>IF(Z343=$Z$91,AA343*AG343,0)</f>
        <v>0</v>
      </c>
      <c r="BX343" s="174">
        <f>IF(Z343=$Z$86,AA343*AG343,0)</f>
        <v>0</v>
      </c>
      <c r="BY343" s="174">
        <f>IF(Z343=$Z$87,AA343*AG343,0)</f>
        <v>0</v>
      </c>
      <c r="BZ343" s="174">
        <f>IF(Z343=$Z$88,AA343*AG343,0)</f>
        <v>0</v>
      </c>
      <c r="CA343" s="174">
        <f>IF(Z343=$Z$89,AA343*AG343,0)</f>
        <v>0</v>
      </c>
      <c r="CB343" s="174">
        <f>IF(Z343=$Z$90,AA343*AG343,0)</f>
        <v>0</v>
      </c>
      <c r="CC343" s="175">
        <f>IFERROR(IF(L343=$L$49,AG343*AH343*(1+AI343)*(1-AK343)*(1-AL343),0),0)</f>
        <v>0</v>
      </c>
      <c r="CD343" s="203">
        <f>IF(I343=$CD$97,1,IF(I343=$CD$100,2,IF(K343=$K$66,1,IF(K343=$K$69,1,3))))</f>
        <v>1</v>
      </c>
      <c r="CE343" s="203">
        <f t="shared" si="14"/>
        <v>1.07</v>
      </c>
      <c r="CF343" s="204">
        <f t="shared" si="75"/>
        <v>1.2353999999999998</v>
      </c>
      <c r="CG343" s="203">
        <f t="shared" si="15"/>
        <v>1.42</v>
      </c>
      <c r="CH343" s="204">
        <f t="shared" si="76"/>
        <v>1.5478000000000001</v>
      </c>
      <c r="CI343" s="203">
        <f t="shared" si="16"/>
        <v>1.7</v>
      </c>
      <c r="CJ343" s="205">
        <f t="shared" si="77"/>
        <v>1.0486</v>
      </c>
      <c r="CK343" s="205">
        <f t="shared" si="78"/>
        <v>1.148922</v>
      </c>
      <c r="CL343" s="205">
        <f t="shared" si="79"/>
        <v>1.3915999999999999</v>
      </c>
      <c r="CM343" s="205">
        <f t="shared" si="80"/>
        <v>1.501366</v>
      </c>
      <c r="CN343" s="206">
        <f t="shared" si="81"/>
        <v>1.6319999999999999</v>
      </c>
      <c r="CO343" s="204">
        <f t="shared" si="82"/>
        <v>1.006656</v>
      </c>
      <c r="CP343" s="207">
        <f t="shared" si="83"/>
        <v>-7.534458761762437</v>
      </c>
      <c r="CQ343" s="208">
        <f t="shared" si="84"/>
        <v>197.06161597375049</v>
      </c>
      <c r="CR343" s="209">
        <f t="shared" si="72"/>
        <v>6.9177412382375643</v>
      </c>
      <c r="CS343" s="49"/>
      <c r="CT343" s="49"/>
      <c r="CU343" s="49"/>
      <c r="CV343" s="49"/>
      <c r="CW343" s="49"/>
      <c r="CX343" s="49"/>
      <c r="CY343" s="49"/>
      <c r="CZ343" s="49"/>
      <c r="DA343" s="49"/>
      <c r="DB343" s="49"/>
      <c r="DC343" s="49"/>
      <c r="DD343" s="49"/>
      <c r="DE343" s="49"/>
      <c r="DF343" s="49"/>
      <c r="DG343" s="49"/>
      <c r="DH343" s="49"/>
      <c r="DI343" s="49"/>
      <c r="DJ343" s="49"/>
      <c r="DK343" s="49"/>
      <c r="DL343" s="49"/>
      <c r="DM343" s="49"/>
      <c r="DN343" s="49"/>
      <c r="DO343" s="49"/>
      <c r="DP343" s="49"/>
      <c r="DQ343" s="49"/>
      <c r="DR343" s="49"/>
      <c r="DS343" s="49"/>
      <c r="DT343" s="49"/>
      <c r="DU343" s="49"/>
      <c r="DV343" s="49"/>
      <c r="DW343" s="49"/>
      <c r="DX343" s="49"/>
      <c r="DY343" s="49"/>
      <c r="DZ343" s="49"/>
      <c r="EA343" s="49"/>
      <c r="EB343" s="49"/>
      <c r="EC343" s="49"/>
      <c r="ED343" s="49"/>
      <c r="EE343" s="49"/>
      <c r="EF343" s="49"/>
      <c r="EG343" s="49"/>
      <c r="EH343" s="49"/>
      <c r="EI343" s="49"/>
      <c r="EJ343" s="49"/>
      <c r="EK343" s="49"/>
      <c r="EL343" s="49"/>
      <c r="EM343" s="49"/>
      <c r="EN343" s="49"/>
      <c r="EO343" s="49"/>
      <c r="EP343" s="49"/>
      <c r="EQ343" s="49"/>
      <c r="ER343" s="49"/>
      <c r="ES343" s="49"/>
      <c r="ET343" s="49"/>
      <c r="EU343" s="49"/>
      <c r="EV343" s="49"/>
      <c r="EW343" s="49"/>
      <c r="EX343" s="49"/>
      <c r="EY343" s="49"/>
      <c r="EZ343" s="49"/>
      <c r="FA343" s="49"/>
    </row>
    <row r="344" spans="1:157" s="210" customFormat="1" x14ac:dyDescent="0.25">
      <c r="A344" s="113">
        <f>IF(AND('[1]Cockpit Retorno'!$E$67=Sim,Mestre!M344=Mestre!$M$98),0,1)</f>
        <v>1</v>
      </c>
      <c r="B344" s="113">
        <f>IF(AND('[1]Cockpit Retorno'!$E$67=Sim,Mestre!L344=Mestre!$L$48),0,1)</f>
        <v>0</v>
      </c>
      <c r="C344" s="113">
        <f>IF(AND('[1]Cockpit Retorno'!$E$67=Sim,Mestre!M344=Mestre!$M$97),0,1)</f>
        <v>1</v>
      </c>
      <c r="D344" s="148" t="s">
        <v>7</v>
      </c>
      <c r="E344" s="115"/>
      <c r="F344" s="116" t="s">
        <v>107</v>
      </c>
      <c r="G344" s="149"/>
      <c r="H344" s="150" t="s">
        <v>7</v>
      </c>
      <c r="I344" s="151" t="str">
        <f t="shared" si="65"/>
        <v>Mercadorias</v>
      </c>
      <c r="J344" s="150" t="s">
        <v>15</v>
      </c>
      <c r="K344" s="152" t="s">
        <v>7</v>
      </c>
      <c r="L344" s="153" t="s">
        <v>15</v>
      </c>
      <c r="M344" s="154" t="s">
        <v>493</v>
      </c>
      <c r="N344" s="155" t="s">
        <v>494</v>
      </c>
      <c r="O344" s="155" t="s">
        <v>473</v>
      </c>
      <c r="P344" s="155" t="s">
        <v>43</v>
      </c>
      <c r="Q344" s="155" t="s">
        <v>43</v>
      </c>
      <c r="R344" s="155" t="s">
        <v>43</v>
      </c>
      <c r="S344" s="156" t="s">
        <v>43</v>
      </c>
      <c r="T344" s="156" t="s">
        <v>43</v>
      </c>
      <c r="U344" s="150" t="s">
        <v>43</v>
      </c>
      <c r="V344" s="150" t="s">
        <v>43</v>
      </c>
      <c r="W344" s="150" t="s">
        <v>43</v>
      </c>
      <c r="X344" s="157" t="s">
        <v>495</v>
      </c>
      <c r="Y344" s="150" t="s">
        <v>505</v>
      </c>
      <c r="Z344" s="150" t="s">
        <v>43</v>
      </c>
      <c r="AA344" s="158">
        <v>0</v>
      </c>
      <c r="AB344" s="155" t="s">
        <v>43</v>
      </c>
      <c r="AC344" s="150" t="s">
        <v>43</v>
      </c>
      <c r="AD344" s="155" t="s">
        <v>43</v>
      </c>
      <c r="AE344" s="155"/>
      <c r="AF344" s="150" t="s">
        <v>43</v>
      </c>
      <c r="AG344" s="159">
        <v>46</v>
      </c>
      <c r="AH344" s="159">
        <v>3.6363000000000003</v>
      </c>
      <c r="AI344" s="202">
        <v>0</v>
      </c>
      <c r="AJ344" s="161">
        <v>0.18</v>
      </c>
      <c r="AK344" s="162"/>
      <c r="AL344" s="163"/>
      <c r="AM344" s="164">
        <f>(((IF(L344=$L$101,1,IF(L344=$L$47,1,0))*(AH344*(1-AK344)))*AG344)*(1-AL344))</f>
        <v>167.2698</v>
      </c>
      <c r="AN344" s="165">
        <f>IF(K344=$K$50,AM344,IF(K344=$K$53,AM344,IF(K344=$K$54,AM344,IF(K344=$K$55,AM344,IF(K344=$K$56,AM344,IF(K344=$K$57,AM344,IF(K344=$K$58,AM344,IF(K344=$K$65,AM344,IF(K344=$K$66,AM344,IF(K344=$K$67,AM344,IF(K344=$K$68,AM344,IF(K344=$K$69,AM344,IF(K344=$K$51,AM344,(AM344*(1+AI344)))))))))))))))</f>
        <v>167.2698</v>
      </c>
      <c r="AO344" s="166">
        <v>1.4</v>
      </c>
      <c r="AP344" s="160">
        <f t="shared" si="66"/>
        <v>234.17771999999999</v>
      </c>
      <c r="AQ344" s="167">
        <f t="shared" si="74"/>
        <v>202.90687200088198</v>
      </c>
      <c r="AR344" s="160">
        <f t="shared" si="67"/>
        <v>234.17771999999999</v>
      </c>
      <c r="AS344" s="168">
        <f t="shared" si="68"/>
        <v>1.2612750638360886</v>
      </c>
      <c r="AT344" s="169" t="str">
        <f>K344</f>
        <v>MI</v>
      </c>
      <c r="AU344" s="169" t="str">
        <f>I344</f>
        <v>Mercadorias</v>
      </c>
      <c r="AV344" s="170"/>
      <c r="AW344" s="171">
        <f>IF(K344=$K$50,0,IF(K344=$K$53,0,IF(K344=$K$54,0,IF(K344=$K$55,0,IF(K344=$K$56,0,IF(K344=$K$57,0,IF(K344=$K$58,0,IF(K344=$K$65,0,IF(K344=$K$66,0,IF(K344=$K$67,0,IF(K344=$K$68,0,IF(K344=$K$69,0,IF(K344=$K$51,0,1))))))))))))*AM344*AI344)</f>
        <v>0</v>
      </c>
      <c r="AX344" s="172">
        <f>IF(K344=$K$50,0,IF(K344=$K$53,0,IF(K344=$K$54,0,IF(K344=$K$55,0,IF(K344=$K$56,0,IF(K344=$K$57,0,IF(K344=$K$58,0,IF(K344=$K$65,0,IF(K344=$K$66,0,IF(K344=$K$67,0,IF(K344=$K$68,0,IF(K344=$K$69,0,IF(K344=$K$51,0,1))))))))))))*AM344*AJ344*$AX$94)</f>
        <v>0</v>
      </c>
      <c r="AY344" s="172">
        <f>IF(K344=$K$53,0,IF(K344=$K$54,0,IF(K344=$K$55,0,IF(K344=$K$56,0,IF(K344=$K$58,0,IF(K344=$K$50,0,IF(K344=$K$65,0,IF(K344=$K$57,0,IF(K344=$K$51,0,AM344*$AY$102)))))))))</f>
        <v>2.7599517000000002</v>
      </c>
      <c r="AZ344" s="172">
        <f>IF(K344=$K$53,0,IF(K344=$K$54,0,IF(K344=$K$55,0,IF(K344=$K$56,0,IF(K344=$K$58,0,IF(K344=$K$50,0,IF(K344=$K$65,0,IF(K344=$K$57,0,IF(K344=$K$51,0,AM344*$AZ$102)))))))))</f>
        <v>12.7125048</v>
      </c>
      <c r="BA344" s="172">
        <f t="shared" si="69"/>
        <v>15.4724565</v>
      </c>
      <c r="BB344" s="173">
        <f>IF($BA$97=1,AQ344*$BB$102,IF(K344=$K$50,0,IF(K344=$K$53,0,IF(K344=$K$54,0,IF(K344=$K$55,0,IF(K344=$K$56,0,IF(K344=$K$57,0,IF(K344=$K$58,0,IF(K344=$K$65,0,IF(K344=$K$66,0,IF(K344=$K$67,0,IF(K344=$K$68,0,IF(K344=$K$69,0,IF(K344=$K$51,0,1)))))))))))*AQ344*$BB$102)))</f>
        <v>0</v>
      </c>
      <c r="BC344" s="172">
        <f t="shared" si="70"/>
        <v>1.318894668005733</v>
      </c>
      <c r="BD344" s="172">
        <f t="shared" si="71"/>
        <v>6.0872061600264589</v>
      </c>
      <c r="BE344" s="172">
        <f>IF($BE$95=I344,$BE$97,IF(I344=$BE$96,$BE$97,1))*($BE$102*AQ344)*$AZ$97</f>
        <v>0</v>
      </c>
      <c r="BF344" s="172">
        <f>IF('[1]Cockpit Retorno'!$C$65=Sim,Mestre!BA344,SUM(BB344:BE344)+(IF(K344=$K$56,AQ344*MOE_IRRF_LR,0)))</f>
        <v>7.4061008280321916</v>
      </c>
      <c r="BG344" s="174">
        <f>IF(AA344&gt;0,0,IF(Z344=$Z$82,AG344*1,(IF(Z344=$Z$81,AG344*1,0))))</f>
        <v>0</v>
      </c>
      <c r="BH344" s="174">
        <f>IF(AA344&gt;0,0,IF(Z344=$Z$83,AG344*1,IF(Z344=$Z$81,AG344*1,0)))</f>
        <v>0</v>
      </c>
      <c r="BI344" s="174">
        <f>IF(AA344&gt;0,0,IF(Z344=$Z$84,AG344*1,IF(Z344=$Z$93,AG344*2,IF(Z344=$Z$100,AG344,IF(Z344=$Z$81,AG344*2,IF(Z344=$Z$80,AG344*1,IF(Z344=$Z$79,AG344*3,IF(Z344=$Z$78,AG344*2,0))))))))</f>
        <v>0</v>
      </c>
      <c r="BJ344" s="174">
        <f>IF(AA344&gt;0,0,IF(Z344=$Z$85,AG344,IF(Z344=$Z$93,AG344,IF(Z344=$Z$100,AG344,IF(Z344=$Z$81,AG344*1,IF(Z344=$Z$80,AG344*2,IF(Z344=$Z$79,AG344*2,IF(Z344=$Z$78,AG344*2,0))))))))</f>
        <v>0</v>
      </c>
      <c r="BK344" s="174">
        <f>IF(AA344&gt;0,0,IF(Z344=$Z$92,AG344,0))</f>
        <v>0</v>
      </c>
      <c r="BL344" s="174">
        <f>IF(AA344&gt;0,0,IF(Z344=$Z$91,AG344,0))</f>
        <v>0</v>
      </c>
      <c r="BM344" s="174">
        <f>IF(AA344&gt;0,0,IF(Z344=$Z$86,AG344,0))</f>
        <v>0</v>
      </c>
      <c r="BN344" s="174">
        <f>IF(AA344&gt;0,0,IF(Z344=$Z$87,AG344,0))</f>
        <v>0</v>
      </c>
      <c r="BO344" s="174">
        <f>IF(AA344&gt;0,0,IF(Z344=$Z$88,AG344,0))</f>
        <v>0</v>
      </c>
      <c r="BP344" s="174">
        <f>IF(AA344&gt;0,0,IF(Z344=$Z$89,AG344,0))</f>
        <v>0</v>
      </c>
      <c r="BQ344" s="174">
        <f>IF(AA344&gt;0,0,IF(Z344=$Z$90,AG344,0))</f>
        <v>0</v>
      </c>
      <c r="BR344" s="174">
        <f>IF(Z344=$Z$82,AA344*AG344,0)</f>
        <v>0</v>
      </c>
      <c r="BS344" s="174">
        <f>IF(Z344=$Z$83,AA344*AG344,0)</f>
        <v>0</v>
      </c>
      <c r="BT344" s="174">
        <f>IF(AA344&lt;1,0,IF(Z344=$Z$84,AA344*AG344,IF(Z344=$Z$93,"ERRO",IF(Z344=$Z$100,"ERRO",0))))</f>
        <v>0</v>
      </c>
      <c r="BU344" s="174">
        <f>IF(AA344&lt;1,0,IF(Z344=$Z$85,AA344*AG344,IF(Z344=$Z$93,"ERRO",IF(Z344=$Z$100,"ERRO",0))))</f>
        <v>0</v>
      </c>
      <c r="BV344" s="174">
        <f>IF(Z344=$Z$92,AA344*AG344,0)</f>
        <v>0</v>
      </c>
      <c r="BW344" s="174">
        <f>IF(Z344=$Z$91,AA344*AG344,0)</f>
        <v>0</v>
      </c>
      <c r="BX344" s="174">
        <f>IF(Z344=$Z$86,AA344*AG344,0)</f>
        <v>0</v>
      </c>
      <c r="BY344" s="174">
        <f>IF(Z344=$Z$87,AA344*AG344,0)</f>
        <v>0</v>
      </c>
      <c r="BZ344" s="174">
        <f>IF(Z344=$Z$88,AA344*AG344,0)</f>
        <v>0</v>
      </c>
      <c r="CA344" s="174">
        <f>IF(Z344=$Z$89,AA344*AG344,0)</f>
        <v>0</v>
      </c>
      <c r="CB344" s="174">
        <f>IF(Z344=$Z$90,AA344*AG344,0)</f>
        <v>0</v>
      </c>
      <c r="CC344" s="175">
        <f>IFERROR(IF(L344=$L$49,AG344*AH344*(1+AI344)*(1-AK344)*(1-AL344),0),0)</f>
        <v>0</v>
      </c>
      <c r="CD344" s="203">
        <f>IF(I344=$CD$97,1,IF(I344=$CD$100,2,IF(K344=$K$66,1,IF(K344=$K$69,1,3))))</f>
        <v>1</v>
      </c>
      <c r="CE344" s="203">
        <f t="shared" si="14"/>
        <v>1.07</v>
      </c>
      <c r="CF344" s="204">
        <f t="shared" si="75"/>
        <v>1.2353999999999998</v>
      </c>
      <c r="CG344" s="203">
        <f t="shared" si="15"/>
        <v>1.42</v>
      </c>
      <c r="CH344" s="204">
        <f t="shared" si="76"/>
        <v>1.5478000000000001</v>
      </c>
      <c r="CI344" s="203">
        <f t="shared" si="16"/>
        <v>1.7</v>
      </c>
      <c r="CJ344" s="205">
        <f t="shared" si="77"/>
        <v>1.0486</v>
      </c>
      <c r="CK344" s="205">
        <f t="shared" si="78"/>
        <v>1.148922</v>
      </c>
      <c r="CL344" s="205">
        <f t="shared" si="79"/>
        <v>1.3915999999999999</v>
      </c>
      <c r="CM344" s="205">
        <f t="shared" si="80"/>
        <v>1.501366</v>
      </c>
      <c r="CN344" s="206">
        <f t="shared" si="81"/>
        <v>1.6319999999999999</v>
      </c>
      <c r="CO344" s="204">
        <f t="shared" si="82"/>
        <v>1.006656</v>
      </c>
      <c r="CP344" s="207">
        <f t="shared" si="83"/>
        <v>-8.0663556719678091</v>
      </c>
      <c r="CQ344" s="208">
        <f t="shared" si="84"/>
        <v>210.97322767284979</v>
      </c>
      <c r="CR344" s="209">
        <f t="shared" si="72"/>
        <v>7.4061008280321916</v>
      </c>
      <c r="CS344" s="49"/>
      <c r="CT344" s="49"/>
      <c r="CU344" s="49"/>
      <c r="CV344" s="49"/>
      <c r="CW344" s="49"/>
      <c r="CX344" s="49"/>
      <c r="CY344" s="49"/>
      <c r="CZ344" s="49"/>
      <c r="DA344" s="49"/>
      <c r="DB344" s="49"/>
      <c r="DC344" s="49"/>
      <c r="DD344" s="49"/>
      <c r="DE344" s="49"/>
      <c r="DF344" s="49"/>
      <c r="DG344" s="49"/>
      <c r="DH344" s="49"/>
      <c r="DI344" s="49"/>
      <c r="DJ344" s="49"/>
      <c r="DK344" s="49"/>
      <c r="DL344" s="49"/>
      <c r="DM344" s="49"/>
      <c r="DN344" s="49"/>
      <c r="DO344" s="49"/>
      <c r="DP344" s="49"/>
      <c r="DQ344" s="49"/>
      <c r="DR344" s="49"/>
      <c r="DS344" s="49"/>
      <c r="DT344" s="49"/>
      <c r="DU344" s="49"/>
      <c r="DV344" s="49"/>
      <c r="DW344" s="49"/>
      <c r="DX344" s="49"/>
      <c r="DY344" s="49"/>
      <c r="DZ344" s="49"/>
      <c r="EA344" s="49"/>
      <c r="EB344" s="49"/>
      <c r="EC344" s="49"/>
      <c r="ED344" s="49"/>
      <c r="EE344" s="49"/>
      <c r="EF344" s="49"/>
      <c r="EG344" s="49"/>
      <c r="EH344" s="49"/>
      <c r="EI344" s="49"/>
      <c r="EJ344" s="49"/>
      <c r="EK344" s="49"/>
      <c r="EL344" s="49"/>
      <c r="EM344" s="49"/>
      <c r="EN344" s="49"/>
      <c r="EO344" s="49"/>
      <c r="EP344" s="49"/>
      <c r="EQ344" s="49"/>
      <c r="ER344" s="49"/>
      <c r="ES344" s="49"/>
      <c r="ET344" s="49"/>
      <c r="EU344" s="49"/>
      <c r="EV344" s="49"/>
      <c r="EW344" s="49"/>
      <c r="EX344" s="49"/>
      <c r="EY344" s="49"/>
      <c r="EZ344" s="49"/>
      <c r="FA344" s="49"/>
    </row>
    <row r="345" spans="1:157" s="210" customFormat="1" x14ac:dyDescent="0.25">
      <c r="A345" s="113">
        <f>IF(AND('[1]Cockpit Retorno'!$E$67=Sim,Mestre!M345=Mestre!$M$98),0,1)</f>
        <v>1</v>
      </c>
      <c r="B345" s="113">
        <f>IF(AND('[1]Cockpit Retorno'!$E$67=Sim,Mestre!L345=Mestre!$L$48),0,1)</f>
        <v>0</v>
      </c>
      <c r="C345" s="113">
        <f>IF(AND('[1]Cockpit Retorno'!$E$67=Sim,Mestre!M345=Mestre!$M$97),0,1)</f>
        <v>1</v>
      </c>
      <c r="D345" s="148" t="s">
        <v>7</v>
      </c>
      <c r="E345" s="115"/>
      <c r="F345" s="116" t="s">
        <v>107</v>
      </c>
      <c r="G345" s="149"/>
      <c r="H345" s="150" t="s">
        <v>7</v>
      </c>
      <c r="I345" s="151" t="str">
        <f t="shared" si="65"/>
        <v>Mercadorias</v>
      </c>
      <c r="J345" s="150" t="s">
        <v>15</v>
      </c>
      <c r="K345" s="152" t="s">
        <v>7</v>
      </c>
      <c r="L345" s="153" t="s">
        <v>15</v>
      </c>
      <c r="M345" s="154" t="s">
        <v>493</v>
      </c>
      <c r="N345" s="155" t="s">
        <v>494</v>
      </c>
      <c r="O345" s="155" t="s">
        <v>473</v>
      </c>
      <c r="P345" s="155" t="s">
        <v>43</v>
      </c>
      <c r="Q345" s="155" t="s">
        <v>43</v>
      </c>
      <c r="R345" s="155" t="s">
        <v>43</v>
      </c>
      <c r="S345" s="156" t="s">
        <v>43</v>
      </c>
      <c r="T345" s="156" t="s">
        <v>43</v>
      </c>
      <c r="U345" s="150" t="s">
        <v>43</v>
      </c>
      <c r="V345" s="150" t="s">
        <v>43</v>
      </c>
      <c r="W345" s="150" t="s">
        <v>43</v>
      </c>
      <c r="X345" s="157" t="s">
        <v>495</v>
      </c>
      <c r="Y345" s="150" t="s">
        <v>506</v>
      </c>
      <c r="Z345" s="150" t="s">
        <v>43</v>
      </c>
      <c r="AA345" s="158">
        <v>0</v>
      </c>
      <c r="AB345" s="155" t="s">
        <v>43</v>
      </c>
      <c r="AC345" s="150" t="s">
        <v>43</v>
      </c>
      <c r="AD345" s="155" t="s">
        <v>43</v>
      </c>
      <c r="AE345" s="155"/>
      <c r="AF345" s="150" t="s">
        <v>43</v>
      </c>
      <c r="AG345" s="159">
        <v>176</v>
      </c>
      <c r="AH345" s="159">
        <v>0.69750000000000001</v>
      </c>
      <c r="AI345" s="202">
        <v>0</v>
      </c>
      <c r="AJ345" s="161">
        <v>0.18</v>
      </c>
      <c r="AK345" s="162"/>
      <c r="AL345" s="163"/>
      <c r="AM345" s="164">
        <f>(((IF(L345=$L$101,1,IF(L345=$L$47,1,0))*(AH345*(1-AK345)))*AG345)*(1-AL345))</f>
        <v>122.76</v>
      </c>
      <c r="AN345" s="165">
        <f>IF(K345=$K$50,AM345,IF(K345=$K$53,AM345,IF(K345=$K$54,AM345,IF(K345=$K$55,AM345,IF(K345=$K$56,AM345,IF(K345=$K$57,AM345,IF(K345=$K$58,AM345,IF(K345=$K$65,AM345,IF(K345=$K$66,AM345,IF(K345=$K$67,AM345,IF(K345=$K$68,AM345,IF(K345=$K$69,AM345,IF(K345=$K$51,AM345,(AM345*(1+AI345)))))))))))))))</f>
        <v>122.76</v>
      </c>
      <c r="AO345" s="166">
        <v>1.4</v>
      </c>
      <c r="AP345" s="160">
        <f t="shared" si="66"/>
        <v>171.864</v>
      </c>
      <c r="AQ345" s="167">
        <f t="shared" si="74"/>
        <v>148.91419495227635</v>
      </c>
      <c r="AR345" s="160">
        <f t="shared" si="67"/>
        <v>171.864</v>
      </c>
      <c r="AS345" s="168">
        <f t="shared" si="68"/>
        <v>1.2612750638360888</v>
      </c>
      <c r="AT345" s="169" t="str">
        <f>K345</f>
        <v>MI</v>
      </c>
      <c r="AU345" s="169" t="str">
        <f>I345</f>
        <v>Mercadorias</v>
      </c>
      <c r="AV345" s="170"/>
      <c r="AW345" s="171">
        <f>IF(K345=$K$50,0,IF(K345=$K$53,0,IF(K345=$K$54,0,IF(K345=$K$55,0,IF(K345=$K$56,0,IF(K345=$K$57,0,IF(K345=$K$58,0,IF(K345=$K$65,0,IF(K345=$K$66,0,IF(K345=$K$67,0,IF(K345=$K$68,0,IF(K345=$K$69,0,IF(K345=$K$51,0,1))))))))))))*AM345*AI345)</f>
        <v>0</v>
      </c>
      <c r="AX345" s="172">
        <f>IF(K345=$K$50,0,IF(K345=$K$53,0,IF(K345=$K$54,0,IF(K345=$K$55,0,IF(K345=$K$56,0,IF(K345=$K$57,0,IF(K345=$K$58,0,IF(K345=$K$65,0,IF(K345=$K$66,0,IF(K345=$K$67,0,IF(K345=$K$68,0,IF(K345=$K$69,0,IF(K345=$K$51,0,1))))))))))))*AM345*AJ345*$AX$94)</f>
        <v>0</v>
      </c>
      <c r="AY345" s="172">
        <f>IF(K345=$K$53,0,IF(K345=$K$54,0,IF(K345=$K$55,0,IF(K345=$K$56,0,IF(K345=$K$58,0,IF(K345=$K$50,0,IF(K345=$K$65,0,IF(K345=$K$57,0,IF(K345=$K$51,0,AM345*$AY$102)))))))))</f>
        <v>2.0255400000000003</v>
      </c>
      <c r="AZ345" s="172">
        <f>IF(K345=$K$53,0,IF(K345=$K$54,0,IF(K345=$K$55,0,IF(K345=$K$56,0,IF(K345=$K$58,0,IF(K345=$K$50,0,IF(K345=$K$65,0,IF(K345=$K$57,0,IF(K345=$K$51,0,AM345*$AZ$102)))))))))</f>
        <v>9.3297600000000003</v>
      </c>
      <c r="BA345" s="172">
        <f t="shared" si="69"/>
        <v>11.3553</v>
      </c>
      <c r="BB345" s="173">
        <f>IF($BA$97=1,AQ345*$BB$102,IF(K345=$K$50,0,IF(K345=$K$53,0,IF(K345=$K$54,0,IF(K345=$K$55,0,IF(K345=$K$56,0,IF(K345=$K$57,0,IF(K345=$K$58,0,IF(K345=$K$65,0,IF(K345=$K$66,0,IF(K345=$K$67,0,IF(K345=$K$68,0,IF(K345=$K$69,0,IF(K345=$K$51,0,1)))))))))))*AQ345*$BB$102)))</f>
        <v>0</v>
      </c>
      <c r="BC345" s="172">
        <f t="shared" si="70"/>
        <v>0.96794226718979637</v>
      </c>
      <c r="BD345" s="172">
        <f t="shared" si="71"/>
        <v>4.4674258485682898</v>
      </c>
      <c r="BE345" s="172">
        <f>IF($BE$95=I345,$BE$97,IF(I345=$BE$96,$BE$97,1))*($BE$102*AQ345)*$AZ$97</f>
        <v>0</v>
      </c>
      <c r="BF345" s="172">
        <f>IF('[1]Cockpit Retorno'!$C$65=Sim,Mestre!BA345,SUM(BB345:BE345)+(IF(K345=$K$56,AQ345*MOE_IRRF_LR,0)))</f>
        <v>5.4353681157580862</v>
      </c>
      <c r="BG345" s="174">
        <f>IF(AA345&gt;0,0,IF(Z345=$Z$82,AG345*1,(IF(Z345=$Z$81,AG345*1,0))))</f>
        <v>0</v>
      </c>
      <c r="BH345" s="174">
        <f>IF(AA345&gt;0,0,IF(Z345=$Z$83,AG345*1,IF(Z345=$Z$81,AG345*1,0)))</f>
        <v>0</v>
      </c>
      <c r="BI345" s="174">
        <f>IF(AA345&gt;0,0,IF(Z345=$Z$84,AG345*1,IF(Z345=$Z$93,AG345*2,IF(Z345=$Z$100,AG345,IF(Z345=$Z$81,AG345*2,IF(Z345=$Z$80,AG345*1,IF(Z345=$Z$79,AG345*3,IF(Z345=$Z$78,AG345*2,0))))))))</f>
        <v>0</v>
      </c>
      <c r="BJ345" s="174">
        <f>IF(AA345&gt;0,0,IF(Z345=$Z$85,AG345,IF(Z345=$Z$93,AG345,IF(Z345=$Z$100,AG345,IF(Z345=$Z$81,AG345*1,IF(Z345=$Z$80,AG345*2,IF(Z345=$Z$79,AG345*2,IF(Z345=$Z$78,AG345*2,0))))))))</f>
        <v>0</v>
      </c>
      <c r="BK345" s="174">
        <f>IF(AA345&gt;0,0,IF(Z345=$Z$92,AG345,0))</f>
        <v>0</v>
      </c>
      <c r="BL345" s="174">
        <f>IF(AA345&gt;0,0,IF(Z345=$Z$91,AG345,0))</f>
        <v>0</v>
      </c>
      <c r="BM345" s="174">
        <f>IF(AA345&gt;0,0,IF(Z345=$Z$86,AG345,0))</f>
        <v>0</v>
      </c>
      <c r="BN345" s="174">
        <f>IF(AA345&gt;0,0,IF(Z345=$Z$87,AG345,0))</f>
        <v>0</v>
      </c>
      <c r="BO345" s="174">
        <f>IF(AA345&gt;0,0,IF(Z345=$Z$88,AG345,0))</f>
        <v>0</v>
      </c>
      <c r="BP345" s="174">
        <f>IF(AA345&gt;0,0,IF(Z345=$Z$89,AG345,0))</f>
        <v>0</v>
      </c>
      <c r="BQ345" s="174">
        <f>IF(AA345&gt;0,0,IF(Z345=$Z$90,AG345,0))</f>
        <v>0</v>
      </c>
      <c r="BR345" s="174">
        <f>IF(Z345=$Z$82,AA345*AG345,0)</f>
        <v>0</v>
      </c>
      <c r="BS345" s="174">
        <f>IF(Z345=$Z$83,AA345*AG345,0)</f>
        <v>0</v>
      </c>
      <c r="BT345" s="174">
        <f>IF(AA345&lt;1,0,IF(Z345=$Z$84,AA345*AG345,IF(Z345=$Z$93,"ERRO",IF(Z345=$Z$100,"ERRO",0))))</f>
        <v>0</v>
      </c>
      <c r="BU345" s="174">
        <f>IF(AA345&lt;1,0,IF(Z345=$Z$85,AA345*AG345,IF(Z345=$Z$93,"ERRO",IF(Z345=$Z$100,"ERRO",0))))</f>
        <v>0</v>
      </c>
      <c r="BV345" s="174">
        <f>IF(Z345=$Z$92,AA345*AG345,0)</f>
        <v>0</v>
      </c>
      <c r="BW345" s="174">
        <f>IF(Z345=$Z$91,AA345*AG345,0)</f>
        <v>0</v>
      </c>
      <c r="BX345" s="174">
        <f>IF(Z345=$Z$86,AA345*AG345,0)</f>
        <v>0</v>
      </c>
      <c r="BY345" s="174">
        <f>IF(Z345=$Z$87,AA345*AG345,0)</f>
        <v>0</v>
      </c>
      <c r="BZ345" s="174">
        <f>IF(Z345=$Z$88,AA345*AG345,0)</f>
        <v>0</v>
      </c>
      <c r="CA345" s="174">
        <f>IF(Z345=$Z$89,AA345*AG345,0)</f>
        <v>0</v>
      </c>
      <c r="CB345" s="174">
        <f>IF(Z345=$Z$90,AA345*AG345,0)</f>
        <v>0</v>
      </c>
      <c r="CC345" s="175">
        <f>IFERROR(IF(L345=$L$49,AG345*AH345*(1+AI345)*(1-AK345)*(1-AL345),0),0)</f>
        <v>0</v>
      </c>
      <c r="CD345" s="203">
        <f>IF(I345=$CD$97,1,IF(I345=$CD$100,2,IF(K345=$K$66,1,IF(K345=$K$69,1,3))))</f>
        <v>1</v>
      </c>
      <c r="CE345" s="203">
        <f t="shared" si="14"/>
        <v>1.07</v>
      </c>
      <c r="CF345" s="204">
        <f t="shared" si="75"/>
        <v>1.2353999999999998</v>
      </c>
      <c r="CG345" s="203">
        <f t="shared" si="15"/>
        <v>1.42</v>
      </c>
      <c r="CH345" s="204">
        <f t="shared" si="76"/>
        <v>1.5478000000000001</v>
      </c>
      <c r="CI345" s="203">
        <f t="shared" si="16"/>
        <v>1.7</v>
      </c>
      <c r="CJ345" s="205">
        <f t="shared" si="77"/>
        <v>1.0486</v>
      </c>
      <c r="CK345" s="205">
        <f t="shared" si="78"/>
        <v>1.148922</v>
      </c>
      <c r="CL345" s="205">
        <f t="shared" si="79"/>
        <v>1.3915999999999999</v>
      </c>
      <c r="CM345" s="205">
        <f t="shared" si="80"/>
        <v>1.501366</v>
      </c>
      <c r="CN345" s="206">
        <f t="shared" si="81"/>
        <v>1.6319999999999999</v>
      </c>
      <c r="CO345" s="204">
        <f t="shared" si="82"/>
        <v>1.006656</v>
      </c>
      <c r="CP345" s="207">
        <f t="shared" si="83"/>
        <v>-5.9199318842419135</v>
      </c>
      <c r="CQ345" s="208">
        <f t="shared" si="84"/>
        <v>154.83412683651827</v>
      </c>
      <c r="CR345" s="209">
        <f t="shared" si="72"/>
        <v>5.4353681157580862</v>
      </c>
      <c r="CS345" s="49"/>
      <c r="CT345" s="49"/>
      <c r="CU345" s="49"/>
      <c r="CV345" s="49"/>
      <c r="CW345" s="49"/>
      <c r="CX345" s="49"/>
      <c r="CY345" s="49"/>
      <c r="CZ345" s="49"/>
      <c r="DA345" s="49"/>
      <c r="DB345" s="49"/>
      <c r="DC345" s="49"/>
      <c r="DD345" s="49"/>
      <c r="DE345" s="49"/>
      <c r="DF345" s="49"/>
      <c r="DG345" s="49"/>
      <c r="DH345" s="49"/>
      <c r="DI345" s="49"/>
      <c r="DJ345" s="49"/>
      <c r="DK345" s="49"/>
      <c r="DL345" s="49"/>
      <c r="DM345" s="49"/>
      <c r="DN345" s="49"/>
      <c r="DO345" s="49"/>
      <c r="DP345" s="49"/>
      <c r="DQ345" s="49"/>
      <c r="DR345" s="49"/>
      <c r="DS345" s="49"/>
      <c r="DT345" s="49"/>
      <c r="DU345" s="49"/>
      <c r="DV345" s="49"/>
      <c r="DW345" s="49"/>
      <c r="DX345" s="49"/>
      <c r="DY345" s="49"/>
      <c r="DZ345" s="49"/>
      <c r="EA345" s="49"/>
      <c r="EB345" s="49"/>
      <c r="EC345" s="49"/>
      <c r="ED345" s="49"/>
      <c r="EE345" s="49"/>
      <c r="EF345" s="49"/>
      <c r="EG345" s="49"/>
      <c r="EH345" s="49"/>
      <c r="EI345" s="49"/>
      <c r="EJ345" s="49"/>
      <c r="EK345" s="49"/>
      <c r="EL345" s="49"/>
      <c r="EM345" s="49"/>
      <c r="EN345" s="49"/>
      <c r="EO345" s="49"/>
      <c r="EP345" s="49"/>
      <c r="EQ345" s="49"/>
      <c r="ER345" s="49"/>
      <c r="ES345" s="49"/>
      <c r="ET345" s="49"/>
      <c r="EU345" s="49"/>
      <c r="EV345" s="49"/>
      <c r="EW345" s="49"/>
      <c r="EX345" s="49"/>
      <c r="EY345" s="49"/>
      <c r="EZ345" s="49"/>
      <c r="FA345" s="49"/>
    </row>
    <row r="346" spans="1:157" s="210" customFormat="1" x14ac:dyDescent="0.25">
      <c r="A346" s="113">
        <f>IF(AND('[1]Cockpit Retorno'!$E$67=Sim,Mestre!M346=Mestre!$M$98),0,1)</f>
        <v>1</v>
      </c>
      <c r="B346" s="113">
        <f>IF(AND('[1]Cockpit Retorno'!$E$67=Sim,Mestre!L346=Mestre!$L$48),0,1)</f>
        <v>0</v>
      </c>
      <c r="C346" s="113">
        <f>IF(AND('[1]Cockpit Retorno'!$E$67=Sim,Mestre!M346=Mestre!$M$97),0,1)</f>
        <v>1</v>
      </c>
      <c r="D346" s="148" t="s">
        <v>7</v>
      </c>
      <c r="E346" s="115"/>
      <c r="F346" s="116" t="s">
        <v>107</v>
      </c>
      <c r="G346" s="149"/>
      <c r="H346" s="150" t="s">
        <v>7</v>
      </c>
      <c r="I346" s="151" t="str">
        <f t="shared" si="65"/>
        <v>Mercadorias</v>
      </c>
      <c r="J346" s="150" t="s">
        <v>15</v>
      </c>
      <c r="K346" s="152" t="s">
        <v>7</v>
      </c>
      <c r="L346" s="153" t="s">
        <v>15</v>
      </c>
      <c r="M346" s="154" t="s">
        <v>493</v>
      </c>
      <c r="N346" s="155" t="s">
        <v>494</v>
      </c>
      <c r="O346" s="155" t="s">
        <v>473</v>
      </c>
      <c r="P346" s="155" t="s">
        <v>43</v>
      </c>
      <c r="Q346" s="155" t="s">
        <v>43</v>
      </c>
      <c r="R346" s="155" t="s">
        <v>43</v>
      </c>
      <c r="S346" s="156" t="s">
        <v>43</v>
      </c>
      <c r="T346" s="156" t="s">
        <v>43</v>
      </c>
      <c r="U346" s="150" t="s">
        <v>43</v>
      </c>
      <c r="V346" s="150" t="s">
        <v>43</v>
      </c>
      <c r="W346" s="150" t="s">
        <v>43</v>
      </c>
      <c r="X346" s="157" t="s">
        <v>495</v>
      </c>
      <c r="Y346" s="150" t="s">
        <v>507</v>
      </c>
      <c r="Z346" s="150" t="s">
        <v>43</v>
      </c>
      <c r="AA346" s="158">
        <v>0</v>
      </c>
      <c r="AB346" s="155" t="s">
        <v>43</v>
      </c>
      <c r="AC346" s="150" t="s">
        <v>43</v>
      </c>
      <c r="AD346" s="155" t="s">
        <v>43</v>
      </c>
      <c r="AE346" s="155"/>
      <c r="AF346" s="150" t="s">
        <v>43</v>
      </c>
      <c r="AG346" s="159">
        <v>188</v>
      </c>
      <c r="AH346" s="159">
        <v>5.2731000000000003</v>
      </c>
      <c r="AI346" s="202">
        <v>0</v>
      </c>
      <c r="AJ346" s="161">
        <v>0.18</v>
      </c>
      <c r="AK346" s="162"/>
      <c r="AL346" s="163"/>
      <c r="AM346" s="164">
        <f>(((IF(L346=$L$101,1,IF(L346=$L$47,1,0))*(AH346*(1-AK346)))*AG346)*(1-AL346))</f>
        <v>991.34280000000001</v>
      </c>
      <c r="AN346" s="165">
        <f>IF(K346=$K$50,AM346,IF(K346=$K$53,AM346,IF(K346=$K$54,AM346,IF(K346=$K$55,AM346,IF(K346=$K$56,AM346,IF(K346=$K$57,AM346,IF(K346=$K$58,AM346,IF(K346=$K$65,AM346,IF(K346=$K$66,AM346,IF(K346=$K$67,AM346,IF(K346=$K$68,AM346,IF(K346=$K$69,AM346,IF(K346=$K$51,AM346,(AM346*(1+AI346)))))))))))))))</f>
        <v>991.34280000000001</v>
      </c>
      <c r="AO346" s="166">
        <v>1.4</v>
      </c>
      <c r="AP346" s="160">
        <f t="shared" si="66"/>
        <v>1387.8799199999999</v>
      </c>
      <c r="AQ346" s="167">
        <f t="shared" si="74"/>
        <v>1202.5498125100642</v>
      </c>
      <c r="AR346" s="160">
        <f t="shared" si="67"/>
        <v>1387.8799199999999</v>
      </c>
      <c r="AS346" s="168">
        <f t="shared" si="68"/>
        <v>1.2612750638360888</v>
      </c>
      <c r="AT346" s="169" t="str">
        <f>K346</f>
        <v>MI</v>
      </c>
      <c r="AU346" s="169" t="str">
        <f>I346</f>
        <v>Mercadorias</v>
      </c>
      <c r="AV346" s="170"/>
      <c r="AW346" s="171">
        <f>IF(K346=$K$50,0,IF(K346=$K$53,0,IF(K346=$K$54,0,IF(K346=$K$55,0,IF(K346=$K$56,0,IF(K346=$K$57,0,IF(K346=$K$58,0,IF(K346=$K$65,0,IF(K346=$K$66,0,IF(K346=$K$67,0,IF(K346=$K$68,0,IF(K346=$K$69,0,IF(K346=$K$51,0,1))))))))))))*AM346*AI346)</f>
        <v>0</v>
      </c>
      <c r="AX346" s="172">
        <f>IF(K346=$K$50,0,IF(K346=$K$53,0,IF(K346=$K$54,0,IF(K346=$K$55,0,IF(K346=$K$56,0,IF(K346=$K$57,0,IF(K346=$K$58,0,IF(K346=$K$65,0,IF(K346=$K$66,0,IF(K346=$K$67,0,IF(K346=$K$68,0,IF(K346=$K$69,0,IF(K346=$K$51,0,1))))))))))))*AM346*AJ346*$AX$94)</f>
        <v>0</v>
      </c>
      <c r="AY346" s="172">
        <f>IF(K346=$K$53,0,IF(K346=$K$54,0,IF(K346=$K$55,0,IF(K346=$K$56,0,IF(K346=$K$58,0,IF(K346=$K$50,0,IF(K346=$K$65,0,IF(K346=$K$57,0,IF(K346=$K$51,0,AM346*$AY$102)))))))))</f>
        <v>16.357156200000002</v>
      </c>
      <c r="AZ346" s="172">
        <f>IF(K346=$K$53,0,IF(K346=$K$54,0,IF(K346=$K$55,0,IF(K346=$K$56,0,IF(K346=$K$58,0,IF(K346=$K$50,0,IF(K346=$K$65,0,IF(K346=$K$57,0,IF(K346=$K$51,0,AM346*$AZ$102)))))))))</f>
        <v>75.342052800000005</v>
      </c>
      <c r="BA346" s="172">
        <f t="shared" si="69"/>
        <v>91.69920900000001</v>
      </c>
      <c r="BB346" s="173">
        <f>IF($BA$97=1,AQ346*$BB$102,IF(K346=$K$50,0,IF(K346=$K$53,0,IF(K346=$K$54,0,IF(K346=$K$55,0,IF(K346=$K$56,0,IF(K346=$K$57,0,IF(K346=$K$58,0,IF(K346=$K$65,0,IF(K346=$K$66,0,IF(K346=$K$67,0,IF(K346=$K$68,0,IF(K346=$K$69,0,IF(K346=$K$51,0,1)))))))))))*AQ346*$BB$102)))</f>
        <v>0</v>
      </c>
      <c r="BC346" s="172">
        <f t="shared" si="70"/>
        <v>7.8165737813154177</v>
      </c>
      <c r="BD346" s="172">
        <f t="shared" si="71"/>
        <v>36.076494375301927</v>
      </c>
      <c r="BE346" s="172">
        <f>IF($BE$95=I346,$BE$97,IF(I346=$BE$96,$BE$97,1))*($BE$102*AQ346)*$AZ$97</f>
        <v>0</v>
      </c>
      <c r="BF346" s="172">
        <f>IF('[1]Cockpit Retorno'!$C$65=Sim,Mestre!BA346,SUM(BB346:BE346)+(IF(K346=$K$56,AQ346*MOE_IRRF_LR,0)))</f>
        <v>43.893068156617346</v>
      </c>
      <c r="BG346" s="174">
        <f>IF(AA346&gt;0,0,IF(Z346=$Z$82,AG346*1,(IF(Z346=$Z$81,AG346*1,0))))</f>
        <v>0</v>
      </c>
      <c r="BH346" s="174">
        <f>IF(AA346&gt;0,0,IF(Z346=$Z$83,AG346*1,IF(Z346=$Z$81,AG346*1,0)))</f>
        <v>0</v>
      </c>
      <c r="BI346" s="174">
        <f>IF(AA346&gt;0,0,IF(Z346=$Z$84,AG346*1,IF(Z346=$Z$93,AG346*2,IF(Z346=$Z$100,AG346,IF(Z346=$Z$81,AG346*2,IF(Z346=$Z$80,AG346*1,IF(Z346=$Z$79,AG346*3,IF(Z346=$Z$78,AG346*2,0))))))))</f>
        <v>0</v>
      </c>
      <c r="BJ346" s="174">
        <f>IF(AA346&gt;0,0,IF(Z346=$Z$85,AG346,IF(Z346=$Z$93,AG346,IF(Z346=$Z$100,AG346,IF(Z346=$Z$81,AG346*1,IF(Z346=$Z$80,AG346*2,IF(Z346=$Z$79,AG346*2,IF(Z346=$Z$78,AG346*2,0))))))))</f>
        <v>0</v>
      </c>
      <c r="BK346" s="174">
        <f>IF(AA346&gt;0,0,IF(Z346=$Z$92,AG346,0))</f>
        <v>0</v>
      </c>
      <c r="BL346" s="174">
        <f>IF(AA346&gt;0,0,IF(Z346=$Z$91,AG346,0))</f>
        <v>0</v>
      </c>
      <c r="BM346" s="174">
        <f>IF(AA346&gt;0,0,IF(Z346=$Z$86,AG346,0))</f>
        <v>0</v>
      </c>
      <c r="BN346" s="174">
        <f>IF(AA346&gt;0,0,IF(Z346=$Z$87,AG346,0))</f>
        <v>0</v>
      </c>
      <c r="BO346" s="174">
        <f>IF(AA346&gt;0,0,IF(Z346=$Z$88,AG346,0))</f>
        <v>0</v>
      </c>
      <c r="BP346" s="174">
        <f>IF(AA346&gt;0,0,IF(Z346=$Z$89,AG346,0))</f>
        <v>0</v>
      </c>
      <c r="BQ346" s="174">
        <f>IF(AA346&gt;0,0,IF(Z346=$Z$90,AG346,0))</f>
        <v>0</v>
      </c>
      <c r="BR346" s="174">
        <f>IF(Z346=$Z$82,AA346*AG346,0)</f>
        <v>0</v>
      </c>
      <c r="BS346" s="174">
        <f>IF(Z346=$Z$83,AA346*AG346,0)</f>
        <v>0</v>
      </c>
      <c r="BT346" s="174">
        <f>IF(AA346&lt;1,0,IF(Z346=$Z$84,AA346*AG346,IF(Z346=$Z$93,"ERRO",IF(Z346=$Z$100,"ERRO",0))))</f>
        <v>0</v>
      </c>
      <c r="BU346" s="174">
        <f>IF(AA346&lt;1,0,IF(Z346=$Z$85,AA346*AG346,IF(Z346=$Z$93,"ERRO",IF(Z346=$Z$100,"ERRO",0))))</f>
        <v>0</v>
      </c>
      <c r="BV346" s="174">
        <f>IF(Z346=$Z$92,AA346*AG346,0)</f>
        <v>0</v>
      </c>
      <c r="BW346" s="174">
        <f>IF(Z346=$Z$91,AA346*AG346,0)</f>
        <v>0</v>
      </c>
      <c r="BX346" s="174">
        <f>IF(Z346=$Z$86,AA346*AG346,0)</f>
        <v>0</v>
      </c>
      <c r="BY346" s="174">
        <f>IF(Z346=$Z$87,AA346*AG346,0)</f>
        <v>0</v>
      </c>
      <c r="BZ346" s="174">
        <f>IF(Z346=$Z$88,AA346*AG346,0)</f>
        <v>0</v>
      </c>
      <c r="CA346" s="174">
        <f>IF(Z346=$Z$89,AA346*AG346,0)</f>
        <v>0</v>
      </c>
      <c r="CB346" s="174">
        <f>IF(Z346=$Z$90,AA346*AG346,0)</f>
        <v>0</v>
      </c>
      <c r="CC346" s="175">
        <f>IFERROR(IF(L346=$L$49,AG346*AH346*(1+AI346)*(1-AK346)*(1-AL346),0),0)</f>
        <v>0</v>
      </c>
      <c r="CD346" s="203">
        <f>IF(I346=$CD$97,1,IF(I346=$CD$100,2,IF(K346=$K$66,1,IF(K346=$K$69,1,3))))</f>
        <v>1</v>
      </c>
      <c r="CE346" s="203">
        <f t="shared" si="14"/>
        <v>1.07</v>
      </c>
      <c r="CF346" s="204">
        <f t="shared" si="75"/>
        <v>1.2353999999999998</v>
      </c>
      <c r="CG346" s="203">
        <f t="shared" si="15"/>
        <v>1.42</v>
      </c>
      <c r="CH346" s="204">
        <f t="shared" si="76"/>
        <v>1.5478000000000001</v>
      </c>
      <c r="CI346" s="203">
        <f t="shared" si="16"/>
        <v>1.7</v>
      </c>
      <c r="CJ346" s="205">
        <f t="shared" si="77"/>
        <v>1.0486</v>
      </c>
      <c r="CK346" s="205">
        <f t="shared" si="78"/>
        <v>1.148922</v>
      </c>
      <c r="CL346" s="205">
        <f t="shared" si="79"/>
        <v>1.3915999999999999</v>
      </c>
      <c r="CM346" s="205">
        <f t="shared" si="80"/>
        <v>1.501366</v>
      </c>
      <c r="CN346" s="206">
        <f t="shared" si="81"/>
        <v>1.6319999999999999</v>
      </c>
      <c r="CO346" s="204">
        <f t="shared" si="82"/>
        <v>1.006656</v>
      </c>
      <c r="CP346" s="207">
        <f t="shared" si="83"/>
        <v>-47.806140843382664</v>
      </c>
      <c r="CQ346" s="208">
        <f t="shared" si="84"/>
        <v>1250.3559533534469</v>
      </c>
      <c r="CR346" s="209">
        <f t="shared" si="72"/>
        <v>43.893068156617346</v>
      </c>
      <c r="CS346" s="49"/>
      <c r="CT346" s="49"/>
      <c r="CU346" s="49"/>
      <c r="CV346" s="49"/>
      <c r="CW346" s="49"/>
      <c r="CX346" s="49"/>
      <c r="CY346" s="49"/>
      <c r="CZ346" s="49"/>
      <c r="DA346" s="49"/>
      <c r="DB346" s="49"/>
      <c r="DC346" s="49"/>
      <c r="DD346" s="49"/>
      <c r="DE346" s="49"/>
      <c r="DF346" s="49"/>
      <c r="DG346" s="49"/>
      <c r="DH346" s="49"/>
      <c r="DI346" s="49"/>
      <c r="DJ346" s="49"/>
      <c r="DK346" s="49"/>
      <c r="DL346" s="49"/>
      <c r="DM346" s="49"/>
      <c r="DN346" s="49"/>
      <c r="DO346" s="49"/>
      <c r="DP346" s="49"/>
      <c r="DQ346" s="49"/>
      <c r="DR346" s="49"/>
      <c r="DS346" s="49"/>
      <c r="DT346" s="49"/>
      <c r="DU346" s="49"/>
      <c r="DV346" s="49"/>
      <c r="DW346" s="49"/>
      <c r="DX346" s="49"/>
      <c r="DY346" s="49"/>
      <c r="DZ346" s="49"/>
      <c r="EA346" s="49"/>
      <c r="EB346" s="49"/>
      <c r="EC346" s="49"/>
      <c r="ED346" s="49"/>
      <c r="EE346" s="49"/>
      <c r="EF346" s="49"/>
      <c r="EG346" s="49"/>
      <c r="EH346" s="49"/>
      <c r="EI346" s="49"/>
      <c r="EJ346" s="49"/>
      <c r="EK346" s="49"/>
      <c r="EL346" s="49"/>
      <c r="EM346" s="49"/>
      <c r="EN346" s="49"/>
      <c r="EO346" s="49"/>
      <c r="EP346" s="49"/>
      <c r="EQ346" s="49"/>
      <c r="ER346" s="49"/>
      <c r="ES346" s="49"/>
      <c r="ET346" s="49"/>
      <c r="EU346" s="49"/>
      <c r="EV346" s="49"/>
      <c r="EW346" s="49"/>
      <c r="EX346" s="49"/>
      <c r="EY346" s="49"/>
      <c r="EZ346" s="49"/>
      <c r="FA346" s="49"/>
    </row>
    <row r="347" spans="1:157" s="210" customFormat="1" x14ac:dyDescent="0.25">
      <c r="A347" s="113">
        <f>IF(AND('[1]Cockpit Retorno'!$E$67=Sim,Mestre!M347=Mestre!$M$98),0,1)</f>
        <v>1</v>
      </c>
      <c r="B347" s="113">
        <f>IF(AND('[1]Cockpit Retorno'!$E$67=Sim,Mestre!L347=Mestre!$L$48),0,1)</f>
        <v>0</v>
      </c>
      <c r="C347" s="113">
        <f>IF(AND('[1]Cockpit Retorno'!$E$67=Sim,Mestre!M347=Mestre!$M$97),0,1)</f>
        <v>1</v>
      </c>
      <c r="D347" s="148" t="s">
        <v>7</v>
      </c>
      <c r="E347" s="115"/>
      <c r="F347" s="116" t="s">
        <v>107</v>
      </c>
      <c r="G347" s="149"/>
      <c r="H347" s="150" t="s">
        <v>7</v>
      </c>
      <c r="I347" s="151" t="str">
        <f t="shared" si="65"/>
        <v>Mercadorias</v>
      </c>
      <c r="J347" s="150" t="s">
        <v>15</v>
      </c>
      <c r="K347" s="152" t="s">
        <v>7</v>
      </c>
      <c r="L347" s="153" t="s">
        <v>15</v>
      </c>
      <c r="M347" s="154" t="s">
        <v>493</v>
      </c>
      <c r="N347" s="155" t="s">
        <v>494</v>
      </c>
      <c r="O347" s="155" t="s">
        <v>473</v>
      </c>
      <c r="P347" s="155" t="s">
        <v>43</v>
      </c>
      <c r="Q347" s="155" t="s">
        <v>43</v>
      </c>
      <c r="R347" s="155" t="s">
        <v>43</v>
      </c>
      <c r="S347" s="156" t="s">
        <v>43</v>
      </c>
      <c r="T347" s="156" t="s">
        <v>43</v>
      </c>
      <c r="U347" s="150" t="s">
        <v>43</v>
      </c>
      <c r="V347" s="150" t="s">
        <v>43</v>
      </c>
      <c r="W347" s="150" t="s">
        <v>43</v>
      </c>
      <c r="X347" s="157" t="s">
        <v>495</v>
      </c>
      <c r="Y347" s="150" t="s">
        <v>508</v>
      </c>
      <c r="Z347" s="150" t="s">
        <v>43</v>
      </c>
      <c r="AA347" s="158">
        <v>0</v>
      </c>
      <c r="AB347" s="155" t="s">
        <v>43</v>
      </c>
      <c r="AC347" s="150" t="s">
        <v>43</v>
      </c>
      <c r="AD347" s="155" t="s">
        <v>43</v>
      </c>
      <c r="AE347" s="155"/>
      <c r="AF347" s="150" t="s">
        <v>43</v>
      </c>
      <c r="AG347" s="159">
        <v>16</v>
      </c>
      <c r="AH347" s="159">
        <v>6.6774000000000004</v>
      </c>
      <c r="AI347" s="202">
        <v>0</v>
      </c>
      <c r="AJ347" s="161">
        <v>0.18</v>
      </c>
      <c r="AK347" s="162"/>
      <c r="AL347" s="163"/>
      <c r="AM347" s="164">
        <f>(((IF(L347=$L$101,1,IF(L347=$L$47,1,0))*(AH347*(1-AK347)))*AG347)*(1-AL347))</f>
        <v>106.83840000000001</v>
      </c>
      <c r="AN347" s="165">
        <f>IF(K347=$K$50,AM347,IF(K347=$K$53,AM347,IF(K347=$K$54,AM347,IF(K347=$K$55,AM347,IF(K347=$K$56,AM347,IF(K347=$K$57,AM347,IF(K347=$K$58,AM347,IF(K347=$K$65,AM347,IF(K347=$K$66,AM347,IF(K347=$K$67,AM347,IF(K347=$K$68,AM347,IF(K347=$K$69,AM347,IF(K347=$K$51,AM347,(AM347*(1+AI347)))))))))))))))</f>
        <v>106.83840000000001</v>
      </c>
      <c r="AO347" s="166">
        <v>1.4</v>
      </c>
      <c r="AP347" s="160">
        <f t="shared" si="66"/>
        <v>149.57375999999999</v>
      </c>
      <c r="AQ347" s="167">
        <f t="shared" si="74"/>
        <v>129.6004751221023</v>
      </c>
      <c r="AR347" s="160">
        <f t="shared" si="67"/>
        <v>149.57375999999999</v>
      </c>
      <c r="AS347" s="168">
        <f t="shared" si="68"/>
        <v>1.2612750638360886</v>
      </c>
      <c r="AT347" s="169" t="str">
        <f>K347</f>
        <v>MI</v>
      </c>
      <c r="AU347" s="169" t="str">
        <f>I347</f>
        <v>Mercadorias</v>
      </c>
      <c r="AV347" s="170"/>
      <c r="AW347" s="171">
        <f>IF(K347=$K$50,0,IF(K347=$K$53,0,IF(K347=$K$54,0,IF(K347=$K$55,0,IF(K347=$K$56,0,IF(K347=$K$57,0,IF(K347=$K$58,0,IF(K347=$K$65,0,IF(K347=$K$66,0,IF(K347=$K$67,0,IF(K347=$K$68,0,IF(K347=$K$69,0,IF(K347=$K$51,0,1))))))))))))*AM347*AI347)</f>
        <v>0</v>
      </c>
      <c r="AX347" s="172">
        <f>IF(K347=$K$50,0,IF(K347=$K$53,0,IF(K347=$K$54,0,IF(K347=$K$55,0,IF(K347=$K$56,0,IF(K347=$K$57,0,IF(K347=$K$58,0,IF(K347=$K$65,0,IF(K347=$K$66,0,IF(K347=$K$67,0,IF(K347=$K$68,0,IF(K347=$K$69,0,IF(K347=$K$51,0,1))))))))))))*AM347*AJ347*$AX$94)</f>
        <v>0</v>
      </c>
      <c r="AY347" s="172">
        <f>IF(K347=$K$53,0,IF(K347=$K$54,0,IF(K347=$K$55,0,IF(K347=$K$56,0,IF(K347=$K$58,0,IF(K347=$K$50,0,IF(K347=$K$65,0,IF(K347=$K$57,0,IF(K347=$K$51,0,AM347*$AY$102)))))))))</f>
        <v>1.7628336000000002</v>
      </c>
      <c r="AZ347" s="172">
        <f>IF(K347=$K$53,0,IF(K347=$K$54,0,IF(K347=$K$55,0,IF(K347=$K$56,0,IF(K347=$K$58,0,IF(K347=$K$50,0,IF(K347=$K$65,0,IF(K347=$K$57,0,IF(K347=$K$51,0,AM347*$AZ$102)))))))))</f>
        <v>8.1197184</v>
      </c>
      <c r="BA347" s="172">
        <f t="shared" si="69"/>
        <v>9.8825520000000004</v>
      </c>
      <c r="BB347" s="173">
        <f>IF($BA$97=1,AQ347*$BB$102,IF(K347=$K$50,0,IF(K347=$K$53,0,IF(K347=$K$54,0,IF(K347=$K$55,0,IF(K347=$K$56,0,IF(K347=$K$57,0,IF(K347=$K$58,0,IF(K347=$K$65,0,IF(K347=$K$66,0,IF(K347=$K$67,0,IF(K347=$K$68,0,IF(K347=$K$69,0,IF(K347=$K$51,0,1)))))))))))*AQ347*$BB$102)))</f>
        <v>0</v>
      </c>
      <c r="BC347" s="172">
        <f t="shared" si="70"/>
        <v>0.84240308829366495</v>
      </c>
      <c r="BD347" s="172">
        <f t="shared" si="71"/>
        <v>3.8880142536630689</v>
      </c>
      <c r="BE347" s="172">
        <f>IF($BE$95=I347,$BE$97,IF(I347=$BE$96,$BE$97,1))*($BE$102*AQ347)*$AZ$97</f>
        <v>0</v>
      </c>
      <c r="BF347" s="172">
        <f>IF('[1]Cockpit Retorno'!$C$65=Sim,Mestre!BA347,SUM(BB347:BE347)+(IF(K347=$K$56,AQ347*MOE_IRRF_LR,0)))</f>
        <v>4.7304173419567341</v>
      </c>
      <c r="BG347" s="174">
        <f>IF(AA347&gt;0,0,IF(Z347=$Z$82,AG347*1,(IF(Z347=$Z$81,AG347*1,0))))</f>
        <v>0</v>
      </c>
      <c r="BH347" s="174">
        <f>IF(AA347&gt;0,0,IF(Z347=$Z$83,AG347*1,IF(Z347=$Z$81,AG347*1,0)))</f>
        <v>0</v>
      </c>
      <c r="BI347" s="174">
        <f>IF(AA347&gt;0,0,IF(Z347=$Z$84,AG347*1,IF(Z347=$Z$93,AG347*2,IF(Z347=$Z$100,AG347,IF(Z347=$Z$81,AG347*2,IF(Z347=$Z$80,AG347*1,IF(Z347=$Z$79,AG347*3,IF(Z347=$Z$78,AG347*2,0))))))))</f>
        <v>0</v>
      </c>
      <c r="BJ347" s="174">
        <f>IF(AA347&gt;0,0,IF(Z347=$Z$85,AG347,IF(Z347=$Z$93,AG347,IF(Z347=$Z$100,AG347,IF(Z347=$Z$81,AG347*1,IF(Z347=$Z$80,AG347*2,IF(Z347=$Z$79,AG347*2,IF(Z347=$Z$78,AG347*2,0))))))))</f>
        <v>0</v>
      </c>
      <c r="BK347" s="174">
        <f>IF(AA347&gt;0,0,IF(Z347=$Z$92,AG347,0))</f>
        <v>0</v>
      </c>
      <c r="BL347" s="174">
        <f>IF(AA347&gt;0,0,IF(Z347=$Z$91,AG347,0))</f>
        <v>0</v>
      </c>
      <c r="BM347" s="174">
        <f>IF(AA347&gt;0,0,IF(Z347=$Z$86,AG347,0))</f>
        <v>0</v>
      </c>
      <c r="BN347" s="174">
        <f>IF(AA347&gt;0,0,IF(Z347=$Z$87,AG347,0))</f>
        <v>0</v>
      </c>
      <c r="BO347" s="174">
        <f>IF(AA347&gt;0,0,IF(Z347=$Z$88,AG347,0))</f>
        <v>0</v>
      </c>
      <c r="BP347" s="174">
        <f>IF(AA347&gt;0,0,IF(Z347=$Z$89,AG347,0))</f>
        <v>0</v>
      </c>
      <c r="BQ347" s="174">
        <f>IF(AA347&gt;0,0,IF(Z347=$Z$90,AG347,0))</f>
        <v>0</v>
      </c>
      <c r="BR347" s="174">
        <f>IF(Z347=$Z$82,AA347*AG347,0)</f>
        <v>0</v>
      </c>
      <c r="BS347" s="174">
        <f>IF(Z347=$Z$83,AA347*AG347,0)</f>
        <v>0</v>
      </c>
      <c r="BT347" s="174">
        <f>IF(AA347&lt;1,0,IF(Z347=$Z$84,AA347*AG347,IF(Z347=$Z$93,"ERRO",IF(Z347=$Z$100,"ERRO",0))))</f>
        <v>0</v>
      </c>
      <c r="BU347" s="174">
        <f>IF(AA347&lt;1,0,IF(Z347=$Z$85,AA347*AG347,IF(Z347=$Z$93,"ERRO",IF(Z347=$Z$100,"ERRO",0))))</f>
        <v>0</v>
      </c>
      <c r="BV347" s="174">
        <f>IF(Z347=$Z$92,AA347*AG347,0)</f>
        <v>0</v>
      </c>
      <c r="BW347" s="174">
        <f>IF(Z347=$Z$91,AA347*AG347,0)</f>
        <v>0</v>
      </c>
      <c r="BX347" s="174">
        <f>IF(Z347=$Z$86,AA347*AG347,0)</f>
        <v>0</v>
      </c>
      <c r="BY347" s="174">
        <f>IF(Z347=$Z$87,AA347*AG347,0)</f>
        <v>0</v>
      </c>
      <c r="BZ347" s="174">
        <f>IF(Z347=$Z$88,AA347*AG347,0)</f>
        <v>0</v>
      </c>
      <c r="CA347" s="174">
        <f>IF(Z347=$Z$89,AA347*AG347,0)</f>
        <v>0</v>
      </c>
      <c r="CB347" s="174">
        <f>IF(Z347=$Z$90,AA347*AG347,0)</f>
        <v>0</v>
      </c>
      <c r="CC347" s="175">
        <f>IFERROR(IF(L347=$L$49,AG347*AH347*(1+AI347)*(1-AK347)*(1-AL347),0),0)</f>
        <v>0</v>
      </c>
      <c r="CD347" s="203">
        <f>IF(I347=$CD$97,1,IF(I347=$CD$100,2,IF(K347=$K$66,1,IF(K347=$K$69,1,3))))</f>
        <v>1</v>
      </c>
      <c r="CE347" s="203">
        <f t="shared" si="14"/>
        <v>1.07</v>
      </c>
      <c r="CF347" s="204">
        <f t="shared" si="75"/>
        <v>1.2353999999999998</v>
      </c>
      <c r="CG347" s="203">
        <f t="shared" si="15"/>
        <v>1.42</v>
      </c>
      <c r="CH347" s="204">
        <f t="shared" si="76"/>
        <v>1.5478000000000001</v>
      </c>
      <c r="CI347" s="203">
        <f t="shared" si="16"/>
        <v>1.7</v>
      </c>
      <c r="CJ347" s="205">
        <f t="shared" si="77"/>
        <v>1.0486</v>
      </c>
      <c r="CK347" s="205">
        <f t="shared" si="78"/>
        <v>1.148922</v>
      </c>
      <c r="CL347" s="205">
        <f t="shared" si="79"/>
        <v>1.3915999999999999</v>
      </c>
      <c r="CM347" s="205">
        <f t="shared" si="80"/>
        <v>1.501366</v>
      </c>
      <c r="CN347" s="206">
        <f t="shared" si="81"/>
        <v>1.6319999999999999</v>
      </c>
      <c r="CO347" s="204">
        <f t="shared" si="82"/>
        <v>1.006656</v>
      </c>
      <c r="CP347" s="207">
        <f t="shared" si="83"/>
        <v>-5.1521346580432663</v>
      </c>
      <c r="CQ347" s="208">
        <f t="shared" si="84"/>
        <v>134.75260978014558</v>
      </c>
      <c r="CR347" s="209">
        <f t="shared" si="72"/>
        <v>4.7304173419567341</v>
      </c>
      <c r="CS347" s="49"/>
      <c r="CT347" s="49"/>
      <c r="CU347" s="49"/>
      <c r="CV347" s="49"/>
      <c r="CW347" s="49"/>
      <c r="CX347" s="49"/>
      <c r="CY347" s="49"/>
      <c r="CZ347" s="49"/>
      <c r="DA347" s="49"/>
      <c r="DB347" s="49"/>
      <c r="DC347" s="49"/>
      <c r="DD347" s="49"/>
      <c r="DE347" s="49"/>
      <c r="DF347" s="49"/>
      <c r="DG347" s="49"/>
      <c r="DH347" s="49"/>
      <c r="DI347" s="49"/>
      <c r="DJ347" s="49"/>
      <c r="DK347" s="49"/>
      <c r="DL347" s="49"/>
      <c r="DM347" s="49"/>
      <c r="DN347" s="49"/>
      <c r="DO347" s="49"/>
      <c r="DP347" s="49"/>
      <c r="DQ347" s="49"/>
      <c r="DR347" s="49"/>
      <c r="DS347" s="49"/>
      <c r="DT347" s="49"/>
      <c r="DU347" s="49"/>
      <c r="DV347" s="49"/>
      <c r="DW347" s="49"/>
      <c r="DX347" s="49"/>
      <c r="DY347" s="49"/>
      <c r="DZ347" s="49"/>
      <c r="EA347" s="49"/>
      <c r="EB347" s="49"/>
      <c r="EC347" s="49"/>
      <c r="ED347" s="49"/>
      <c r="EE347" s="49"/>
      <c r="EF347" s="49"/>
      <c r="EG347" s="49"/>
      <c r="EH347" s="49"/>
      <c r="EI347" s="49"/>
      <c r="EJ347" s="49"/>
      <c r="EK347" s="49"/>
      <c r="EL347" s="49"/>
      <c r="EM347" s="49"/>
      <c r="EN347" s="49"/>
      <c r="EO347" s="49"/>
      <c r="EP347" s="49"/>
      <c r="EQ347" s="49"/>
      <c r="ER347" s="49"/>
      <c r="ES347" s="49"/>
      <c r="ET347" s="49"/>
      <c r="EU347" s="49"/>
      <c r="EV347" s="49"/>
      <c r="EW347" s="49"/>
      <c r="EX347" s="49"/>
      <c r="EY347" s="49"/>
      <c r="EZ347" s="49"/>
      <c r="FA347" s="49"/>
    </row>
    <row r="348" spans="1:157" s="210" customFormat="1" x14ac:dyDescent="0.25">
      <c r="A348" s="113">
        <f>IF(AND('[1]Cockpit Retorno'!$E$67=Sim,Mestre!M348=Mestre!$M$98),0,1)</f>
        <v>1</v>
      </c>
      <c r="B348" s="113">
        <f>IF(AND('[1]Cockpit Retorno'!$E$67=Sim,Mestre!L348=Mestre!$L$48),0,1)</f>
        <v>0</v>
      </c>
      <c r="C348" s="113">
        <f>IF(AND('[1]Cockpit Retorno'!$E$67=Sim,Mestre!M348=Mestre!$M$97),0,1)</f>
        <v>1</v>
      </c>
      <c r="D348" s="148" t="s">
        <v>7</v>
      </c>
      <c r="E348" s="115"/>
      <c r="F348" s="116" t="s">
        <v>107</v>
      </c>
      <c r="G348" s="149"/>
      <c r="H348" s="150" t="s">
        <v>7</v>
      </c>
      <c r="I348" s="151" t="str">
        <f t="shared" si="65"/>
        <v>Mercadorias</v>
      </c>
      <c r="J348" s="150" t="s">
        <v>15</v>
      </c>
      <c r="K348" s="152" t="s">
        <v>7</v>
      </c>
      <c r="L348" s="153" t="s">
        <v>15</v>
      </c>
      <c r="M348" s="154" t="s">
        <v>509</v>
      </c>
      <c r="N348" s="155" t="s">
        <v>494</v>
      </c>
      <c r="O348" s="155" t="s">
        <v>473</v>
      </c>
      <c r="P348" s="155" t="s">
        <v>43</v>
      </c>
      <c r="Q348" s="155" t="s">
        <v>43</v>
      </c>
      <c r="R348" s="155" t="s">
        <v>43</v>
      </c>
      <c r="S348" s="156" t="s">
        <v>43</v>
      </c>
      <c r="T348" s="156" t="s">
        <v>43</v>
      </c>
      <c r="U348" s="150" t="s">
        <v>43</v>
      </c>
      <c r="V348" s="150" t="s">
        <v>43</v>
      </c>
      <c r="W348" s="150" t="s">
        <v>43</v>
      </c>
      <c r="X348" s="157" t="s">
        <v>510</v>
      </c>
      <c r="Y348" s="150"/>
      <c r="Z348" s="150" t="s">
        <v>43</v>
      </c>
      <c r="AA348" s="158">
        <v>0</v>
      </c>
      <c r="AB348" s="155" t="s">
        <v>43</v>
      </c>
      <c r="AC348" s="150" t="s">
        <v>43</v>
      </c>
      <c r="AD348" s="155" t="s">
        <v>43</v>
      </c>
      <c r="AE348" s="155"/>
      <c r="AF348" s="150" t="s">
        <v>43</v>
      </c>
      <c r="AG348" s="159">
        <v>80</v>
      </c>
      <c r="AH348" s="159">
        <v>325.5</v>
      </c>
      <c r="AI348" s="202">
        <v>0</v>
      </c>
      <c r="AJ348" s="161">
        <v>0.18</v>
      </c>
      <c r="AK348" s="162"/>
      <c r="AL348" s="163"/>
      <c r="AM348" s="164">
        <f>(((IF(L348=$L$101,1,IF(L348=$L$47,1,0))*(AH348*(1-AK348)))*AG348)*(1-AL348))</f>
        <v>26040</v>
      </c>
      <c r="AN348" s="165">
        <f>IF(K348=$K$50,AM348,IF(K348=$K$53,AM348,IF(K348=$K$54,AM348,IF(K348=$K$55,AM348,IF(K348=$K$56,AM348,IF(K348=$K$57,AM348,IF(K348=$K$58,AM348,IF(K348=$K$65,AM348,IF(K348=$K$66,AM348,IF(K348=$K$67,AM348,IF(K348=$K$68,AM348,IF(K348=$K$69,AM348,IF(K348=$K$51,AM348,(AM348*(1+AI348)))))))))))))))</f>
        <v>26040</v>
      </c>
      <c r="AO348" s="166">
        <v>1.4</v>
      </c>
      <c r="AP348" s="160">
        <f t="shared" si="66"/>
        <v>36456</v>
      </c>
      <c r="AQ348" s="167">
        <f t="shared" si="74"/>
        <v>31587.859535331343</v>
      </c>
      <c r="AR348" s="160">
        <f t="shared" si="67"/>
        <v>36456</v>
      </c>
      <c r="AS348" s="168">
        <f t="shared" si="68"/>
        <v>1.2612750638360886</v>
      </c>
      <c r="AT348" s="169" t="str">
        <f>K348</f>
        <v>MI</v>
      </c>
      <c r="AU348" s="169" t="str">
        <f>I348</f>
        <v>Mercadorias</v>
      </c>
      <c r="AV348" s="170"/>
      <c r="AW348" s="171">
        <f>IF(K348=$K$50,0,IF(K348=$K$53,0,IF(K348=$K$54,0,IF(K348=$K$55,0,IF(K348=$K$56,0,IF(K348=$K$57,0,IF(K348=$K$58,0,IF(K348=$K$65,0,IF(K348=$K$66,0,IF(K348=$K$67,0,IF(K348=$K$68,0,IF(K348=$K$69,0,IF(K348=$K$51,0,1))))))))))))*AM348*AI348)</f>
        <v>0</v>
      </c>
      <c r="AX348" s="172">
        <f>IF(K348=$K$50,0,IF(K348=$K$53,0,IF(K348=$K$54,0,IF(K348=$K$55,0,IF(K348=$K$56,0,IF(K348=$K$57,0,IF(K348=$K$58,0,IF(K348=$K$65,0,IF(K348=$K$66,0,IF(K348=$K$67,0,IF(K348=$K$68,0,IF(K348=$K$69,0,IF(K348=$K$51,0,1))))))))))))*AM348*AJ348*$AX$94)</f>
        <v>0</v>
      </c>
      <c r="AY348" s="172">
        <f>IF(K348=$K$53,0,IF(K348=$K$54,0,IF(K348=$K$55,0,IF(K348=$K$56,0,IF(K348=$K$58,0,IF(K348=$K$50,0,IF(K348=$K$65,0,IF(K348=$K$57,0,IF(K348=$K$51,0,AM348*$AY$102)))))))))</f>
        <v>429.66</v>
      </c>
      <c r="AZ348" s="172">
        <f>IF(K348=$K$53,0,IF(K348=$K$54,0,IF(K348=$K$55,0,IF(K348=$K$56,0,IF(K348=$K$58,0,IF(K348=$K$50,0,IF(K348=$K$65,0,IF(K348=$K$57,0,IF(K348=$K$51,0,AM348*$AZ$102)))))))))</f>
        <v>1979.04</v>
      </c>
      <c r="BA348" s="172">
        <f t="shared" si="69"/>
        <v>2408.6999999999998</v>
      </c>
      <c r="BB348" s="173">
        <f>IF($BA$97=1,AQ348*$BB$102,IF(K348=$K$50,0,IF(K348=$K$53,0,IF(K348=$K$54,0,IF(K348=$K$55,0,IF(K348=$K$56,0,IF(K348=$K$57,0,IF(K348=$K$58,0,IF(K348=$K$65,0,IF(K348=$K$66,0,IF(K348=$K$67,0,IF(K348=$K$68,0,IF(K348=$K$69,0,IF(K348=$K$51,0,1)))))))))))*AQ348*$BB$102)))</f>
        <v>0</v>
      </c>
      <c r="BC348" s="172">
        <f t="shared" si="70"/>
        <v>205.32108697965376</v>
      </c>
      <c r="BD348" s="172">
        <f t="shared" si="71"/>
        <v>947.6357860599403</v>
      </c>
      <c r="BE348" s="172">
        <f>IF($BE$95=I348,$BE$97,IF(I348=$BE$96,$BE$97,1))*($BE$102*AQ348)*$AZ$97</f>
        <v>0</v>
      </c>
      <c r="BF348" s="172">
        <f>IF('[1]Cockpit Retorno'!$C$65=Sim,Mestre!BA348,SUM(BB348:BE348)+(IF(K348=$K$56,AQ348*MOE_IRRF_LR,0)))</f>
        <v>1152.956873039594</v>
      </c>
      <c r="BG348" s="174">
        <f>IF(AA348&gt;0,0,IF(Z348=$Z$82,AG348*1,(IF(Z348=$Z$81,AG348*1,0))))</f>
        <v>0</v>
      </c>
      <c r="BH348" s="174">
        <f>IF(AA348&gt;0,0,IF(Z348=$Z$83,AG348*1,IF(Z348=$Z$81,AG348*1,0)))</f>
        <v>0</v>
      </c>
      <c r="BI348" s="174">
        <f>IF(AA348&gt;0,0,IF(Z348=$Z$84,AG348*1,IF(Z348=$Z$93,AG348*2,IF(Z348=$Z$100,AG348,IF(Z348=$Z$81,AG348*2,IF(Z348=$Z$80,AG348*1,IF(Z348=$Z$79,AG348*3,IF(Z348=$Z$78,AG348*2,0))))))))</f>
        <v>0</v>
      </c>
      <c r="BJ348" s="174">
        <f>IF(AA348&gt;0,0,IF(Z348=$Z$85,AG348,IF(Z348=$Z$93,AG348,IF(Z348=$Z$100,AG348,IF(Z348=$Z$81,AG348*1,IF(Z348=$Z$80,AG348*2,IF(Z348=$Z$79,AG348*2,IF(Z348=$Z$78,AG348*2,0))))))))</f>
        <v>0</v>
      </c>
      <c r="BK348" s="174">
        <f>IF(AA348&gt;0,0,IF(Z348=$Z$92,AG348,0))</f>
        <v>0</v>
      </c>
      <c r="BL348" s="174">
        <f>IF(AA348&gt;0,0,IF(Z348=$Z$91,AG348,0))</f>
        <v>0</v>
      </c>
      <c r="BM348" s="174">
        <f>IF(AA348&gt;0,0,IF(Z348=$Z$86,AG348,0))</f>
        <v>0</v>
      </c>
      <c r="BN348" s="174">
        <f>IF(AA348&gt;0,0,IF(Z348=$Z$87,AG348,0))</f>
        <v>0</v>
      </c>
      <c r="BO348" s="174">
        <f>IF(AA348&gt;0,0,IF(Z348=$Z$88,AG348,0))</f>
        <v>0</v>
      </c>
      <c r="BP348" s="174">
        <f>IF(AA348&gt;0,0,IF(Z348=$Z$89,AG348,0))</f>
        <v>0</v>
      </c>
      <c r="BQ348" s="174">
        <f>IF(AA348&gt;0,0,IF(Z348=$Z$90,AG348,0))</f>
        <v>0</v>
      </c>
      <c r="BR348" s="174">
        <f>IF(Z348=$Z$82,AA348*AG348,0)</f>
        <v>0</v>
      </c>
      <c r="BS348" s="174">
        <f>IF(Z348=$Z$83,AA348*AG348,0)</f>
        <v>0</v>
      </c>
      <c r="BT348" s="174">
        <f>IF(AA348&lt;1,0,IF(Z348=$Z$84,AA348*AG348,IF(Z348=$Z$93,"ERRO",IF(Z348=$Z$100,"ERRO",0))))</f>
        <v>0</v>
      </c>
      <c r="BU348" s="174">
        <f>IF(AA348&lt;1,0,IF(Z348=$Z$85,AA348*AG348,IF(Z348=$Z$93,"ERRO",IF(Z348=$Z$100,"ERRO",0))))</f>
        <v>0</v>
      </c>
      <c r="BV348" s="174">
        <f>IF(Z348=$Z$92,AA348*AG348,0)</f>
        <v>0</v>
      </c>
      <c r="BW348" s="174">
        <f>IF(Z348=$Z$91,AA348*AG348,0)</f>
        <v>0</v>
      </c>
      <c r="BX348" s="174">
        <f>IF(Z348=$Z$86,AA348*AG348,0)</f>
        <v>0</v>
      </c>
      <c r="BY348" s="174">
        <f>IF(Z348=$Z$87,AA348*AG348,0)</f>
        <v>0</v>
      </c>
      <c r="BZ348" s="174">
        <f>IF(Z348=$Z$88,AA348*AG348,0)</f>
        <v>0</v>
      </c>
      <c r="CA348" s="174">
        <f>IF(Z348=$Z$89,AA348*AG348,0)</f>
        <v>0</v>
      </c>
      <c r="CB348" s="174">
        <f>IF(Z348=$Z$90,AA348*AG348,0)</f>
        <v>0</v>
      </c>
      <c r="CC348" s="175">
        <f>IFERROR(IF(L348=$L$49,AG348*AH348*(1+AI348)*(1-AK348)*(1-AL348),0),0)</f>
        <v>0</v>
      </c>
      <c r="CD348" s="203">
        <f>IF(I348=$CD$97,1,IF(I348=$CD$100,2,IF(K348=$K$66,1,IF(K348=$K$69,1,3))))</f>
        <v>1</v>
      </c>
      <c r="CE348" s="203">
        <f>IF($CD348=1,1.07,IF($CD348=2,1.07,1.3))</f>
        <v>1.07</v>
      </c>
      <c r="CF348" s="204">
        <f t="shared" si="75"/>
        <v>1.2353999999999998</v>
      </c>
      <c r="CG348" s="203">
        <f>IF($CD348=1,1.42,IF($CD348=2,1.47,2))</f>
        <v>1.42</v>
      </c>
      <c r="CH348" s="204">
        <f t="shared" si="76"/>
        <v>1.5478000000000001</v>
      </c>
      <c r="CI348" s="203">
        <f>IF($CD348=1,1.7,IF($CD348=2,1.7,2.4))</f>
        <v>1.7</v>
      </c>
      <c r="CJ348" s="205">
        <f t="shared" si="77"/>
        <v>1.0486</v>
      </c>
      <c r="CK348" s="205">
        <f t="shared" si="78"/>
        <v>1.148922</v>
      </c>
      <c r="CL348" s="205">
        <f t="shared" si="79"/>
        <v>1.3915999999999999</v>
      </c>
      <c r="CM348" s="205">
        <f t="shared" si="80"/>
        <v>1.501366</v>
      </c>
      <c r="CN348" s="206">
        <f t="shared" si="81"/>
        <v>1.6319999999999999</v>
      </c>
      <c r="CO348" s="204">
        <f t="shared" si="82"/>
        <v>1.006656</v>
      </c>
      <c r="CP348" s="207">
        <f t="shared" si="83"/>
        <v>-1255.7431269604058</v>
      </c>
      <c r="CQ348" s="208">
        <f t="shared" si="84"/>
        <v>32843.602662291749</v>
      </c>
      <c r="CR348" s="209">
        <f t="shared" si="72"/>
        <v>1152.956873039594</v>
      </c>
      <c r="CS348" s="49"/>
      <c r="CT348" s="49"/>
      <c r="CU348" s="49"/>
      <c r="CV348" s="49"/>
      <c r="CW348" s="49"/>
      <c r="CX348" s="49"/>
      <c r="CY348" s="49"/>
      <c r="CZ348" s="49"/>
      <c r="DA348" s="49"/>
      <c r="DB348" s="49"/>
      <c r="DC348" s="49"/>
      <c r="DD348" s="49"/>
      <c r="DE348" s="49"/>
      <c r="DF348" s="49"/>
      <c r="DG348" s="49"/>
      <c r="DH348" s="49"/>
      <c r="DI348" s="49"/>
      <c r="DJ348" s="49"/>
      <c r="DK348" s="49"/>
      <c r="DL348" s="49"/>
      <c r="DM348" s="49"/>
      <c r="DN348" s="49"/>
      <c r="DO348" s="49"/>
      <c r="DP348" s="49"/>
      <c r="DQ348" s="49"/>
      <c r="DR348" s="49"/>
      <c r="DS348" s="49"/>
      <c r="DT348" s="49"/>
      <c r="DU348" s="49"/>
      <c r="DV348" s="49"/>
      <c r="DW348" s="49"/>
      <c r="DX348" s="49"/>
      <c r="DY348" s="49"/>
      <c r="DZ348" s="49"/>
      <c r="EA348" s="49"/>
      <c r="EB348" s="49"/>
      <c r="EC348" s="49"/>
      <c r="ED348" s="49"/>
      <c r="EE348" s="49"/>
      <c r="EF348" s="49"/>
      <c r="EG348" s="49"/>
      <c r="EH348" s="49"/>
      <c r="EI348" s="49"/>
      <c r="EJ348" s="49"/>
      <c r="EK348" s="49"/>
      <c r="EL348" s="49"/>
      <c r="EM348" s="49"/>
      <c r="EN348" s="49"/>
      <c r="EO348" s="49"/>
      <c r="EP348" s="49"/>
      <c r="EQ348" s="49"/>
      <c r="ER348" s="49"/>
      <c r="ES348" s="49"/>
      <c r="ET348" s="49"/>
      <c r="EU348" s="49"/>
      <c r="EV348" s="49"/>
      <c r="EW348" s="49"/>
      <c r="EX348" s="49"/>
      <c r="EY348" s="49"/>
      <c r="EZ348" s="49"/>
      <c r="FA348" s="49"/>
    </row>
    <row r="349" spans="1:157" s="210" customFormat="1" x14ac:dyDescent="0.25">
      <c r="A349" s="113">
        <f>IF(AND('[1]Cockpit Retorno'!$E$67=Sim,Mestre!M349=Mestre!$M$98),0,1)</f>
        <v>1</v>
      </c>
      <c r="B349" s="113">
        <f>IF(AND('[1]Cockpit Retorno'!$E$67=Sim,Mestre!L349=Mestre!$L$48),0,1)</f>
        <v>0</v>
      </c>
      <c r="C349" s="113">
        <f>IF(AND('[1]Cockpit Retorno'!$E$67=Sim,Mestre!M349=Mestre!$M$97),0,1)</f>
        <v>1</v>
      </c>
      <c r="D349" s="148" t="s">
        <v>7</v>
      </c>
      <c r="E349" s="115"/>
      <c r="F349" s="116" t="s">
        <v>107</v>
      </c>
      <c r="G349" s="149">
        <v>35</v>
      </c>
      <c r="H349" s="150" t="s">
        <v>7</v>
      </c>
      <c r="I349" s="151" t="str">
        <f>VLOOKUP(K349,$N$74:$O$95,2)</f>
        <v>Mercadorias</v>
      </c>
      <c r="J349" s="150" t="s">
        <v>15</v>
      </c>
      <c r="K349" s="152" t="s">
        <v>7</v>
      </c>
      <c r="L349" s="153" t="s">
        <v>15</v>
      </c>
      <c r="M349" s="154" t="s">
        <v>437</v>
      </c>
      <c r="N349" s="155" t="s">
        <v>494</v>
      </c>
      <c r="O349" s="155" t="s">
        <v>511</v>
      </c>
      <c r="P349" s="155" t="s">
        <v>43</v>
      </c>
      <c r="Q349" s="155" t="s">
        <v>43</v>
      </c>
      <c r="R349" s="155" t="s">
        <v>43</v>
      </c>
      <c r="S349" s="156" t="s">
        <v>43</v>
      </c>
      <c r="T349" s="156" t="s">
        <v>43</v>
      </c>
      <c r="U349" s="150" t="s">
        <v>43</v>
      </c>
      <c r="V349" s="150" t="s">
        <v>43</v>
      </c>
      <c r="W349" s="150" t="s">
        <v>43</v>
      </c>
      <c r="X349" s="157" t="s">
        <v>512</v>
      </c>
      <c r="Y349" s="150">
        <v>600</v>
      </c>
      <c r="Z349" s="150"/>
      <c r="AA349" s="158"/>
      <c r="AB349" s="155"/>
      <c r="AC349" s="150"/>
      <c r="AD349" s="155"/>
      <c r="AE349" s="155"/>
      <c r="AF349" s="150"/>
      <c r="AG349" s="159">
        <f>Y349*1.05</f>
        <v>630</v>
      </c>
      <c r="AH349" s="211">
        <v>26.970000000000002</v>
      </c>
      <c r="AI349" s="202">
        <v>0</v>
      </c>
      <c r="AJ349" s="161">
        <v>7.0000000000000007E-2</v>
      </c>
      <c r="AK349" s="162"/>
      <c r="AL349" s="163"/>
      <c r="AM349" s="164">
        <f>(((IF(L349=$L$101,1,IF(L349=$L$47,1,0))*(AH349*(1-AK349)))*AG349)*(1-AL349))</f>
        <v>16991.100000000002</v>
      </c>
      <c r="AN349" s="165">
        <f>IF(K349=$K$50,AM349,IF(K349=$K$53,AM349,IF(K349=$K$54,AM349,IF(K349=$K$55,AM349,IF(K349=$K$56,AM349,IF(K349=$K$57,AM349,IF(K349=$K$58,AM349,IF(K349=$K$65,AM349,IF(K349=$K$66,AM349,IF(K349=$K$67,AM349,IF(K349=$K$68,AM349,IF(K349=$K$69,AM349,IF(K349=$K$51,AM349,(AM349*(1+AI349)))))))))))))))</f>
        <v>16991.100000000002</v>
      </c>
      <c r="AO349" s="166">
        <v>1.4</v>
      </c>
      <c r="AP349" s="160">
        <f>AM349*AO349</f>
        <v>23787.54</v>
      </c>
      <c r="AQ349" s="167">
        <f>AP349*Fator_Venda</f>
        <v>20611.078346803701</v>
      </c>
      <c r="AR349" s="160">
        <f>AO349*AN349</f>
        <v>23787.54</v>
      </c>
      <c r="AS349" s="168">
        <f>IFERROR(IF($AX$94=0,(CQ349/AN349),CQ349/AM349),0)</f>
        <v>1.2612750638360886</v>
      </c>
      <c r="AT349" s="169" t="str">
        <f>K349</f>
        <v>MI</v>
      </c>
      <c r="AU349" s="169" t="str">
        <f>I349</f>
        <v>Mercadorias</v>
      </c>
      <c r="AV349" s="170"/>
      <c r="AW349" s="171">
        <f>IF(K349=$K$50,0,IF(K349=$K$53,0,IF(K349=$K$54,0,IF(K349=$K$55,0,IF(K349=$K$56,0,IF(K349=$K$57,0,IF(K349=$K$58,0,IF(K349=$K$65,0,IF(K349=$K$66,0,IF(K349=$K$67,0,IF(K349=$K$68,0,IF(K349=$K$69,0,IF(K349=$K$51,0,1))))))))))))*AM349*AI349)</f>
        <v>0</v>
      </c>
      <c r="AX349" s="172">
        <f>IF(K349=$K$50,0,IF(K349=$K$53,0,IF(K349=$K$54,0,IF(K349=$K$55,0,IF(K349=$K$56,0,IF(K349=$K$57,0,IF(K349=$K$58,0,IF(K349=$K$65,0,IF(K349=$K$66,0,IF(K349=$K$67,0,IF(K349=$K$68,0,IF(K349=$K$69,0,IF(K349=$K$51,0,1))))))))))))*AM349*AJ349*$AX$94)</f>
        <v>0</v>
      </c>
      <c r="AY349" s="172">
        <f>IF(K349=$K$53,0,IF(K349=$K$54,0,IF(K349=$K$55,0,IF(K349=$K$56,0,IF(K349=$K$58,0,IF(K349=$K$50,0,IF(K349=$K$65,0,IF(K349=$K$57,0,IF(K349=$K$51,0,AM349*$AY$102)))))))))</f>
        <v>280.35315000000003</v>
      </c>
      <c r="AZ349" s="172">
        <f>IF(K349=$K$53,0,IF(K349=$K$54,0,IF(K349=$K$55,0,IF(K349=$K$56,0,IF(K349=$K$58,0,IF(K349=$K$50,0,IF(K349=$K$65,0,IF(K349=$K$57,0,IF(K349=$K$51,0,AM349*$AZ$102)))))))))</f>
        <v>1291.3236000000002</v>
      </c>
      <c r="BA349" s="172">
        <f>AZ349+AY349+AX349</f>
        <v>1571.6767500000001</v>
      </c>
      <c r="BB349" s="173">
        <f>IF($BA$97=1,AQ349*$BB$102,IF(K349=$K$50,0,IF(K349=$K$53,0,IF(K349=$K$54,0,IF(K349=$K$55,0,IF(K349=$K$56,0,IF(K349=$K$57,0,IF(K349=$K$58,0,IF(K349=$K$65,0,IF(K349=$K$66,0,IF(K349=$K$67,0,IF(K349=$K$68,0,IF(K349=$K$69,0,IF(K349=$K$51,0,1)))))))))))*AQ349*$BB$102)))</f>
        <v>0</v>
      </c>
      <c r="BC349" s="172">
        <f>AQ349*$BC$102</f>
        <v>133.97200925422408</v>
      </c>
      <c r="BD349" s="172">
        <f>$BD$102*AQ349</f>
        <v>618.33235040411103</v>
      </c>
      <c r="BE349" s="172">
        <f>IF($BE$95=I349,$BE$97,IF(I349=$BE$96,$BE$97,1))*($BE$102*AQ349)*$AZ$97</f>
        <v>0</v>
      </c>
      <c r="BF349" s="172">
        <f>IF('[1]Cockpit Retorno'!$C$65=Sim,Mestre!BA349,SUM(BB349:BE349)+(IF(K349=$K$56,AQ349*MOE_IRRF_LR,0)))</f>
        <v>752.3043596583351</v>
      </c>
      <c r="BG349" s="174">
        <f>IF(AA349&gt;0,0,IF(Z349=$Z$82,AG349*1,(IF(Z349=$Z$81,AG349*1,0))))</f>
        <v>0</v>
      </c>
      <c r="BH349" s="174">
        <f>IF(AA349&gt;0,0,IF(Z349=$Z$83,AG349*1,IF(Z349=$Z$81,AG349*1,0)))</f>
        <v>0</v>
      </c>
      <c r="BI349" s="174">
        <f>IF(AA349&gt;0,0,IF(Z349=$Z$84,AG349*1,IF(Z349=$Z$93,AG349*2,IF(Z349=$Z$100,AG349,IF(Z349=$Z$81,AG349*2,IF(Z349=$Z$80,AG349*1,IF(Z349=$Z$79,AG349*3,IF(Z349=$Z$78,AG349*2,0))))))))</f>
        <v>0</v>
      </c>
      <c r="BJ349" s="174">
        <f>IF(AA349&gt;0,0,IF(Z349=$Z$85,AG349,IF(Z349=$Z$93,AG349,IF(Z349=$Z$100,AG349,IF(Z349=$Z$81,AG349*1,IF(Z349=$Z$80,AG349*2,IF(Z349=$Z$79,AG349*2,IF(Z349=$Z$78,AG349*2,0))))))))</f>
        <v>0</v>
      </c>
      <c r="BK349" s="174">
        <f>IF(AA349&gt;0,0,IF(Z349=$Z$92,AG349,0))</f>
        <v>0</v>
      </c>
      <c r="BL349" s="174">
        <f>IF(AA349&gt;0,0,IF(Z349=$Z$91,AG349,0))</f>
        <v>0</v>
      </c>
      <c r="BM349" s="174">
        <f>IF(AA349&gt;0,0,IF(Z349=$Z$86,AG349,0))</f>
        <v>0</v>
      </c>
      <c r="BN349" s="174">
        <f>IF(AA349&gt;0,0,IF(Z349=$Z$87,AG349,0))</f>
        <v>0</v>
      </c>
      <c r="BO349" s="174">
        <f>IF(AA349&gt;0,0,IF(Z349=$Z$88,AG349,0))</f>
        <v>0</v>
      </c>
      <c r="BP349" s="174">
        <f>IF(AA349&gt;0,0,IF(Z349=$Z$89,AG349,0))</f>
        <v>0</v>
      </c>
      <c r="BQ349" s="174">
        <f>IF(AA349&gt;0,0,IF(Z349=$Z$90,AG349,0))</f>
        <v>0</v>
      </c>
      <c r="BR349" s="174">
        <f>IF(Z349=$Z$82,AA349*AG349,0)</f>
        <v>0</v>
      </c>
      <c r="BS349" s="174">
        <f>IF(Z349=$Z$83,AA349*AG349,0)</f>
        <v>0</v>
      </c>
      <c r="BT349" s="174">
        <f>IF(AA349&lt;1,0,IF(Z349=$Z$84,AA349*AG349,IF(Z349=$Z$93,"ERRO",IF(Z349=$Z$100,"ERRO",0))))</f>
        <v>0</v>
      </c>
      <c r="BU349" s="174">
        <f>IF(AA349&lt;1,0,IF(Z349=$Z$85,AA349*AG349,IF(Z349=$Z$93,"ERRO",IF(Z349=$Z$100,"ERRO",0))))</f>
        <v>0</v>
      </c>
      <c r="BV349" s="174">
        <f>IF(Z349=$Z$92,AA349*AG349,0)</f>
        <v>0</v>
      </c>
      <c r="BW349" s="174">
        <f>IF(Z349=$Z$91,AA349*AG349,0)</f>
        <v>0</v>
      </c>
      <c r="BX349" s="174">
        <f>IF(Z349=$Z$86,AA349*AG349,0)</f>
        <v>0</v>
      </c>
      <c r="BY349" s="174">
        <f>IF(Z349=$Z$87,AA349*AG349,0)</f>
        <v>0</v>
      </c>
      <c r="BZ349" s="174">
        <f>IF(Z349=$Z$88,AA349*AG349,0)</f>
        <v>0</v>
      </c>
      <c r="CA349" s="174">
        <f>IF(Z349=$Z$89,AA349*AG349,0)</f>
        <v>0</v>
      </c>
      <c r="CB349" s="174">
        <f>IF(Z349=$Z$90,AA349*AG349,0)</f>
        <v>0</v>
      </c>
      <c r="CC349" s="175">
        <f>IFERROR(IF(L349=$L$49,AG349*AH349*(1+AI349)*(1-AK349)*(1-AL349),0),0)</f>
        <v>0</v>
      </c>
      <c r="CD349" s="203">
        <f>IF(I349=$CD$97,1,IF(I349=$CD$100,2,IF(K349=$K$66,1,IF(K349=$K$69,1,3))))</f>
        <v>1</v>
      </c>
      <c r="CE349" s="203">
        <f t="shared" si="14"/>
        <v>1.07</v>
      </c>
      <c r="CF349" s="204">
        <f>CG349*0.87</f>
        <v>1.2353999999999998</v>
      </c>
      <c r="CG349" s="203">
        <f t="shared" si="15"/>
        <v>1.42</v>
      </c>
      <c r="CH349" s="204">
        <f>CG349*1.09</f>
        <v>1.5478000000000001</v>
      </c>
      <c r="CI349" s="203">
        <f t="shared" si="16"/>
        <v>1.7</v>
      </c>
      <c r="CJ349" s="205">
        <f>CE349*$CJ$102</f>
        <v>1.0486</v>
      </c>
      <c r="CK349" s="205">
        <f>CF349*$CK$102</f>
        <v>1.148922</v>
      </c>
      <c r="CL349" s="205">
        <f>CG349*$CL$102</f>
        <v>1.3915999999999999</v>
      </c>
      <c r="CM349" s="205">
        <f>CH349*$CM$102</f>
        <v>1.501366</v>
      </c>
      <c r="CN349" s="206">
        <f>CI349*$CN$102</f>
        <v>1.6319999999999999</v>
      </c>
      <c r="CO349" s="204">
        <f>CJ349*$CO$102</f>
        <v>1.006656</v>
      </c>
      <c r="CP349" s="207">
        <f>BF349-BA349</f>
        <v>-819.37239034166498</v>
      </c>
      <c r="CQ349" s="208">
        <f>AQ349-CP349</f>
        <v>21430.450737145366</v>
      </c>
      <c r="CR349" s="209">
        <f>BC349+BD349</f>
        <v>752.3043596583351</v>
      </c>
      <c r="CS349" s="49"/>
      <c r="CT349" s="49"/>
      <c r="CU349" s="49"/>
      <c r="CV349" s="49"/>
      <c r="CW349" s="49"/>
      <c r="CX349" s="49"/>
      <c r="CY349" s="49"/>
      <c r="CZ349" s="49"/>
      <c r="DA349" s="49"/>
      <c r="DB349" s="49"/>
      <c r="DC349" s="49"/>
      <c r="DD349" s="49"/>
      <c r="DE349" s="49"/>
      <c r="DF349" s="49"/>
      <c r="DG349" s="49"/>
      <c r="DH349" s="49"/>
      <c r="DI349" s="49"/>
      <c r="DJ349" s="49"/>
      <c r="DK349" s="49"/>
      <c r="DL349" s="49"/>
      <c r="DM349" s="49"/>
      <c r="DN349" s="49"/>
      <c r="DO349" s="49"/>
      <c r="DP349" s="49"/>
      <c r="DQ349" s="49"/>
      <c r="DR349" s="49"/>
      <c r="DS349" s="49"/>
      <c r="DT349" s="49"/>
      <c r="DU349" s="49"/>
      <c r="DV349" s="49"/>
      <c r="DW349" s="49"/>
      <c r="DX349" s="49"/>
      <c r="DY349" s="49"/>
      <c r="DZ349" s="49"/>
      <c r="EA349" s="49"/>
      <c r="EB349" s="49"/>
      <c r="EC349" s="49"/>
      <c r="ED349" s="49"/>
      <c r="EE349" s="49"/>
      <c r="EF349" s="49"/>
      <c r="EG349" s="49"/>
      <c r="EH349" s="49"/>
      <c r="EI349" s="49"/>
      <c r="EJ349" s="49"/>
      <c r="EK349" s="49"/>
      <c r="EL349" s="49"/>
      <c r="EM349" s="49"/>
      <c r="EN349" s="49"/>
      <c r="EO349" s="49"/>
      <c r="EP349" s="49"/>
      <c r="EQ349" s="49"/>
      <c r="ER349" s="49"/>
      <c r="ES349" s="49"/>
      <c r="ET349" s="49"/>
      <c r="EU349" s="49"/>
      <c r="EV349" s="49"/>
      <c r="EW349" s="49"/>
      <c r="EX349" s="49"/>
      <c r="EY349" s="49"/>
      <c r="EZ349" s="49"/>
      <c r="FA349" s="49"/>
    </row>
    <row r="350" spans="1:157" s="210" customFormat="1" ht="51" x14ac:dyDescent="0.25">
      <c r="A350" s="113">
        <f>IF(AND('[1]Cockpit Retorno'!$E$67=Sim,Mestre!M350=Mestre!$M$98),0,1)</f>
        <v>1</v>
      </c>
      <c r="B350" s="113">
        <f>IF(AND('[1]Cockpit Retorno'!$E$67=Sim,Mestre!L350=Mestre!$L$48),0,1)</f>
        <v>1</v>
      </c>
      <c r="C350" s="113">
        <f>IF(AND('[1]Cockpit Retorno'!$E$67=Sim,Mestre!M350=Mestre!$M$97),0,1)</f>
        <v>1</v>
      </c>
      <c r="D350" s="148" t="s">
        <v>7</v>
      </c>
      <c r="E350" s="115"/>
      <c r="F350" s="116" t="s">
        <v>107</v>
      </c>
      <c r="G350" s="149">
        <v>28</v>
      </c>
      <c r="H350" s="150" t="s">
        <v>7</v>
      </c>
      <c r="I350" s="151" t="str">
        <f t="shared" si="65"/>
        <v>Mercadorias</v>
      </c>
      <c r="J350" s="150" t="s">
        <v>15</v>
      </c>
      <c r="K350" s="152" t="s">
        <v>7</v>
      </c>
      <c r="L350" s="153" t="s">
        <v>21</v>
      </c>
      <c r="M350" s="154" t="s">
        <v>513</v>
      </c>
      <c r="N350" s="155" t="s">
        <v>494</v>
      </c>
      <c r="O350" s="155" t="s">
        <v>514</v>
      </c>
      <c r="P350" s="155" t="s">
        <v>43</v>
      </c>
      <c r="Q350" s="155" t="s">
        <v>43</v>
      </c>
      <c r="R350" s="155" t="s">
        <v>43</v>
      </c>
      <c r="S350" s="156" t="s">
        <v>43</v>
      </c>
      <c r="T350" s="156" t="s">
        <v>43</v>
      </c>
      <c r="U350" s="150" t="s">
        <v>43</v>
      </c>
      <c r="V350" s="150" t="s">
        <v>43</v>
      </c>
      <c r="W350" s="150" t="s">
        <v>43</v>
      </c>
      <c r="X350" s="157" t="s">
        <v>515</v>
      </c>
      <c r="Y350" s="150">
        <f>3390+1125+405+(3*60)</f>
        <v>5100</v>
      </c>
      <c r="Z350" s="150"/>
      <c r="AA350" s="158"/>
      <c r="AB350" s="155"/>
      <c r="AC350" s="150"/>
      <c r="AD350" s="155"/>
      <c r="AE350" s="155"/>
      <c r="AF350" s="150"/>
      <c r="AG350" s="159">
        <v>5100</v>
      </c>
      <c r="AH350" s="211">
        <v>121.74630000000001</v>
      </c>
      <c r="AI350" s="202">
        <v>0</v>
      </c>
      <c r="AJ350" s="161">
        <v>7.0000000000000007E-2</v>
      </c>
      <c r="AK350" s="162"/>
      <c r="AL350" s="163"/>
      <c r="AM350" s="164">
        <f>(((IF(L350=$L$101,1,IF(L350=$L$47,1,0))*(AH350*(1-AK350)))*AG350)*(1-AL350))</f>
        <v>0</v>
      </c>
      <c r="AN350" s="165">
        <f>IF(K350=$K$50,AM350,IF(K350=$K$53,AM350,IF(K350=$K$54,AM350,IF(K350=$K$55,AM350,IF(K350=$K$56,AM350,IF(K350=$K$57,AM350,IF(K350=$K$58,AM350,IF(K350=$K$65,AM350,IF(K350=$K$66,AM350,IF(K350=$K$67,AM350,IF(K350=$K$68,AM350,IF(K350=$K$69,AM350,IF(K350=$K$51,AM350,(AM350*(1+AI350)))))))))))))))</f>
        <v>0</v>
      </c>
      <c r="AO350" s="166">
        <v>1.4</v>
      </c>
      <c r="AP350" s="160">
        <f t="shared" si="66"/>
        <v>0</v>
      </c>
      <c r="AQ350" s="167">
        <f t="shared" si="74"/>
        <v>0</v>
      </c>
      <c r="AR350" s="160">
        <f t="shared" si="67"/>
        <v>0</v>
      </c>
      <c r="AS350" s="168">
        <f t="shared" si="68"/>
        <v>0</v>
      </c>
      <c r="AT350" s="169" t="str">
        <f>K350</f>
        <v>MI</v>
      </c>
      <c r="AU350" s="169" t="str">
        <f>I350</f>
        <v>Mercadorias</v>
      </c>
      <c r="AV350" s="170"/>
      <c r="AW350" s="171">
        <f>IF(K350=$K$50,0,IF(K350=$K$53,0,IF(K350=$K$54,0,IF(K350=$K$55,0,IF(K350=$K$56,0,IF(K350=$K$57,0,IF(K350=$K$58,0,IF(K350=$K$65,0,IF(K350=$K$66,0,IF(K350=$K$67,0,IF(K350=$K$68,0,IF(K350=$K$69,0,IF(K350=$K$51,0,1))))))))))))*AM350*AI350)</f>
        <v>0</v>
      </c>
      <c r="AX350" s="172">
        <f>IF(K350=$K$50,0,IF(K350=$K$53,0,IF(K350=$K$54,0,IF(K350=$K$55,0,IF(K350=$K$56,0,IF(K350=$K$57,0,IF(K350=$K$58,0,IF(K350=$K$65,0,IF(K350=$K$66,0,IF(K350=$K$67,0,IF(K350=$K$68,0,IF(K350=$K$69,0,IF(K350=$K$51,0,1))))))))))))*AM350*AJ350*$AX$94)</f>
        <v>0</v>
      </c>
      <c r="AY350" s="172">
        <f>IF(K350=$K$53,0,IF(K350=$K$54,0,IF(K350=$K$55,0,IF(K350=$K$56,0,IF(K350=$K$58,0,IF(K350=$K$50,0,IF(K350=$K$65,0,IF(K350=$K$57,0,IF(K350=$K$51,0,AM350*$AY$102)))))))))</f>
        <v>0</v>
      </c>
      <c r="AZ350" s="172">
        <f>IF(K350=$K$53,0,IF(K350=$K$54,0,IF(K350=$K$55,0,IF(K350=$K$56,0,IF(K350=$K$58,0,IF(K350=$K$50,0,IF(K350=$K$65,0,IF(K350=$K$57,0,IF(K350=$K$51,0,AM350*$AZ$102)))))))))</f>
        <v>0</v>
      </c>
      <c r="BA350" s="172">
        <f t="shared" si="69"/>
        <v>0</v>
      </c>
      <c r="BB350" s="173">
        <f>IF($BA$97=1,AQ350*$BB$102,IF(K350=$K$50,0,IF(K350=$K$53,0,IF(K350=$K$54,0,IF(K350=$K$55,0,IF(K350=$K$56,0,IF(K350=$K$57,0,IF(K350=$K$58,0,IF(K350=$K$65,0,IF(K350=$K$66,0,IF(K350=$K$67,0,IF(K350=$K$68,0,IF(K350=$K$69,0,IF(K350=$K$51,0,1)))))))))))*AQ350*$BB$102)))</f>
        <v>0</v>
      </c>
      <c r="BC350" s="172">
        <f t="shared" si="70"/>
        <v>0</v>
      </c>
      <c r="BD350" s="172">
        <f t="shared" si="71"/>
        <v>0</v>
      </c>
      <c r="BE350" s="172">
        <f>IF($BE$95=I350,$BE$97,IF(I350=$BE$96,$BE$97,1))*($BE$102*AQ350)*$AZ$97</f>
        <v>0</v>
      </c>
      <c r="BF350" s="172">
        <f>IF('[1]Cockpit Retorno'!$C$65=Sim,Mestre!BA350,SUM(BB350:BE350)+(IF(K350=$K$56,AQ350*MOE_IRRF_LR,0)))</f>
        <v>0</v>
      </c>
      <c r="BG350" s="174">
        <f>IF(AA350&gt;0,0,IF(Z350=$Z$82,AG350*1,(IF(Z350=$Z$81,AG350*1,0))))</f>
        <v>0</v>
      </c>
      <c r="BH350" s="174">
        <f>IF(AA350&gt;0,0,IF(Z350=$Z$83,AG350*1,IF(Z350=$Z$81,AG350*1,0)))</f>
        <v>0</v>
      </c>
      <c r="BI350" s="174">
        <f>IF(AA350&gt;0,0,IF(Z350=$Z$84,AG350*1,IF(Z350=$Z$93,AG350*2,IF(Z350=$Z$100,AG350,IF(Z350=$Z$81,AG350*2,IF(Z350=$Z$80,AG350*1,IF(Z350=$Z$79,AG350*3,IF(Z350=$Z$78,AG350*2,0))))))))</f>
        <v>0</v>
      </c>
      <c r="BJ350" s="174">
        <f>IF(AA350&gt;0,0,IF(Z350=$Z$85,AG350,IF(Z350=$Z$93,AG350,IF(Z350=$Z$100,AG350,IF(Z350=$Z$81,AG350*1,IF(Z350=$Z$80,AG350*2,IF(Z350=$Z$79,AG350*2,IF(Z350=$Z$78,AG350*2,0))))))))</f>
        <v>0</v>
      </c>
      <c r="BK350" s="174">
        <f>IF(AA350&gt;0,0,IF(Z350=$Z$92,AG350,0))</f>
        <v>0</v>
      </c>
      <c r="BL350" s="174">
        <f>IF(AA350&gt;0,0,IF(Z350=$Z$91,AG350,0))</f>
        <v>0</v>
      </c>
      <c r="BM350" s="174">
        <f>IF(AA350&gt;0,0,IF(Z350=$Z$86,AG350,0))</f>
        <v>0</v>
      </c>
      <c r="BN350" s="174">
        <f>IF(AA350&gt;0,0,IF(Z350=$Z$87,AG350,0))</f>
        <v>0</v>
      </c>
      <c r="BO350" s="174">
        <f>IF(AA350&gt;0,0,IF(Z350=$Z$88,AG350,0))</f>
        <v>0</v>
      </c>
      <c r="BP350" s="174">
        <f>IF(AA350&gt;0,0,IF(Z350=$Z$89,AG350,0))</f>
        <v>0</v>
      </c>
      <c r="BQ350" s="174">
        <f>IF(AA350&gt;0,0,IF(Z350=$Z$90,AG350,0))</f>
        <v>0</v>
      </c>
      <c r="BR350" s="174">
        <f>IF(Z350=$Z$82,AA350*AG350,0)</f>
        <v>0</v>
      </c>
      <c r="BS350" s="174">
        <f>IF(Z350=$Z$83,AA350*AG350,0)</f>
        <v>0</v>
      </c>
      <c r="BT350" s="174">
        <f>IF(AA350&lt;1,0,IF(Z350=$Z$84,AA350*AG350,IF(Z350=$Z$93,"ERRO",IF(Z350=$Z$100,"ERRO",0))))</f>
        <v>0</v>
      </c>
      <c r="BU350" s="174">
        <f>IF(AA350&lt;1,0,IF(Z350=$Z$85,AA350*AG350,IF(Z350=$Z$93,"ERRO",IF(Z350=$Z$100,"ERRO",0))))</f>
        <v>0</v>
      </c>
      <c r="BV350" s="174">
        <f>IF(Z350=$Z$92,AA350*AG350,0)</f>
        <v>0</v>
      </c>
      <c r="BW350" s="174">
        <f>IF(Z350=$Z$91,AA350*AG350,0)</f>
        <v>0</v>
      </c>
      <c r="BX350" s="174">
        <f>IF(Z350=$Z$86,AA350*AG350,0)</f>
        <v>0</v>
      </c>
      <c r="BY350" s="174">
        <f>IF(Z350=$Z$87,AA350*AG350,0)</f>
        <v>0</v>
      </c>
      <c r="BZ350" s="174">
        <f>IF(Z350=$Z$88,AA350*AG350,0)</f>
        <v>0</v>
      </c>
      <c r="CA350" s="174">
        <f>IF(Z350=$Z$89,AA350*AG350,0)</f>
        <v>0</v>
      </c>
      <c r="CB350" s="174">
        <f>IF(Z350=$Z$90,AA350*AG350,0)</f>
        <v>0</v>
      </c>
      <c r="CC350" s="175">
        <f>IFERROR(IF(L350=$L$49,AG350*AH350*(1+AI350)*(1-AK350)*(1-AL350),0),0)</f>
        <v>620906.13</v>
      </c>
      <c r="CD350" s="203">
        <f>IF(I350=$CD$97,1,IF(I350=$CD$100,2,IF(K350=$K$66,1,IF(K350=$K$69,1,3))))</f>
        <v>1</v>
      </c>
      <c r="CE350" s="203">
        <f t="shared" si="14"/>
        <v>1.07</v>
      </c>
      <c r="CF350" s="204">
        <f t="shared" si="75"/>
        <v>1.2353999999999998</v>
      </c>
      <c r="CG350" s="203">
        <f t="shared" si="15"/>
        <v>1.42</v>
      </c>
      <c r="CH350" s="204">
        <f t="shared" si="76"/>
        <v>1.5478000000000001</v>
      </c>
      <c r="CI350" s="203">
        <f t="shared" si="16"/>
        <v>1.7</v>
      </c>
      <c r="CJ350" s="205">
        <f t="shared" si="77"/>
        <v>1.0486</v>
      </c>
      <c r="CK350" s="205">
        <f t="shared" si="78"/>
        <v>1.148922</v>
      </c>
      <c r="CL350" s="205">
        <f t="shared" si="79"/>
        <v>1.3915999999999999</v>
      </c>
      <c r="CM350" s="205">
        <f t="shared" si="80"/>
        <v>1.501366</v>
      </c>
      <c r="CN350" s="206">
        <f t="shared" si="81"/>
        <v>1.6319999999999999</v>
      </c>
      <c r="CO350" s="204">
        <f t="shared" si="82"/>
        <v>1.006656</v>
      </c>
      <c r="CP350" s="207">
        <f t="shared" si="83"/>
        <v>0</v>
      </c>
      <c r="CQ350" s="208">
        <f t="shared" si="84"/>
        <v>0</v>
      </c>
      <c r="CR350" s="209">
        <f t="shared" si="72"/>
        <v>0</v>
      </c>
      <c r="CS350" s="49"/>
      <c r="CT350" s="49"/>
      <c r="CU350" s="49"/>
      <c r="CV350" s="49"/>
      <c r="CW350" s="49"/>
      <c r="CX350" s="49"/>
      <c r="CY350" s="49"/>
      <c r="CZ350" s="49"/>
      <c r="DA350" s="49"/>
      <c r="DB350" s="49"/>
      <c r="DC350" s="49"/>
      <c r="DD350" s="49"/>
      <c r="DE350" s="49"/>
      <c r="DF350" s="49"/>
      <c r="DG350" s="49"/>
      <c r="DH350" s="49"/>
      <c r="DI350" s="49"/>
      <c r="DJ350" s="49"/>
      <c r="DK350" s="49"/>
      <c r="DL350" s="49"/>
      <c r="DM350" s="49"/>
      <c r="DN350" s="49"/>
      <c r="DO350" s="49"/>
      <c r="DP350" s="49"/>
      <c r="DQ350" s="49"/>
      <c r="DR350" s="49"/>
      <c r="DS350" s="49"/>
      <c r="DT350" s="49"/>
      <c r="DU350" s="49"/>
      <c r="DV350" s="49"/>
      <c r="DW350" s="49"/>
      <c r="DX350" s="49"/>
      <c r="DY350" s="49"/>
      <c r="DZ350" s="49"/>
      <c r="EA350" s="49"/>
      <c r="EB350" s="49"/>
      <c r="EC350" s="49"/>
      <c r="ED350" s="49"/>
      <c r="EE350" s="49"/>
      <c r="EF350" s="49"/>
      <c r="EG350" s="49"/>
      <c r="EH350" s="49"/>
      <c r="EI350" s="49"/>
      <c r="EJ350" s="49"/>
      <c r="EK350" s="49"/>
      <c r="EL350" s="49"/>
      <c r="EM350" s="49"/>
      <c r="EN350" s="49"/>
      <c r="EO350" s="49"/>
      <c r="EP350" s="49"/>
      <c r="EQ350" s="49"/>
      <c r="ER350" s="49"/>
      <c r="ES350" s="49"/>
      <c r="ET350" s="49"/>
      <c r="EU350" s="49"/>
      <c r="EV350" s="49"/>
      <c r="EW350" s="49"/>
      <c r="EX350" s="49"/>
      <c r="EY350" s="49"/>
      <c r="EZ350" s="49"/>
      <c r="FA350" s="49"/>
    </row>
    <row r="351" spans="1:157" s="210" customFormat="1" ht="51" x14ac:dyDescent="0.25">
      <c r="A351" s="113">
        <f>IF(AND('[1]Cockpit Retorno'!$E$67=Sim,Mestre!M351=Mestre!$M$98),0,1)</f>
        <v>1</v>
      </c>
      <c r="B351" s="113">
        <f>IF(AND('[1]Cockpit Retorno'!$E$67=Sim,Mestre!L351=Mestre!$L$48),0,1)</f>
        <v>1</v>
      </c>
      <c r="C351" s="113">
        <f>IF(AND('[1]Cockpit Retorno'!$E$67=Sim,Mestre!M351=Mestre!$M$97),0,1)</f>
        <v>1</v>
      </c>
      <c r="D351" s="148" t="s">
        <v>7</v>
      </c>
      <c r="E351" s="115"/>
      <c r="F351" s="116" t="s">
        <v>107</v>
      </c>
      <c r="G351" s="149">
        <v>29</v>
      </c>
      <c r="H351" s="150" t="s">
        <v>7</v>
      </c>
      <c r="I351" s="151" t="str">
        <f t="shared" si="65"/>
        <v>Mercadorias</v>
      </c>
      <c r="J351" s="150" t="s">
        <v>15</v>
      </c>
      <c r="K351" s="152" t="s">
        <v>7</v>
      </c>
      <c r="L351" s="153" t="s">
        <v>21</v>
      </c>
      <c r="M351" s="154" t="s">
        <v>437</v>
      </c>
      <c r="N351" s="155" t="s">
        <v>494</v>
      </c>
      <c r="O351" s="155" t="s">
        <v>516</v>
      </c>
      <c r="P351" s="155" t="s">
        <v>43</v>
      </c>
      <c r="Q351" s="155" t="s">
        <v>43</v>
      </c>
      <c r="R351" s="155" t="s">
        <v>43</v>
      </c>
      <c r="S351" s="156" t="s">
        <v>43</v>
      </c>
      <c r="T351" s="156" t="s">
        <v>43</v>
      </c>
      <c r="U351" s="150" t="s">
        <v>43</v>
      </c>
      <c r="V351" s="150" t="s">
        <v>43</v>
      </c>
      <c r="W351" s="150" t="s">
        <v>43</v>
      </c>
      <c r="X351" s="157" t="s">
        <v>517</v>
      </c>
      <c r="Y351" s="150">
        <f>5145+(5*3*4*30)</f>
        <v>6945</v>
      </c>
      <c r="Z351" s="150"/>
      <c r="AA351" s="158"/>
      <c r="AB351" s="155"/>
      <c r="AC351" s="150"/>
      <c r="AD351" s="155"/>
      <c r="AE351" s="155"/>
      <c r="AF351" s="150"/>
      <c r="AG351" s="159">
        <f>Y351</f>
        <v>6945</v>
      </c>
      <c r="AH351" s="211">
        <v>173.71469999999999</v>
      </c>
      <c r="AI351" s="202">
        <v>0</v>
      </c>
      <c r="AJ351" s="161">
        <v>7.0000000000000007E-2</v>
      </c>
      <c r="AK351" s="162">
        <v>4.2000000000000003E-2</v>
      </c>
      <c r="AL351" s="163"/>
      <c r="AM351" s="164">
        <f>(((IF(L351=$L$101,1,IF(L351=$L$47,1,0))*(AH351*(1-AK351)))*AG351)*(1-AL351))</f>
        <v>0</v>
      </c>
      <c r="AN351" s="165">
        <f>IF(K351=$K$50,AM351,IF(K351=$K$53,AM351,IF(K351=$K$54,AM351,IF(K351=$K$55,AM351,IF(K351=$K$56,AM351,IF(K351=$K$57,AM351,IF(K351=$K$58,AM351,IF(K351=$K$65,AM351,IF(K351=$K$66,AM351,IF(K351=$K$67,AM351,IF(K351=$K$68,AM351,IF(K351=$K$69,AM351,IF(K351=$K$51,AM351,(AM351*(1+AI351)))))))))))))))</f>
        <v>0</v>
      </c>
      <c r="AO351" s="166">
        <v>1.4</v>
      </c>
      <c r="AP351" s="160">
        <f t="shared" si="66"/>
        <v>0</v>
      </c>
      <c r="AQ351" s="167">
        <f t="shared" ref="AQ351:AQ368" si="85">AP351*Fator_Venda</f>
        <v>0</v>
      </c>
      <c r="AR351" s="160">
        <f t="shared" si="67"/>
        <v>0</v>
      </c>
      <c r="AS351" s="168">
        <f t="shared" si="68"/>
        <v>0</v>
      </c>
      <c r="AT351" s="169" t="str">
        <f>K351</f>
        <v>MI</v>
      </c>
      <c r="AU351" s="169" t="str">
        <f>I351</f>
        <v>Mercadorias</v>
      </c>
      <c r="AV351" s="170"/>
      <c r="AW351" s="171">
        <f>IF(K351=$K$50,0,IF(K351=$K$53,0,IF(K351=$K$54,0,IF(K351=$K$55,0,IF(K351=$K$56,0,IF(K351=$K$57,0,IF(K351=$K$58,0,IF(K351=$K$65,0,IF(K351=$K$66,0,IF(K351=$K$67,0,IF(K351=$K$68,0,IF(K351=$K$69,0,IF(K351=$K$51,0,1))))))))))))*AM351*AI351)</f>
        <v>0</v>
      </c>
      <c r="AX351" s="172">
        <f>IF(K351=$K$50,0,IF(K351=$K$53,0,IF(K351=$K$54,0,IF(K351=$K$55,0,IF(K351=$K$56,0,IF(K351=$K$57,0,IF(K351=$K$58,0,IF(K351=$K$65,0,IF(K351=$K$66,0,IF(K351=$K$67,0,IF(K351=$K$68,0,IF(K351=$K$69,0,IF(K351=$K$51,0,1))))))))))))*AM351*AJ351*$AX$94)</f>
        <v>0</v>
      </c>
      <c r="AY351" s="172">
        <f>IF(K351=$K$53,0,IF(K351=$K$54,0,IF(K351=$K$55,0,IF(K351=$K$56,0,IF(K351=$K$58,0,IF(K351=$K$50,0,IF(K351=$K$65,0,IF(K351=$K$57,0,IF(K351=$K$51,0,AM351*$AY$102)))))))))</f>
        <v>0</v>
      </c>
      <c r="AZ351" s="172">
        <f>IF(K351=$K$53,0,IF(K351=$K$54,0,IF(K351=$K$55,0,IF(K351=$K$56,0,IF(K351=$K$58,0,IF(K351=$K$50,0,IF(K351=$K$65,0,IF(K351=$K$57,0,IF(K351=$K$51,0,AM351*$AZ$102)))))))))</f>
        <v>0</v>
      </c>
      <c r="BA351" s="172">
        <f t="shared" si="69"/>
        <v>0</v>
      </c>
      <c r="BB351" s="173">
        <f>IF($BA$97=1,AQ351*$BB$102,IF(K351=$K$50,0,IF(K351=$K$53,0,IF(K351=$K$54,0,IF(K351=$K$55,0,IF(K351=$K$56,0,IF(K351=$K$57,0,IF(K351=$K$58,0,IF(K351=$K$65,0,IF(K351=$K$66,0,IF(K351=$K$67,0,IF(K351=$K$68,0,IF(K351=$K$69,0,IF(K351=$K$51,0,1)))))))))))*AQ351*$BB$102)))</f>
        <v>0</v>
      </c>
      <c r="BC351" s="172">
        <f t="shared" si="70"/>
        <v>0</v>
      </c>
      <c r="BD351" s="172">
        <f t="shared" si="71"/>
        <v>0</v>
      </c>
      <c r="BE351" s="172">
        <f>IF($BE$95=I351,$BE$97,IF(I351=$BE$96,$BE$97,1))*($BE$102*AQ351)*$AZ$97</f>
        <v>0</v>
      </c>
      <c r="BF351" s="172">
        <f>IF('[1]Cockpit Retorno'!$C$65=Sim,Mestre!BA351,SUM(BB351:BE351)+(IF(K351=$K$56,AQ351*MOE_IRRF_LR,0)))</f>
        <v>0</v>
      </c>
      <c r="BG351" s="174">
        <f>IF(AA351&gt;0,0,IF(Z351=$Z$82,AG351*1,(IF(Z351=$Z$81,AG351*1,0))))</f>
        <v>0</v>
      </c>
      <c r="BH351" s="174">
        <f>IF(AA351&gt;0,0,IF(Z351=$Z$83,AG351*1,IF(Z351=$Z$81,AG351*1,0)))</f>
        <v>0</v>
      </c>
      <c r="BI351" s="174">
        <f>IF(AA351&gt;0,0,IF(Z351=$Z$84,AG351*1,IF(Z351=$Z$93,AG351*2,IF(Z351=$Z$100,AG351,IF(Z351=$Z$81,AG351*2,IF(Z351=$Z$80,AG351*1,IF(Z351=$Z$79,AG351*3,IF(Z351=$Z$78,AG351*2,0))))))))</f>
        <v>0</v>
      </c>
      <c r="BJ351" s="174">
        <f>IF(AA351&gt;0,0,IF(Z351=$Z$85,AG351,IF(Z351=$Z$93,AG351,IF(Z351=$Z$100,AG351,IF(Z351=$Z$81,AG351*1,IF(Z351=$Z$80,AG351*2,IF(Z351=$Z$79,AG351*2,IF(Z351=$Z$78,AG351*2,0))))))))</f>
        <v>0</v>
      </c>
      <c r="BK351" s="174">
        <f>IF(AA351&gt;0,0,IF(Z351=$Z$92,AG351,0))</f>
        <v>0</v>
      </c>
      <c r="BL351" s="174">
        <f>IF(AA351&gt;0,0,IF(Z351=$Z$91,AG351,0))</f>
        <v>0</v>
      </c>
      <c r="BM351" s="174">
        <f>IF(AA351&gt;0,0,IF(Z351=$Z$86,AG351,0))</f>
        <v>0</v>
      </c>
      <c r="BN351" s="174">
        <f>IF(AA351&gt;0,0,IF(Z351=$Z$87,AG351,0))</f>
        <v>0</v>
      </c>
      <c r="BO351" s="174">
        <f>IF(AA351&gt;0,0,IF(Z351=$Z$88,AG351,0))</f>
        <v>0</v>
      </c>
      <c r="BP351" s="174">
        <f>IF(AA351&gt;0,0,IF(Z351=$Z$89,AG351,0))</f>
        <v>0</v>
      </c>
      <c r="BQ351" s="174">
        <f>IF(AA351&gt;0,0,IF(Z351=$Z$90,AG351,0))</f>
        <v>0</v>
      </c>
      <c r="BR351" s="174">
        <f>IF(Z351=$Z$82,AA351*AG351,0)</f>
        <v>0</v>
      </c>
      <c r="BS351" s="174">
        <f>IF(Z351=$Z$83,AA351*AG351,0)</f>
        <v>0</v>
      </c>
      <c r="BT351" s="174">
        <f>IF(AA351&lt;1,0,IF(Z351=$Z$84,AA351*AG351,IF(Z351=$Z$93,"ERRO",IF(Z351=$Z$100,"ERRO",0))))</f>
        <v>0</v>
      </c>
      <c r="BU351" s="174">
        <f>IF(AA351&lt;1,0,IF(Z351=$Z$85,AA351*AG351,IF(Z351=$Z$93,"ERRO",IF(Z351=$Z$100,"ERRO",0))))</f>
        <v>0</v>
      </c>
      <c r="BV351" s="174">
        <f>IF(Z351=$Z$92,AA351*AG351,0)</f>
        <v>0</v>
      </c>
      <c r="BW351" s="174">
        <f>IF(Z351=$Z$91,AA351*AG351,0)</f>
        <v>0</v>
      </c>
      <c r="BX351" s="174">
        <f>IF(Z351=$Z$86,AA351*AG351,0)</f>
        <v>0</v>
      </c>
      <c r="BY351" s="174">
        <f>IF(Z351=$Z$87,AA351*AG351,0)</f>
        <v>0</v>
      </c>
      <c r="BZ351" s="174">
        <f>IF(Z351=$Z$88,AA351*AG351,0)</f>
        <v>0</v>
      </c>
      <c r="CA351" s="174">
        <f>IF(Z351=$Z$89,AA351*AG351,0)</f>
        <v>0</v>
      </c>
      <c r="CB351" s="174">
        <f>IF(Z351=$Z$90,AA351*AG351,0)</f>
        <v>0</v>
      </c>
      <c r="CC351" s="175">
        <f>IFERROR(IF(L351=$L$49,AG351*AH351*(1+AI351)*(1-AK351)*(1-AL351),0),0)</f>
        <v>1155777.7506569999</v>
      </c>
      <c r="CD351" s="203">
        <f>IF(I351=$CD$97,1,IF(I351=$CD$100,2,IF(K351=$K$66,1,IF(K351=$K$69,1,3))))</f>
        <v>1</v>
      </c>
      <c r="CE351" s="203">
        <f t="shared" si="14"/>
        <v>1.07</v>
      </c>
      <c r="CF351" s="204">
        <f t="shared" si="75"/>
        <v>1.2353999999999998</v>
      </c>
      <c r="CG351" s="203">
        <f t="shared" si="15"/>
        <v>1.42</v>
      </c>
      <c r="CH351" s="204">
        <f t="shared" si="76"/>
        <v>1.5478000000000001</v>
      </c>
      <c r="CI351" s="203">
        <f t="shared" si="16"/>
        <v>1.7</v>
      </c>
      <c r="CJ351" s="205">
        <f t="shared" si="77"/>
        <v>1.0486</v>
      </c>
      <c r="CK351" s="205">
        <f t="shared" si="78"/>
        <v>1.148922</v>
      </c>
      <c r="CL351" s="205">
        <f t="shared" si="79"/>
        <v>1.3915999999999999</v>
      </c>
      <c r="CM351" s="205">
        <f t="shared" si="80"/>
        <v>1.501366</v>
      </c>
      <c r="CN351" s="206">
        <f t="shared" si="81"/>
        <v>1.6319999999999999</v>
      </c>
      <c r="CO351" s="204">
        <f t="shared" si="82"/>
        <v>1.006656</v>
      </c>
      <c r="CP351" s="207">
        <f t="shared" si="83"/>
        <v>0</v>
      </c>
      <c r="CQ351" s="208">
        <f t="shared" si="84"/>
        <v>0</v>
      </c>
      <c r="CR351" s="209">
        <f t="shared" si="72"/>
        <v>0</v>
      </c>
      <c r="CS351" s="49"/>
      <c r="CT351" s="49"/>
      <c r="CU351" s="49"/>
      <c r="CV351" s="49"/>
      <c r="CW351" s="49"/>
      <c r="CX351" s="49"/>
      <c r="CY351" s="49"/>
      <c r="CZ351" s="49"/>
      <c r="DA351" s="49"/>
      <c r="DB351" s="49"/>
      <c r="DC351" s="49"/>
      <c r="DD351" s="49"/>
      <c r="DE351" s="49"/>
      <c r="DF351" s="49"/>
      <c r="DG351" s="49"/>
      <c r="DH351" s="49"/>
      <c r="DI351" s="49"/>
      <c r="DJ351" s="49"/>
      <c r="DK351" s="49"/>
      <c r="DL351" s="49"/>
      <c r="DM351" s="49"/>
      <c r="DN351" s="49"/>
      <c r="DO351" s="49"/>
      <c r="DP351" s="49"/>
      <c r="DQ351" s="49"/>
      <c r="DR351" s="49"/>
      <c r="DS351" s="49"/>
      <c r="DT351" s="49"/>
      <c r="DU351" s="49"/>
      <c r="DV351" s="49"/>
      <c r="DW351" s="49"/>
      <c r="DX351" s="49"/>
      <c r="DY351" s="49"/>
      <c r="DZ351" s="49"/>
      <c r="EA351" s="49"/>
      <c r="EB351" s="49"/>
      <c r="EC351" s="49"/>
      <c r="ED351" s="49"/>
      <c r="EE351" s="49"/>
      <c r="EF351" s="49"/>
      <c r="EG351" s="49"/>
      <c r="EH351" s="49"/>
      <c r="EI351" s="49"/>
      <c r="EJ351" s="49"/>
      <c r="EK351" s="49"/>
      <c r="EL351" s="49"/>
      <c r="EM351" s="49"/>
      <c r="EN351" s="49"/>
      <c r="EO351" s="49"/>
      <c r="EP351" s="49"/>
      <c r="EQ351" s="49"/>
      <c r="ER351" s="49"/>
      <c r="ES351" s="49"/>
      <c r="ET351" s="49"/>
      <c r="EU351" s="49"/>
      <c r="EV351" s="49"/>
      <c r="EW351" s="49"/>
      <c r="EX351" s="49"/>
      <c r="EY351" s="49"/>
      <c r="EZ351" s="49"/>
      <c r="FA351" s="49"/>
    </row>
    <row r="352" spans="1:157" s="210" customFormat="1" ht="51" x14ac:dyDescent="0.25">
      <c r="A352" s="113">
        <f>IF(AND('[1]Cockpit Retorno'!$E$67=Sim,Mestre!M352=Mestre!$M$98),0,1)</f>
        <v>1</v>
      </c>
      <c r="B352" s="113">
        <f>IF(AND('[1]Cockpit Retorno'!$E$67=Sim,Mestre!L352=Mestre!$L$48),0,1)</f>
        <v>1</v>
      </c>
      <c r="C352" s="113">
        <f>IF(AND('[1]Cockpit Retorno'!$E$67=Sim,Mestre!M352=Mestre!$M$97),0,1)</f>
        <v>1</v>
      </c>
      <c r="D352" s="148" t="s">
        <v>7</v>
      </c>
      <c r="E352" s="115"/>
      <c r="F352" s="116" t="s">
        <v>107</v>
      </c>
      <c r="G352" s="149">
        <v>29</v>
      </c>
      <c r="H352" s="150" t="s">
        <v>7</v>
      </c>
      <c r="I352" s="151" t="str">
        <f t="shared" si="65"/>
        <v>Mercadorias</v>
      </c>
      <c r="J352" s="150" t="s">
        <v>15</v>
      </c>
      <c r="K352" s="152" t="s">
        <v>7</v>
      </c>
      <c r="L352" s="153" t="s">
        <v>21</v>
      </c>
      <c r="M352" s="154" t="s">
        <v>513</v>
      </c>
      <c r="N352" s="155" t="s">
        <v>494</v>
      </c>
      <c r="O352" s="155" t="s">
        <v>516</v>
      </c>
      <c r="P352" s="155" t="s">
        <v>43</v>
      </c>
      <c r="Q352" s="155" t="s">
        <v>43</v>
      </c>
      <c r="R352" s="155" t="s">
        <v>43</v>
      </c>
      <c r="S352" s="156" t="s">
        <v>43</v>
      </c>
      <c r="T352" s="156" t="s">
        <v>43</v>
      </c>
      <c r="U352" s="150" t="s">
        <v>43</v>
      </c>
      <c r="V352" s="150" t="s">
        <v>43</v>
      </c>
      <c r="W352" s="150" t="s">
        <v>43</v>
      </c>
      <c r="X352" s="157" t="s">
        <v>518</v>
      </c>
      <c r="Y352" s="150">
        <v>1020</v>
      </c>
      <c r="Z352" s="150"/>
      <c r="AA352" s="158"/>
      <c r="AB352" s="155"/>
      <c r="AC352" s="150"/>
      <c r="AD352" s="155"/>
      <c r="AE352" s="155"/>
      <c r="AF352" s="150"/>
      <c r="AG352" s="159">
        <f>Y352</f>
        <v>1020</v>
      </c>
      <c r="AH352" s="211">
        <v>133.23179999999999</v>
      </c>
      <c r="AI352" s="202">
        <v>0</v>
      </c>
      <c r="AJ352" s="161">
        <v>7.0000000000000007E-2</v>
      </c>
      <c r="AK352" s="162">
        <v>4.2000000000000003E-2</v>
      </c>
      <c r="AL352" s="163"/>
      <c r="AM352" s="164">
        <f>(((IF(L352=$L$101,1,IF(L352=$L$47,1,0))*(AH352*(1-AK352)))*AG352)*(1-AL352))</f>
        <v>0</v>
      </c>
      <c r="AN352" s="165">
        <f>IF(K352=$K$50,AM352,IF(K352=$K$53,AM352,IF(K352=$K$54,AM352,IF(K352=$K$55,AM352,IF(K352=$K$56,AM352,IF(K352=$K$57,AM352,IF(K352=$K$58,AM352,IF(K352=$K$65,AM352,IF(K352=$K$66,AM352,IF(K352=$K$67,AM352,IF(K352=$K$68,AM352,IF(K352=$K$69,AM352,IF(K352=$K$51,AM352,(AM352*(1+AI352)))))))))))))))</f>
        <v>0</v>
      </c>
      <c r="AO352" s="166">
        <v>1.4</v>
      </c>
      <c r="AP352" s="160">
        <f t="shared" si="66"/>
        <v>0</v>
      </c>
      <c r="AQ352" s="167">
        <f t="shared" si="85"/>
        <v>0</v>
      </c>
      <c r="AR352" s="160">
        <f t="shared" si="67"/>
        <v>0</v>
      </c>
      <c r="AS352" s="168">
        <f t="shared" si="68"/>
        <v>0</v>
      </c>
      <c r="AT352" s="169" t="str">
        <f>K352</f>
        <v>MI</v>
      </c>
      <c r="AU352" s="169" t="str">
        <f>I352</f>
        <v>Mercadorias</v>
      </c>
      <c r="AV352" s="170"/>
      <c r="AW352" s="171">
        <f>IF(K352=$K$50,0,IF(K352=$K$53,0,IF(K352=$K$54,0,IF(K352=$K$55,0,IF(K352=$K$56,0,IF(K352=$K$57,0,IF(K352=$K$58,0,IF(K352=$K$65,0,IF(K352=$K$66,0,IF(K352=$K$67,0,IF(K352=$K$68,0,IF(K352=$K$69,0,IF(K352=$K$51,0,1))))))))))))*AM352*AI352)</f>
        <v>0</v>
      </c>
      <c r="AX352" s="172">
        <f>IF(K352=$K$50,0,IF(K352=$K$53,0,IF(K352=$K$54,0,IF(K352=$K$55,0,IF(K352=$K$56,0,IF(K352=$K$57,0,IF(K352=$K$58,0,IF(K352=$K$65,0,IF(K352=$K$66,0,IF(K352=$K$67,0,IF(K352=$K$68,0,IF(K352=$K$69,0,IF(K352=$K$51,0,1))))))))))))*AM352*AJ352*$AX$94)</f>
        <v>0</v>
      </c>
      <c r="AY352" s="172">
        <f>IF(K352=$K$53,0,IF(K352=$K$54,0,IF(K352=$K$55,0,IF(K352=$K$56,0,IF(K352=$K$58,0,IF(K352=$K$50,0,IF(K352=$K$65,0,IF(K352=$K$57,0,IF(K352=$K$51,0,AM352*$AY$102)))))))))</f>
        <v>0</v>
      </c>
      <c r="AZ352" s="172">
        <f>IF(K352=$K$53,0,IF(K352=$K$54,0,IF(K352=$K$55,0,IF(K352=$K$56,0,IF(K352=$K$58,0,IF(K352=$K$50,0,IF(K352=$K$65,0,IF(K352=$K$57,0,IF(K352=$K$51,0,AM352*$AZ$102)))))))))</f>
        <v>0</v>
      </c>
      <c r="BA352" s="172">
        <f t="shared" si="69"/>
        <v>0</v>
      </c>
      <c r="BB352" s="173">
        <f>IF($BA$97=1,AQ352*$BB$102,IF(K352=$K$50,0,IF(K352=$K$53,0,IF(K352=$K$54,0,IF(K352=$K$55,0,IF(K352=$K$56,0,IF(K352=$K$57,0,IF(K352=$K$58,0,IF(K352=$K$65,0,IF(K352=$K$66,0,IF(K352=$K$67,0,IF(K352=$K$68,0,IF(K352=$K$69,0,IF(K352=$K$51,0,1)))))))))))*AQ352*$BB$102)))</f>
        <v>0</v>
      </c>
      <c r="BC352" s="172">
        <f t="shared" si="70"/>
        <v>0</v>
      </c>
      <c r="BD352" s="172">
        <f t="shared" si="71"/>
        <v>0</v>
      </c>
      <c r="BE352" s="172">
        <f>IF($BE$95=I352,$BE$97,IF(I352=$BE$96,$BE$97,1))*($BE$102*AQ352)*$AZ$97</f>
        <v>0</v>
      </c>
      <c r="BF352" s="172">
        <f>IF('[1]Cockpit Retorno'!$C$65=Sim,Mestre!BA352,SUM(BB352:BE352)+(IF(K352=$K$56,AQ352*MOE_IRRF_LR,0)))</f>
        <v>0</v>
      </c>
      <c r="BG352" s="174">
        <f>IF(AA352&gt;0,0,IF(Z352=$Z$82,AG352*1,(IF(Z352=$Z$81,AG352*1,0))))</f>
        <v>0</v>
      </c>
      <c r="BH352" s="174">
        <f>IF(AA352&gt;0,0,IF(Z352=$Z$83,AG352*1,IF(Z352=$Z$81,AG352*1,0)))</f>
        <v>0</v>
      </c>
      <c r="BI352" s="174">
        <f>IF(AA352&gt;0,0,IF(Z352=$Z$84,AG352*1,IF(Z352=$Z$93,AG352*2,IF(Z352=$Z$100,AG352,IF(Z352=$Z$81,AG352*2,IF(Z352=$Z$80,AG352*1,IF(Z352=$Z$79,AG352*3,IF(Z352=$Z$78,AG352*2,0))))))))</f>
        <v>0</v>
      </c>
      <c r="BJ352" s="174">
        <f>IF(AA352&gt;0,0,IF(Z352=$Z$85,AG352,IF(Z352=$Z$93,AG352,IF(Z352=$Z$100,AG352,IF(Z352=$Z$81,AG352*1,IF(Z352=$Z$80,AG352*2,IF(Z352=$Z$79,AG352*2,IF(Z352=$Z$78,AG352*2,0))))))))</f>
        <v>0</v>
      </c>
      <c r="BK352" s="174">
        <f>IF(AA352&gt;0,0,IF(Z352=$Z$92,AG352,0))</f>
        <v>0</v>
      </c>
      <c r="BL352" s="174">
        <f>IF(AA352&gt;0,0,IF(Z352=$Z$91,AG352,0))</f>
        <v>0</v>
      </c>
      <c r="BM352" s="174">
        <f>IF(AA352&gt;0,0,IF(Z352=$Z$86,AG352,0))</f>
        <v>0</v>
      </c>
      <c r="BN352" s="174">
        <f>IF(AA352&gt;0,0,IF(Z352=$Z$87,AG352,0))</f>
        <v>0</v>
      </c>
      <c r="BO352" s="174">
        <f>IF(AA352&gt;0,0,IF(Z352=$Z$88,AG352,0))</f>
        <v>0</v>
      </c>
      <c r="BP352" s="174">
        <f>IF(AA352&gt;0,0,IF(Z352=$Z$89,AG352,0))</f>
        <v>0</v>
      </c>
      <c r="BQ352" s="174">
        <f>IF(AA352&gt;0,0,IF(Z352=$Z$90,AG352,0))</f>
        <v>0</v>
      </c>
      <c r="BR352" s="174">
        <f>IF(Z352=$Z$82,AA352*AG352,0)</f>
        <v>0</v>
      </c>
      <c r="BS352" s="174">
        <f>IF(Z352=$Z$83,AA352*AG352,0)</f>
        <v>0</v>
      </c>
      <c r="BT352" s="174">
        <f>IF(AA352&lt;1,0,IF(Z352=$Z$84,AA352*AG352,IF(Z352=$Z$93,"ERRO",IF(Z352=$Z$100,"ERRO",0))))</f>
        <v>0</v>
      </c>
      <c r="BU352" s="174">
        <f>IF(AA352&lt;1,0,IF(Z352=$Z$85,AA352*AG352,IF(Z352=$Z$93,"ERRO",IF(Z352=$Z$100,"ERRO",0))))</f>
        <v>0</v>
      </c>
      <c r="BV352" s="174">
        <f>IF(Z352=$Z$92,AA352*AG352,0)</f>
        <v>0</v>
      </c>
      <c r="BW352" s="174">
        <f>IF(Z352=$Z$91,AA352*AG352,0)</f>
        <v>0</v>
      </c>
      <c r="BX352" s="174">
        <f>IF(Z352=$Z$86,AA352*AG352,0)</f>
        <v>0</v>
      </c>
      <c r="BY352" s="174">
        <f>IF(Z352=$Z$87,AA352*AG352,0)</f>
        <v>0</v>
      </c>
      <c r="BZ352" s="174">
        <f>IF(Z352=$Z$88,AA352*AG352,0)</f>
        <v>0</v>
      </c>
      <c r="CA352" s="174">
        <f>IF(Z352=$Z$89,AA352*AG352,0)</f>
        <v>0</v>
      </c>
      <c r="CB352" s="174">
        <f>IF(Z352=$Z$90,AA352*AG352,0)</f>
        <v>0</v>
      </c>
      <c r="CC352" s="175">
        <f>IFERROR(IF(L352=$L$49,AG352*AH352*(1+AI352)*(1-AK352)*(1-AL352),0),0)</f>
        <v>130188.78568799999</v>
      </c>
      <c r="CD352" s="203">
        <f>IF(I352=$CD$97,1,IF(I352=$CD$100,2,IF(K352=$K$66,1,IF(K352=$K$69,1,3))))</f>
        <v>1</v>
      </c>
      <c r="CE352" s="203">
        <f t="shared" si="14"/>
        <v>1.07</v>
      </c>
      <c r="CF352" s="204">
        <f t="shared" si="75"/>
        <v>1.2353999999999998</v>
      </c>
      <c r="CG352" s="203">
        <f t="shared" si="15"/>
        <v>1.42</v>
      </c>
      <c r="CH352" s="204">
        <f t="shared" si="76"/>
        <v>1.5478000000000001</v>
      </c>
      <c r="CI352" s="203">
        <f t="shared" si="16"/>
        <v>1.7</v>
      </c>
      <c r="CJ352" s="205">
        <f t="shared" si="77"/>
        <v>1.0486</v>
      </c>
      <c r="CK352" s="205">
        <f t="shared" si="78"/>
        <v>1.148922</v>
      </c>
      <c r="CL352" s="205">
        <f t="shared" si="79"/>
        <v>1.3915999999999999</v>
      </c>
      <c r="CM352" s="205">
        <f t="shared" si="80"/>
        <v>1.501366</v>
      </c>
      <c r="CN352" s="206">
        <f t="shared" si="81"/>
        <v>1.6319999999999999</v>
      </c>
      <c r="CO352" s="204">
        <f t="shared" si="82"/>
        <v>1.006656</v>
      </c>
      <c r="CP352" s="207">
        <f t="shared" si="83"/>
        <v>0</v>
      </c>
      <c r="CQ352" s="208">
        <f t="shared" si="84"/>
        <v>0</v>
      </c>
      <c r="CR352" s="209">
        <f t="shared" si="72"/>
        <v>0</v>
      </c>
      <c r="CS352" s="49"/>
      <c r="CT352" s="49"/>
      <c r="CU352" s="49"/>
      <c r="CV352" s="49"/>
      <c r="CW352" s="49"/>
      <c r="CX352" s="49"/>
      <c r="CY352" s="49"/>
      <c r="CZ352" s="49"/>
      <c r="DA352" s="49"/>
      <c r="DB352" s="49"/>
      <c r="DC352" s="49"/>
      <c r="DD352" s="49"/>
      <c r="DE352" s="49"/>
      <c r="DF352" s="49"/>
      <c r="DG352" s="49"/>
      <c r="DH352" s="49"/>
      <c r="DI352" s="49"/>
      <c r="DJ352" s="49"/>
      <c r="DK352" s="49"/>
      <c r="DL352" s="49"/>
      <c r="DM352" s="49"/>
      <c r="DN352" s="49"/>
      <c r="DO352" s="49"/>
      <c r="DP352" s="49"/>
      <c r="DQ352" s="49"/>
      <c r="DR352" s="49"/>
      <c r="DS352" s="49"/>
      <c r="DT352" s="49"/>
      <c r="DU352" s="49"/>
      <c r="DV352" s="49"/>
      <c r="DW352" s="49"/>
      <c r="DX352" s="49"/>
      <c r="DY352" s="49"/>
      <c r="DZ352" s="49"/>
      <c r="EA352" s="49"/>
      <c r="EB352" s="49"/>
      <c r="EC352" s="49"/>
      <c r="ED352" s="49"/>
      <c r="EE352" s="49"/>
      <c r="EF352" s="49"/>
      <c r="EG352" s="49"/>
      <c r="EH352" s="49"/>
      <c r="EI352" s="49"/>
      <c r="EJ352" s="49"/>
      <c r="EK352" s="49"/>
      <c r="EL352" s="49"/>
      <c r="EM352" s="49"/>
      <c r="EN352" s="49"/>
      <c r="EO352" s="49"/>
      <c r="EP352" s="49"/>
      <c r="EQ352" s="49"/>
      <c r="ER352" s="49"/>
      <c r="ES352" s="49"/>
      <c r="ET352" s="49"/>
      <c r="EU352" s="49"/>
      <c r="EV352" s="49"/>
      <c r="EW352" s="49"/>
      <c r="EX352" s="49"/>
      <c r="EY352" s="49"/>
      <c r="EZ352" s="49"/>
      <c r="FA352" s="49"/>
    </row>
    <row r="353" spans="1:157" s="210" customFormat="1" ht="51" x14ac:dyDescent="0.25">
      <c r="A353" s="113">
        <f>IF(AND('[1]Cockpit Retorno'!$E$67=Sim,Mestre!M353=Mestre!$M$98),0,1)</f>
        <v>1</v>
      </c>
      <c r="B353" s="113">
        <f>IF(AND('[1]Cockpit Retorno'!$E$67=Sim,Mestre!L353=Mestre!$L$48),0,1)</f>
        <v>1</v>
      </c>
      <c r="C353" s="113">
        <f>IF(AND('[1]Cockpit Retorno'!$E$67=Sim,Mestre!M353=Mestre!$M$97),0,1)</f>
        <v>1</v>
      </c>
      <c r="D353" s="148" t="s">
        <v>7</v>
      </c>
      <c r="E353" s="115"/>
      <c r="F353" s="116" t="s">
        <v>107</v>
      </c>
      <c r="G353" s="149">
        <v>29</v>
      </c>
      <c r="H353" s="150" t="s">
        <v>7</v>
      </c>
      <c r="I353" s="151" t="str">
        <f t="shared" si="65"/>
        <v>Mercadorias</v>
      </c>
      <c r="J353" s="150" t="s">
        <v>15</v>
      </c>
      <c r="K353" s="152" t="s">
        <v>7</v>
      </c>
      <c r="L353" s="153" t="s">
        <v>21</v>
      </c>
      <c r="M353" s="154" t="s">
        <v>513</v>
      </c>
      <c r="N353" s="155" t="s">
        <v>494</v>
      </c>
      <c r="O353" s="155" t="s">
        <v>516</v>
      </c>
      <c r="P353" s="155" t="s">
        <v>43</v>
      </c>
      <c r="Q353" s="155" t="s">
        <v>43</v>
      </c>
      <c r="R353" s="155" t="s">
        <v>43</v>
      </c>
      <c r="S353" s="156" t="s">
        <v>43</v>
      </c>
      <c r="T353" s="156" t="s">
        <v>43</v>
      </c>
      <c r="U353" s="150" t="s">
        <v>43</v>
      </c>
      <c r="V353" s="150" t="s">
        <v>43</v>
      </c>
      <c r="W353" s="150" t="s">
        <v>43</v>
      </c>
      <c r="X353" s="157" t="s">
        <v>519</v>
      </c>
      <c r="Y353" s="150">
        <v>4485</v>
      </c>
      <c r="Z353" s="150"/>
      <c r="AA353" s="158"/>
      <c r="AB353" s="155"/>
      <c r="AC353" s="150"/>
      <c r="AD353" s="155"/>
      <c r="AE353" s="155"/>
      <c r="AF353" s="150"/>
      <c r="AG353" s="159">
        <f>Y353</f>
        <v>4485</v>
      </c>
      <c r="AH353" s="211">
        <v>108.8565</v>
      </c>
      <c r="AI353" s="202">
        <v>0</v>
      </c>
      <c r="AJ353" s="161">
        <v>7.0000000000000007E-2</v>
      </c>
      <c r="AK353" s="162">
        <v>4.2000000000000003E-2</v>
      </c>
      <c r="AL353" s="163"/>
      <c r="AM353" s="164">
        <f>(((IF(L353=$L$101,1,IF(L353=$L$47,1,0))*(AH353*(1-AK353)))*AG353)*(1-AL353))</f>
        <v>0</v>
      </c>
      <c r="AN353" s="165">
        <f>IF(K353=$K$50,AM353,IF(K353=$K$53,AM353,IF(K353=$K$54,AM353,IF(K353=$K$55,AM353,IF(K353=$K$56,AM353,IF(K353=$K$57,AM353,IF(K353=$K$58,AM353,IF(K353=$K$65,AM353,IF(K353=$K$66,AM353,IF(K353=$K$67,AM353,IF(K353=$K$68,AM353,IF(K353=$K$69,AM353,IF(K353=$K$51,AM353,(AM353*(1+AI353)))))))))))))))</f>
        <v>0</v>
      </c>
      <c r="AO353" s="166">
        <v>1.4</v>
      </c>
      <c r="AP353" s="160">
        <f t="shared" si="66"/>
        <v>0</v>
      </c>
      <c r="AQ353" s="167">
        <f t="shared" si="85"/>
        <v>0</v>
      </c>
      <c r="AR353" s="160">
        <f t="shared" si="67"/>
        <v>0</v>
      </c>
      <c r="AS353" s="168">
        <f t="shared" si="68"/>
        <v>0</v>
      </c>
      <c r="AT353" s="169" t="str">
        <f>K353</f>
        <v>MI</v>
      </c>
      <c r="AU353" s="169" t="str">
        <f>I353</f>
        <v>Mercadorias</v>
      </c>
      <c r="AV353" s="170"/>
      <c r="AW353" s="171">
        <f>IF(K353=$K$50,0,IF(K353=$K$53,0,IF(K353=$K$54,0,IF(K353=$K$55,0,IF(K353=$K$56,0,IF(K353=$K$57,0,IF(K353=$K$58,0,IF(K353=$K$65,0,IF(K353=$K$66,0,IF(K353=$K$67,0,IF(K353=$K$68,0,IF(K353=$K$69,0,IF(K353=$K$51,0,1))))))))))))*AM353*AI353)</f>
        <v>0</v>
      </c>
      <c r="AX353" s="172">
        <f>IF(K353=$K$50,0,IF(K353=$K$53,0,IF(K353=$K$54,0,IF(K353=$K$55,0,IF(K353=$K$56,0,IF(K353=$K$57,0,IF(K353=$K$58,0,IF(K353=$K$65,0,IF(K353=$K$66,0,IF(K353=$K$67,0,IF(K353=$K$68,0,IF(K353=$K$69,0,IF(K353=$K$51,0,1))))))))))))*AM353*AJ353*$AX$94)</f>
        <v>0</v>
      </c>
      <c r="AY353" s="172">
        <f>IF(K353=$K$53,0,IF(K353=$K$54,0,IF(K353=$K$55,0,IF(K353=$K$56,0,IF(K353=$K$58,0,IF(K353=$K$50,0,IF(K353=$K$65,0,IF(K353=$K$57,0,IF(K353=$K$51,0,AM353*$AY$102)))))))))</f>
        <v>0</v>
      </c>
      <c r="AZ353" s="172">
        <f>IF(K353=$K$53,0,IF(K353=$K$54,0,IF(K353=$K$55,0,IF(K353=$K$56,0,IF(K353=$K$58,0,IF(K353=$K$50,0,IF(K353=$K$65,0,IF(K353=$K$57,0,IF(K353=$K$51,0,AM353*$AZ$102)))))))))</f>
        <v>0</v>
      </c>
      <c r="BA353" s="172">
        <f t="shared" si="69"/>
        <v>0</v>
      </c>
      <c r="BB353" s="173">
        <f>IF($BA$97=1,AQ353*$BB$102,IF(K353=$K$50,0,IF(K353=$K$53,0,IF(K353=$K$54,0,IF(K353=$K$55,0,IF(K353=$K$56,0,IF(K353=$K$57,0,IF(K353=$K$58,0,IF(K353=$K$65,0,IF(K353=$K$66,0,IF(K353=$K$67,0,IF(K353=$K$68,0,IF(K353=$K$69,0,IF(K353=$K$51,0,1)))))))))))*AQ353*$BB$102)))</f>
        <v>0</v>
      </c>
      <c r="BC353" s="172">
        <f t="shared" si="70"/>
        <v>0</v>
      </c>
      <c r="BD353" s="172">
        <f t="shared" si="71"/>
        <v>0</v>
      </c>
      <c r="BE353" s="172">
        <f>IF($BE$95=I353,$BE$97,IF(I353=$BE$96,$BE$97,1))*($BE$102*AQ353)*$AZ$97</f>
        <v>0</v>
      </c>
      <c r="BF353" s="172">
        <f>IF('[1]Cockpit Retorno'!$C$65=Sim,Mestre!BA353,SUM(BB353:BE353)+(IF(K353=$K$56,AQ353*MOE_IRRF_LR,0)))</f>
        <v>0</v>
      </c>
      <c r="BG353" s="174">
        <f>IF(AA353&gt;0,0,IF(Z353=$Z$82,AG353*1,(IF(Z353=$Z$81,AG353*1,0))))</f>
        <v>0</v>
      </c>
      <c r="BH353" s="174">
        <f>IF(AA353&gt;0,0,IF(Z353=$Z$83,AG353*1,IF(Z353=$Z$81,AG353*1,0)))</f>
        <v>0</v>
      </c>
      <c r="BI353" s="174">
        <f>IF(AA353&gt;0,0,IF(Z353=$Z$84,AG353*1,IF(Z353=$Z$93,AG353*2,IF(Z353=$Z$100,AG353,IF(Z353=$Z$81,AG353*2,IF(Z353=$Z$80,AG353*1,IF(Z353=$Z$79,AG353*3,IF(Z353=$Z$78,AG353*2,0))))))))</f>
        <v>0</v>
      </c>
      <c r="BJ353" s="174">
        <f>IF(AA353&gt;0,0,IF(Z353=$Z$85,AG353,IF(Z353=$Z$93,AG353,IF(Z353=$Z$100,AG353,IF(Z353=$Z$81,AG353*1,IF(Z353=$Z$80,AG353*2,IF(Z353=$Z$79,AG353*2,IF(Z353=$Z$78,AG353*2,0))))))))</f>
        <v>0</v>
      </c>
      <c r="BK353" s="174">
        <f>IF(AA353&gt;0,0,IF(Z353=$Z$92,AG353,0))</f>
        <v>0</v>
      </c>
      <c r="BL353" s="174">
        <f>IF(AA353&gt;0,0,IF(Z353=$Z$91,AG353,0))</f>
        <v>0</v>
      </c>
      <c r="BM353" s="174">
        <f>IF(AA353&gt;0,0,IF(Z353=$Z$86,AG353,0))</f>
        <v>0</v>
      </c>
      <c r="BN353" s="174">
        <f>IF(AA353&gt;0,0,IF(Z353=$Z$87,AG353,0))</f>
        <v>0</v>
      </c>
      <c r="BO353" s="174">
        <f>IF(AA353&gt;0,0,IF(Z353=$Z$88,AG353,0))</f>
        <v>0</v>
      </c>
      <c r="BP353" s="174">
        <f>IF(AA353&gt;0,0,IF(Z353=$Z$89,AG353,0))</f>
        <v>0</v>
      </c>
      <c r="BQ353" s="174">
        <f>IF(AA353&gt;0,0,IF(Z353=$Z$90,AG353,0))</f>
        <v>0</v>
      </c>
      <c r="BR353" s="174">
        <f>IF(Z353=$Z$82,AA353*AG353,0)</f>
        <v>0</v>
      </c>
      <c r="BS353" s="174">
        <f>IF(Z353=$Z$83,AA353*AG353,0)</f>
        <v>0</v>
      </c>
      <c r="BT353" s="174">
        <f>IF(AA353&lt;1,0,IF(Z353=$Z$84,AA353*AG353,IF(Z353=$Z$93,"ERRO",IF(Z353=$Z$100,"ERRO",0))))</f>
        <v>0</v>
      </c>
      <c r="BU353" s="174">
        <f>IF(AA353&lt;1,0,IF(Z353=$Z$85,AA353*AG353,IF(Z353=$Z$93,"ERRO",IF(Z353=$Z$100,"ERRO",0))))</f>
        <v>0</v>
      </c>
      <c r="BV353" s="174">
        <f>IF(Z353=$Z$92,AA353*AG353,0)</f>
        <v>0</v>
      </c>
      <c r="BW353" s="174">
        <f>IF(Z353=$Z$91,AA353*AG353,0)</f>
        <v>0</v>
      </c>
      <c r="BX353" s="174">
        <f>IF(Z353=$Z$86,AA353*AG353,0)</f>
        <v>0</v>
      </c>
      <c r="BY353" s="174">
        <f>IF(Z353=$Z$87,AA353*AG353,0)</f>
        <v>0</v>
      </c>
      <c r="BZ353" s="174">
        <f>IF(Z353=$Z$88,AA353*AG353,0)</f>
        <v>0</v>
      </c>
      <c r="CA353" s="174">
        <f>IF(Z353=$Z$89,AA353*AG353,0)</f>
        <v>0</v>
      </c>
      <c r="CB353" s="174">
        <f>IF(Z353=$Z$90,AA353*AG353,0)</f>
        <v>0</v>
      </c>
      <c r="CC353" s="175">
        <f>IFERROR(IF(L353=$L$49,AG353*AH353*(1+AI353)*(1-AK353)*(1-AL353),0),0)</f>
        <v>467716.10359499994</v>
      </c>
      <c r="CD353" s="203">
        <f>IF(I353=$CD$97,1,IF(I353=$CD$100,2,IF(K353=$K$66,1,IF(K353=$K$69,1,3))))</f>
        <v>1</v>
      </c>
      <c r="CE353" s="203">
        <f t="shared" si="14"/>
        <v>1.07</v>
      </c>
      <c r="CF353" s="204">
        <f t="shared" si="75"/>
        <v>1.2353999999999998</v>
      </c>
      <c r="CG353" s="203">
        <f t="shared" si="15"/>
        <v>1.42</v>
      </c>
      <c r="CH353" s="204">
        <f t="shared" si="76"/>
        <v>1.5478000000000001</v>
      </c>
      <c r="CI353" s="203">
        <f t="shared" si="16"/>
        <v>1.7</v>
      </c>
      <c r="CJ353" s="205">
        <f t="shared" si="77"/>
        <v>1.0486</v>
      </c>
      <c r="CK353" s="205">
        <f t="shared" si="78"/>
        <v>1.148922</v>
      </c>
      <c r="CL353" s="205">
        <f t="shared" si="79"/>
        <v>1.3915999999999999</v>
      </c>
      <c r="CM353" s="205">
        <f t="shared" si="80"/>
        <v>1.501366</v>
      </c>
      <c r="CN353" s="206">
        <f t="shared" si="81"/>
        <v>1.6319999999999999</v>
      </c>
      <c r="CO353" s="204">
        <f t="shared" si="82"/>
        <v>1.006656</v>
      </c>
      <c r="CP353" s="207">
        <f t="shared" si="83"/>
        <v>0</v>
      </c>
      <c r="CQ353" s="208">
        <f t="shared" si="84"/>
        <v>0</v>
      </c>
      <c r="CR353" s="209">
        <f t="shared" si="72"/>
        <v>0</v>
      </c>
      <c r="CS353" s="49"/>
      <c r="CT353" s="49"/>
      <c r="CU353" s="49"/>
      <c r="CV353" s="49"/>
      <c r="CW353" s="49"/>
      <c r="CX353" s="49"/>
      <c r="CY353" s="49"/>
      <c r="CZ353" s="49"/>
      <c r="DA353" s="49"/>
      <c r="DB353" s="49"/>
      <c r="DC353" s="49"/>
      <c r="DD353" s="49"/>
      <c r="DE353" s="49"/>
      <c r="DF353" s="49"/>
      <c r="DG353" s="49"/>
      <c r="DH353" s="49"/>
      <c r="DI353" s="49"/>
      <c r="DJ353" s="49"/>
      <c r="DK353" s="49"/>
      <c r="DL353" s="49"/>
      <c r="DM353" s="49"/>
      <c r="DN353" s="49"/>
      <c r="DO353" s="49"/>
      <c r="DP353" s="49"/>
      <c r="DQ353" s="49"/>
      <c r="DR353" s="49"/>
      <c r="DS353" s="49"/>
      <c r="DT353" s="49"/>
      <c r="DU353" s="49"/>
      <c r="DV353" s="49"/>
      <c r="DW353" s="49"/>
      <c r="DX353" s="49"/>
      <c r="DY353" s="49"/>
      <c r="DZ353" s="49"/>
      <c r="EA353" s="49"/>
      <c r="EB353" s="49"/>
      <c r="EC353" s="49"/>
      <c r="ED353" s="49"/>
      <c r="EE353" s="49"/>
      <c r="EF353" s="49"/>
      <c r="EG353" s="49"/>
      <c r="EH353" s="49"/>
      <c r="EI353" s="49"/>
      <c r="EJ353" s="49"/>
      <c r="EK353" s="49"/>
      <c r="EL353" s="49"/>
      <c r="EM353" s="49"/>
      <c r="EN353" s="49"/>
      <c r="EO353" s="49"/>
      <c r="EP353" s="49"/>
      <c r="EQ353" s="49"/>
      <c r="ER353" s="49"/>
      <c r="ES353" s="49"/>
      <c r="ET353" s="49"/>
      <c r="EU353" s="49"/>
      <c r="EV353" s="49"/>
      <c r="EW353" s="49"/>
      <c r="EX353" s="49"/>
      <c r="EY353" s="49"/>
      <c r="EZ353" s="49"/>
      <c r="FA353" s="49"/>
    </row>
    <row r="354" spans="1:157" s="210" customFormat="1" ht="51" x14ac:dyDescent="0.25">
      <c r="A354" s="113">
        <f>IF(AND('[1]Cockpit Retorno'!$E$67=Sim,Mestre!M354=Mestre!$M$98),0,1)</f>
        <v>1</v>
      </c>
      <c r="B354" s="113">
        <f>IF(AND('[1]Cockpit Retorno'!$E$67=Sim,Mestre!L354=Mestre!$L$48),0,1)</f>
        <v>1</v>
      </c>
      <c r="C354" s="113">
        <f>IF(AND('[1]Cockpit Retorno'!$E$67=Sim,Mestre!M354=Mestre!$M$97),0,1)</f>
        <v>1</v>
      </c>
      <c r="D354" s="148" t="s">
        <v>7</v>
      </c>
      <c r="E354" s="115"/>
      <c r="F354" s="116" t="s">
        <v>107</v>
      </c>
      <c r="G354" s="149">
        <v>29</v>
      </c>
      <c r="H354" s="150" t="s">
        <v>7</v>
      </c>
      <c r="I354" s="151" t="str">
        <f t="shared" si="65"/>
        <v>Mercadorias</v>
      </c>
      <c r="J354" s="150" t="s">
        <v>15</v>
      </c>
      <c r="K354" s="152" t="s">
        <v>7</v>
      </c>
      <c r="L354" s="153" t="s">
        <v>21</v>
      </c>
      <c r="M354" s="154" t="s">
        <v>513</v>
      </c>
      <c r="N354" s="155" t="s">
        <v>494</v>
      </c>
      <c r="O354" s="155" t="s">
        <v>516</v>
      </c>
      <c r="P354" s="155" t="s">
        <v>43</v>
      </c>
      <c r="Q354" s="155" t="s">
        <v>43</v>
      </c>
      <c r="R354" s="155" t="s">
        <v>43</v>
      </c>
      <c r="S354" s="156" t="s">
        <v>43</v>
      </c>
      <c r="T354" s="156" t="s">
        <v>43</v>
      </c>
      <c r="U354" s="150" t="s">
        <v>43</v>
      </c>
      <c r="V354" s="150" t="s">
        <v>43</v>
      </c>
      <c r="W354" s="150" t="s">
        <v>43</v>
      </c>
      <c r="X354" s="157" t="s">
        <v>520</v>
      </c>
      <c r="Y354" s="150">
        <v>2085</v>
      </c>
      <c r="Z354" s="150"/>
      <c r="AA354" s="158"/>
      <c r="AB354" s="155"/>
      <c r="AC354" s="150"/>
      <c r="AD354" s="155"/>
      <c r="AE354" s="155"/>
      <c r="AF354" s="150"/>
      <c r="AG354" s="159">
        <f>Y354</f>
        <v>2085</v>
      </c>
      <c r="AH354" s="211">
        <v>86.65740000000001</v>
      </c>
      <c r="AI354" s="202">
        <v>0</v>
      </c>
      <c r="AJ354" s="161">
        <v>7.0000000000000007E-2</v>
      </c>
      <c r="AK354" s="162">
        <v>4.2000000000000003E-2</v>
      </c>
      <c r="AL354" s="163"/>
      <c r="AM354" s="164">
        <f>(((IF(L354=$L$101,1,IF(L354=$L$47,1,0))*(AH354*(1-AK354)))*AG354)*(1-AL354))</f>
        <v>0</v>
      </c>
      <c r="AN354" s="165">
        <f>IF(K354=$K$50,AM354,IF(K354=$K$53,AM354,IF(K354=$K$54,AM354,IF(K354=$K$55,AM354,IF(K354=$K$56,AM354,IF(K354=$K$57,AM354,IF(K354=$K$58,AM354,IF(K354=$K$65,AM354,IF(K354=$K$66,AM354,IF(K354=$K$67,AM354,IF(K354=$K$68,AM354,IF(K354=$K$69,AM354,IF(K354=$K$51,AM354,(AM354*(1+AI354)))))))))))))))</f>
        <v>0</v>
      </c>
      <c r="AO354" s="166">
        <v>1.4</v>
      </c>
      <c r="AP354" s="160">
        <f t="shared" si="66"/>
        <v>0</v>
      </c>
      <c r="AQ354" s="167">
        <f t="shared" si="85"/>
        <v>0</v>
      </c>
      <c r="AR354" s="160">
        <f t="shared" si="67"/>
        <v>0</v>
      </c>
      <c r="AS354" s="168">
        <f t="shared" si="68"/>
        <v>0</v>
      </c>
      <c r="AT354" s="169" t="str">
        <f>K354</f>
        <v>MI</v>
      </c>
      <c r="AU354" s="169" t="str">
        <f>I354</f>
        <v>Mercadorias</v>
      </c>
      <c r="AV354" s="170"/>
      <c r="AW354" s="171">
        <f>IF(K354=$K$50,0,IF(K354=$K$53,0,IF(K354=$K$54,0,IF(K354=$K$55,0,IF(K354=$K$56,0,IF(K354=$K$57,0,IF(K354=$K$58,0,IF(K354=$K$65,0,IF(K354=$K$66,0,IF(K354=$K$67,0,IF(K354=$K$68,0,IF(K354=$K$69,0,IF(K354=$K$51,0,1))))))))))))*AM354*AI354)</f>
        <v>0</v>
      </c>
      <c r="AX354" s="172">
        <f>IF(K354=$K$50,0,IF(K354=$K$53,0,IF(K354=$K$54,0,IF(K354=$K$55,0,IF(K354=$K$56,0,IF(K354=$K$57,0,IF(K354=$K$58,0,IF(K354=$K$65,0,IF(K354=$K$66,0,IF(K354=$K$67,0,IF(K354=$K$68,0,IF(K354=$K$69,0,IF(K354=$K$51,0,1))))))))))))*AM354*AJ354*$AX$94)</f>
        <v>0</v>
      </c>
      <c r="AY354" s="172">
        <f>IF(K354=$K$53,0,IF(K354=$K$54,0,IF(K354=$K$55,0,IF(K354=$K$56,0,IF(K354=$K$58,0,IF(K354=$K$50,0,IF(K354=$K$65,0,IF(K354=$K$57,0,IF(K354=$K$51,0,AM354*$AY$102)))))))))</f>
        <v>0</v>
      </c>
      <c r="AZ354" s="172">
        <f>IF(K354=$K$53,0,IF(K354=$K$54,0,IF(K354=$K$55,0,IF(K354=$K$56,0,IF(K354=$K$58,0,IF(K354=$K$50,0,IF(K354=$K$65,0,IF(K354=$K$57,0,IF(K354=$K$51,0,AM354*$AZ$102)))))))))</f>
        <v>0</v>
      </c>
      <c r="BA354" s="172">
        <f t="shared" si="69"/>
        <v>0</v>
      </c>
      <c r="BB354" s="173">
        <f>IF($BA$97=1,AQ354*$BB$102,IF(K354=$K$50,0,IF(K354=$K$53,0,IF(K354=$K$54,0,IF(K354=$K$55,0,IF(K354=$K$56,0,IF(K354=$K$57,0,IF(K354=$K$58,0,IF(K354=$K$65,0,IF(K354=$K$66,0,IF(K354=$K$67,0,IF(K354=$K$68,0,IF(K354=$K$69,0,IF(K354=$K$51,0,1)))))))))))*AQ354*$BB$102)))</f>
        <v>0</v>
      </c>
      <c r="BC354" s="172">
        <f t="shared" si="70"/>
        <v>0</v>
      </c>
      <c r="BD354" s="172">
        <f t="shared" si="71"/>
        <v>0</v>
      </c>
      <c r="BE354" s="172">
        <f>IF($BE$95=I354,$BE$97,IF(I354=$BE$96,$BE$97,1))*($BE$102*AQ354)*$AZ$97</f>
        <v>0</v>
      </c>
      <c r="BF354" s="172">
        <f>IF('[1]Cockpit Retorno'!$C$65=Sim,Mestre!BA354,SUM(BB354:BE354)+(IF(K354=$K$56,AQ354*MOE_IRRF_LR,0)))</f>
        <v>0</v>
      </c>
      <c r="BG354" s="174">
        <f>IF(AA354&gt;0,0,IF(Z354=$Z$82,AG354*1,(IF(Z354=$Z$81,AG354*1,0))))</f>
        <v>0</v>
      </c>
      <c r="BH354" s="174">
        <f>IF(AA354&gt;0,0,IF(Z354=$Z$83,AG354*1,IF(Z354=$Z$81,AG354*1,0)))</f>
        <v>0</v>
      </c>
      <c r="BI354" s="174">
        <f>IF(AA354&gt;0,0,IF(Z354=$Z$84,AG354*1,IF(Z354=$Z$93,AG354*2,IF(Z354=$Z$100,AG354,IF(Z354=$Z$81,AG354*2,IF(Z354=$Z$80,AG354*1,IF(Z354=$Z$79,AG354*3,IF(Z354=$Z$78,AG354*2,0))))))))</f>
        <v>0</v>
      </c>
      <c r="BJ354" s="174">
        <f>IF(AA354&gt;0,0,IF(Z354=$Z$85,AG354,IF(Z354=$Z$93,AG354,IF(Z354=$Z$100,AG354,IF(Z354=$Z$81,AG354*1,IF(Z354=$Z$80,AG354*2,IF(Z354=$Z$79,AG354*2,IF(Z354=$Z$78,AG354*2,0))))))))</f>
        <v>0</v>
      </c>
      <c r="BK354" s="174">
        <f>IF(AA354&gt;0,0,IF(Z354=$Z$92,AG354,0))</f>
        <v>0</v>
      </c>
      <c r="BL354" s="174">
        <f>IF(AA354&gt;0,0,IF(Z354=$Z$91,AG354,0))</f>
        <v>0</v>
      </c>
      <c r="BM354" s="174">
        <f>IF(AA354&gt;0,0,IF(Z354=$Z$86,AG354,0))</f>
        <v>0</v>
      </c>
      <c r="BN354" s="174">
        <f>IF(AA354&gt;0,0,IF(Z354=$Z$87,AG354,0))</f>
        <v>0</v>
      </c>
      <c r="BO354" s="174">
        <f>IF(AA354&gt;0,0,IF(Z354=$Z$88,AG354,0))</f>
        <v>0</v>
      </c>
      <c r="BP354" s="174">
        <f>IF(AA354&gt;0,0,IF(Z354=$Z$89,AG354,0))</f>
        <v>0</v>
      </c>
      <c r="BQ354" s="174">
        <f>IF(AA354&gt;0,0,IF(Z354=$Z$90,AG354,0))</f>
        <v>0</v>
      </c>
      <c r="BR354" s="174">
        <f>IF(Z354=$Z$82,AA354*AG354,0)</f>
        <v>0</v>
      </c>
      <c r="BS354" s="174">
        <f>IF(Z354=$Z$83,AA354*AG354,0)</f>
        <v>0</v>
      </c>
      <c r="BT354" s="174">
        <f>IF(AA354&lt;1,0,IF(Z354=$Z$84,AA354*AG354,IF(Z354=$Z$93,"ERRO",IF(Z354=$Z$100,"ERRO",0))))</f>
        <v>0</v>
      </c>
      <c r="BU354" s="174">
        <f>IF(AA354&lt;1,0,IF(Z354=$Z$85,AA354*AG354,IF(Z354=$Z$93,"ERRO",IF(Z354=$Z$100,"ERRO",0))))</f>
        <v>0</v>
      </c>
      <c r="BV354" s="174">
        <f>IF(Z354=$Z$92,AA354*AG354,0)</f>
        <v>0</v>
      </c>
      <c r="BW354" s="174">
        <f>IF(Z354=$Z$91,AA354*AG354,0)</f>
        <v>0</v>
      </c>
      <c r="BX354" s="174">
        <f>IF(Z354=$Z$86,AA354*AG354,0)</f>
        <v>0</v>
      </c>
      <c r="BY354" s="174">
        <f>IF(Z354=$Z$87,AA354*AG354,0)</f>
        <v>0</v>
      </c>
      <c r="BZ354" s="174">
        <f>IF(Z354=$Z$88,AA354*AG354,0)</f>
        <v>0</v>
      </c>
      <c r="CA354" s="174">
        <f>IF(Z354=$Z$89,AA354*AG354,0)</f>
        <v>0</v>
      </c>
      <c r="CB354" s="174">
        <f>IF(Z354=$Z$90,AA354*AG354,0)</f>
        <v>0</v>
      </c>
      <c r="CC354" s="175">
        <f>IFERROR(IF(L354=$L$49,AG354*AH354*(1+AI354)*(1-AK354)*(1-AL354),0),0)</f>
        <v>173092.09048200003</v>
      </c>
      <c r="CD354" s="203">
        <f>IF(I354=$CD$97,1,IF(I354=$CD$100,2,IF(K354=$K$66,1,IF(K354=$K$69,1,3))))</f>
        <v>1</v>
      </c>
      <c r="CE354" s="203">
        <f t="shared" si="14"/>
        <v>1.07</v>
      </c>
      <c r="CF354" s="204">
        <f t="shared" si="75"/>
        <v>1.2353999999999998</v>
      </c>
      <c r="CG354" s="203">
        <f t="shared" si="15"/>
        <v>1.42</v>
      </c>
      <c r="CH354" s="204">
        <f t="shared" si="76"/>
        <v>1.5478000000000001</v>
      </c>
      <c r="CI354" s="203">
        <f t="shared" si="16"/>
        <v>1.7</v>
      </c>
      <c r="CJ354" s="205">
        <f t="shared" si="77"/>
        <v>1.0486</v>
      </c>
      <c r="CK354" s="205">
        <f t="shared" si="78"/>
        <v>1.148922</v>
      </c>
      <c r="CL354" s="205">
        <f t="shared" si="79"/>
        <v>1.3915999999999999</v>
      </c>
      <c r="CM354" s="205">
        <f t="shared" si="80"/>
        <v>1.501366</v>
      </c>
      <c r="CN354" s="206">
        <f t="shared" si="81"/>
        <v>1.6319999999999999</v>
      </c>
      <c r="CO354" s="204">
        <f t="shared" si="82"/>
        <v>1.006656</v>
      </c>
      <c r="CP354" s="207">
        <f t="shared" si="83"/>
        <v>0</v>
      </c>
      <c r="CQ354" s="208">
        <f t="shared" si="84"/>
        <v>0</v>
      </c>
      <c r="CR354" s="209">
        <f t="shared" si="72"/>
        <v>0</v>
      </c>
      <c r="CS354" s="49"/>
      <c r="CT354" s="49"/>
      <c r="CU354" s="49"/>
      <c r="CV354" s="49"/>
      <c r="CW354" s="49"/>
      <c r="CX354" s="49"/>
      <c r="CY354" s="49"/>
      <c r="CZ354" s="49"/>
      <c r="DA354" s="49"/>
      <c r="DB354" s="49"/>
      <c r="DC354" s="49"/>
      <c r="DD354" s="49"/>
      <c r="DE354" s="49"/>
      <c r="DF354" s="49"/>
      <c r="DG354" s="49"/>
      <c r="DH354" s="49"/>
      <c r="DI354" s="49"/>
      <c r="DJ354" s="49"/>
      <c r="DK354" s="49"/>
      <c r="DL354" s="49"/>
      <c r="DM354" s="49"/>
      <c r="DN354" s="49"/>
      <c r="DO354" s="49"/>
      <c r="DP354" s="49"/>
      <c r="DQ354" s="49"/>
      <c r="DR354" s="49"/>
      <c r="DS354" s="49"/>
      <c r="DT354" s="49"/>
      <c r="DU354" s="49"/>
      <c r="DV354" s="49"/>
      <c r="DW354" s="49"/>
      <c r="DX354" s="49"/>
      <c r="DY354" s="49"/>
      <c r="DZ354" s="49"/>
      <c r="EA354" s="49"/>
      <c r="EB354" s="49"/>
      <c r="EC354" s="49"/>
      <c r="ED354" s="49"/>
      <c r="EE354" s="49"/>
      <c r="EF354" s="49"/>
      <c r="EG354" s="49"/>
      <c r="EH354" s="49"/>
      <c r="EI354" s="49"/>
      <c r="EJ354" s="49"/>
      <c r="EK354" s="49"/>
      <c r="EL354" s="49"/>
      <c r="EM354" s="49"/>
      <c r="EN354" s="49"/>
      <c r="EO354" s="49"/>
      <c r="EP354" s="49"/>
      <c r="EQ354" s="49"/>
      <c r="ER354" s="49"/>
      <c r="ES354" s="49"/>
      <c r="ET354" s="49"/>
      <c r="EU354" s="49"/>
      <c r="EV354" s="49"/>
      <c r="EW354" s="49"/>
      <c r="EX354" s="49"/>
      <c r="EY354" s="49"/>
      <c r="EZ354" s="49"/>
      <c r="FA354" s="49"/>
    </row>
    <row r="355" spans="1:157" s="210" customFormat="1" ht="51" x14ac:dyDescent="0.25">
      <c r="A355" s="113">
        <f>IF(AND('[1]Cockpit Retorno'!$E$67=Sim,Mestre!M355=Mestre!$M$98),0,1)</f>
        <v>1</v>
      </c>
      <c r="B355" s="113">
        <f>IF(AND('[1]Cockpit Retorno'!$E$67=Sim,Mestre!L355=Mestre!$L$48),0,1)</f>
        <v>1</v>
      </c>
      <c r="C355" s="113">
        <f>IF(AND('[1]Cockpit Retorno'!$E$67=Sim,Mestre!M355=Mestre!$M$97),0,1)</f>
        <v>1</v>
      </c>
      <c r="D355" s="148" t="s">
        <v>7</v>
      </c>
      <c r="E355" s="115"/>
      <c r="F355" s="116" t="s">
        <v>107</v>
      </c>
      <c r="G355" s="149">
        <v>28</v>
      </c>
      <c r="H355" s="150" t="s">
        <v>7</v>
      </c>
      <c r="I355" s="151" t="str">
        <f t="shared" si="65"/>
        <v>Mercadorias</v>
      </c>
      <c r="J355" s="150" t="s">
        <v>15</v>
      </c>
      <c r="K355" s="152" t="s">
        <v>7</v>
      </c>
      <c r="L355" s="153" t="s">
        <v>21</v>
      </c>
      <c r="M355" s="154" t="s">
        <v>513</v>
      </c>
      <c r="N355" s="155" t="s">
        <v>494</v>
      </c>
      <c r="O355" s="155" t="s">
        <v>516</v>
      </c>
      <c r="P355" s="155" t="s">
        <v>43</v>
      </c>
      <c r="Q355" s="155" t="s">
        <v>43</v>
      </c>
      <c r="R355" s="155" t="s">
        <v>43</v>
      </c>
      <c r="S355" s="156" t="s">
        <v>43</v>
      </c>
      <c r="T355" s="156" t="s">
        <v>43</v>
      </c>
      <c r="U355" s="150" t="s">
        <v>43</v>
      </c>
      <c r="V355" s="150" t="s">
        <v>43</v>
      </c>
      <c r="W355" s="150" t="s">
        <v>43</v>
      </c>
      <c r="X355" s="157" t="s">
        <v>521</v>
      </c>
      <c r="Y355" s="150">
        <v>4770</v>
      </c>
      <c r="Z355" s="150"/>
      <c r="AA355" s="158"/>
      <c r="AB355" s="155"/>
      <c r="AC355" s="150"/>
      <c r="AD355" s="155"/>
      <c r="AE355" s="155"/>
      <c r="AF355" s="150"/>
      <c r="AG355" s="159">
        <f>Y355</f>
        <v>4770</v>
      </c>
      <c r="AH355" s="211">
        <v>68.503799999999998</v>
      </c>
      <c r="AI355" s="202">
        <v>0</v>
      </c>
      <c r="AJ355" s="161">
        <v>7.0000000000000007E-2</v>
      </c>
      <c r="AK355" s="162">
        <v>4.2000000000000003E-2</v>
      </c>
      <c r="AL355" s="163"/>
      <c r="AM355" s="164">
        <f>(((IF(L355=$L$101,1,IF(L355=$L$47,1,0))*(AH355*(1-AK355)))*AG355)*(1-AL355))</f>
        <v>0</v>
      </c>
      <c r="AN355" s="165">
        <f>IF(K355=$K$50,AM355,IF(K355=$K$53,AM355,IF(K355=$K$54,AM355,IF(K355=$K$55,AM355,IF(K355=$K$56,AM355,IF(K355=$K$57,AM355,IF(K355=$K$58,AM355,IF(K355=$K$65,AM355,IF(K355=$K$66,AM355,IF(K355=$K$67,AM355,IF(K355=$K$68,AM355,IF(K355=$K$69,AM355,IF(K355=$K$51,AM355,(AM355*(1+AI355)))))))))))))))</f>
        <v>0</v>
      </c>
      <c r="AO355" s="166">
        <v>1.4</v>
      </c>
      <c r="AP355" s="160">
        <f t="shared" si="66"/>
        <v>0</v>
      </c>
      <c r="AQ355" s="167">
        <f t="shared" si="85"/>
        <v>0</v>
      </c>
      <c r="AR355" s="160">
        <f t="shared" si="67"/>
        <v>0</v>
      </c>
      <c r="AS355" s="168">
        <f t="shared" si="68"/>
        <v>0</v>
      </c>
      <c r="AT355" s="169" t="str">
        <f>K355</f>
        <v>MI</v>
      </c>
      <c r="AU355" s="169" t="str">
        <f>I355</f>
        <v>Mercadorias</v>
      </c>
      <c r="AV355" s="170"/>
      <c r="AW355" s="171">
        <f>IF(K355=$K$50,0,IF(K355=$K$53,0,IF(K355=$K$54,0,IF(K355=$K$55,0,IF(K355=$K$56,0,IF(K355=$K$57,0,IF(K355=$K$58,0,IF(K355=$K$65,0,IF(K355=$K$66,0,IF(K355=$K$67,0,IF(K355=$K$68,0,IF(K355=$K$69,0,IF(K355=$K$51,0,1))))))))))))*AM355*AI355)</f>
        <v>0</v>
      </c>
      <c r="AX355" s="172">
        <f>IF(K355=$K$50,0,IF(K355=$K$53,0,IF(K355=$K$54,0,IF(K355=$K$55,0,IF(K355=$K$56,0,IF(K355=$K$57,0,IF(K355=$K$58,0,IF(K355=$K$65,0,IF(K355=$K$66,0,IF(K355=$K$67,0,IF(K355=$K$68,0,IF(K355=$K$69,0,IF(K355=$K$51,0,1))))))))))))*AM355*AJ355*$AX$94)</f>
        <v>0</v>
      </c>
      <c r="AY355" s="172">
        <f>IF(K355=$K$53,0,IF(K355=$K$54,0,IF(K355=$K$55,0,IF(K355=$K$56,0,IF(K355=$K$58,0,IF(K355=$K$50,0,IF(K355=$K$65,0,IF(K355=$K$57,0,IF(K355=$K$51,0,AM355*$AY$102)))))))))</f>
        <v>0</v>
      </c>
      <c r="AZ355" s="172">
        <f>IF(K355=$K$53,0,IF(K355=$K$54,0,IF(K355=$K$55,0,IF(K355=$K$56,0,IF(K355=$K$58,0,IF(K355=$K$50,0,IF(K355=$K$65,0,IF(K355=$K$57,0,IF(K355=$K$51,0,AM355*$AZ$102)))))))))</f>
        <v>0</v>
      </c>
      <c r="BA355" s="172">
        <f t="shared" si="69"/>
        <v>0</v>
      </c>
      <c r="BB355" s="173">
        <f>IF($BA$97=1,AQ355*$BB$102,IF(K355=$K$50,0,IF(K355=$K$53,0,IF(K355=$K$54,0,IF(K355=$K$55,0,IF(K355=$K$56,0,IF(K355=$K$57,0,IF(K355=$K$58,0,IF(K355=$K$65,0,IF(K355=$K$66,0,IF(K355=$K$67,0,IF(K355=$K$68,0,IF(K355=$K$69,0,IF(K355=$K$51,0,1)))))))))))*AQ355*$BB$102)))</f>
        <v>0</v>
      </c>
      <c r="BC355" s="172">
        <f t="shared" si="70"/>
        <v>0</v>
      </c>
      <c r="BD355" s="172">
        <f t="shared" si="71"/>
        <v>0</v>
      </c>
      <c r="BE355" s="172">
        <f>IF($BE$95=I355,$BE$97,IF(I355=$BE$96,$BE$97,1))*($BE$102*AQ355)*$AZ$97</f>
        <v>0</v>
      </c>
      <c r="BF355" s="172">
        <f>IF('[1]Cockpit Retorno'!$C$65=Sim,Mestre!BA355,SUM(BB355:BE355)+(IF(K355=$K$56,AQ355*MOE_IRRF_LR,0)))</f>
        <v>0</v>
      </c>
      <c r="BG355" s="174">
        <f>IF(AA355&gt;0,0,IF(Z355=$Z$82,AG355*1,(IF(Z355=$Z$81,AG355*1,0))))</f>
        <v>0</v>
      </c>
      <c r="BH355" s="174">
        <f>IF(AA355&gt;0,0,IF(Z355=$Z$83,AG355*1,IF(Z355=$Z$81,AG355*1,0)))</f>
        <v>0</v>
      </c>
      <c r="BI355" s="174">
        <f>IF(AA355&gt;0,0,IF(Z355=$Z$84,AG355*1,IF(Z355=$Z$93,AG355*2,IF(Z355=$Z$100,AG355,IF(Z355=$Z$81,AG355*2,IF(Z355=$Z$80,AG355*1,IF(Z355=$Z$79,AG355*3,IF(Z355=$Z$78,AG355*2,0))))))))</f>
        <v>0</v>
      </c>
      <c r="BJ355" s="174">
        <f>IF(AA355&gt;0,0,IF(Z355=$Z$85,AG355,IF(Z355=$Z$93,AG355,IF(Z355=$Z$100,AG355,IF(Z355=$Z$81,AG355*1,IF(Z355=$Z$80,AG355*2,IF(Z355=$Z$79,AG355*2,IF(Z355=$Z$78,AG355*2,0))))))))</f>
        <v>0</v>
      </c>
      <c r="BK355" s="174">
        <f>IF(AA355&gt;0,0,IF(Z355=$Z$92,AG355,0))</f>
        <v>0</v>
      </c>
      <c r="BL355" s="174">
        <f>IF(AA355&gt;0,0,IF(Z355=$Z$91,AG355,0))</f>
        <v>0</v>
      </c>
      <c r="BM355" s="174">
        <f>IF(AA355&gt;0,0,IF(Z355=$Z$86,AG355,0))</f>
        <v>0</v>
      </c>
      <c r="BN355" s="174">
        <f>IF(AA355&gt;0,0,IF(Z355=$Z$87,AG355,0))</f>
        <v>0</v>
      </c>
      <c r="BO355" s="174">
        <f>IF(AA355&gt;0,0,IF(Z355=$Z$88,AG355,0))</f>
        <v>0</v>
      </c>
      <c r="BP355" s="174">
        <f>IF(AA355&gt;0,0,IF(Z355=$Z$89,AG355,0))</f>
        <v>0</v>
      </c>
      <c r="BQ355" s="174">
        <f>IF(AA355&gt;0,0,IF(Z355=$Z$90,AG355,0))</f>
        <v>0</v>
      </c>
      <c r="BR355" s="174">
        <f>IF(Z355=$Z$82,AA355*AG355,0)</f>
        <v>0</v>
      </c>
      <c r="BS355" s="174">
        <f>IF(Z355=$Z$83,AA355*AG355,0)</f>
        <v>0</v>
      </c>
      <c r="BT355" s="174">
        <f>IF(AA355&lt;1,0,IF(Z355=$Z$84,AA355*AG355,IF(Z355=$Z$93,"ERRO",IF(Z355=$Z$100,"ERRO",0))))</f>
        <v>0</v>
      </c>
      <c r="BU355" s="174">
        <f>IF(AA355&lt;1,0,IF(Z355=$Z$85,AA355*AG355,IF(Z355=$Z$93,"ERRO",IF(Z355=$Z$100,"ERRO",0))))</f>
        <v>0</v>
      </c>
      <c r="BV355" s="174">
        <f>IF(Z355=$Z$92,AA355*AG355,0)</f>
        <v>0</v>
      </c>
      <c r="BW355" s="174">
        <f>IF(Z355=$Z$91,AA355*AG355,0)</f>
        <v>0</v>
      </c>
      <c r="BX355" s="174">
        <f>IF(Z355=$Z$86,AA355*AG355,0)</f>
        <v>0</v>
      </c>
      <c r="BY355" s="174">
        <f>IF(Z355=$Z$87,AA355*AG355,0)</f>
        <v>0</v>
      </c>
      <c r="BZ355" s="174">
        <f>IF(Z355=$Z$88,AA355*AG355,0)</f>
        <v>0</v>
      </c>
      <c r="CA355" s="174">
        <f>IF(Z355=$Z$89,AA355*AG355,0)</f>
        <v>0</v>
      </c>
      <c r="CB355" s="174">
        <f>IF(Z355=$Z$90,AA355*AG355,0)</f>
        <v>0</v>
      </c>
      <c r="CC355" s="175">
        <f>IFERROR(IF(L355=$L$49,AG355*AH355*(1+AI355)*(1-AK355)*(1-AL355),0),0)</f>
        <v>313039.074708</v>
      </c>
      <c r="CD355" s="203">
        <f>IF(I355=$CD$97,1,IF(I355=$CD$100,2,IF(K355=$K$66,1,IF(K355=$K$69,1,3))))</f>
        <v>1</v>
      </c>
      <c r="CE355" s="203">
        <f t="shared" si="14"/>
        <v>1.07</v>
      </c>
      <c r="CF355" s="204">
        <f t="shared" si="75"/>
        <v>1.2353999999999998</v>
      </c>
      <c r="CG355" s="203">
        <f t="shared" si="15"/>
        <v>1.42</v>
      </c>
      <c r="CH355" s="204">
        <f t="shared" si="76"/>
        <v>1.5478000000000001</v>
      </c>
      <c r="CI355" s="203">
        <f t="shared" si="16"/>
        <v>1.7</v>
      </c>
      <c r="CJ355" s="205">
        <f t="shared" si="77"/>
        <v>1.0486</v>
      </c>
      <c r="CK355" s="205">
        <f t="shared" si="78"/>
        <v>1.148922</v>
      </c>
      <c r="CL355" s="205">
        <f t="shared" si="79"/>
        <v>1.3915999999999999</v>
      </c>
      <c r="CM355" s="205">
        <f t="shared" si="80"/>
        <v>1.501366</v>
      </c>
      <c r="CN355" s="206">
        <f t="shared" si="81"/>
        <v>1.6319999999999999</v>
      </c>
      <c r="CO355" s="204">
        <f t="shared" si="82"/>
        <v>1.006656</v>
      </c>
      <c r="CP355" s="207">
        <f t="shared" si="83"/>
        <v>0</v>
      </c>
      <c r="CQ355" s="208">
        <f t="shared" si="84"/>
        <v>0</v>
      </c>
      <c r="CR355" s="209">
        <f t="shared" si="72"/>
        <v>0</v>
      </c>
      <c r="CS355" s="49"/>
      <c r="CT355" s="49"/>
      <c r="CU355" s="49"/>
      <c r="CV355" s="49"/>
      <c r="CW355" s="49"/>
      <c r="CX355" s="49"/>
      <c r="CY355" s="49"/>
      <c r="CZ355" s="49"/>
      <c r="DA355" s="49"/>
      <c r="DB355" s="49"/>
      <c r="DC355" s="49"/>
      <c r="DD355" s="49"/>
      <c r="DE355" s="49"/>
      <c r="DF355" s="49"/>
      <c r="DG355" s="49"/>
      <c r="DH355" s="49"/>
      <c r="DI355" s="49"/>
      <c r="DJ355" s="49"/>
      <c r="DK355" s="49"/>
      <c r="DL355" s="49"/>
      <c r="DM355" s="49"/>
      <c r="DN355" s="49"/>
      <c r="DO355" s="49"/>
      <c r="DP355" s="49"/>
      <c r="DQ355" s="49"/>
      <c r="DR355" s="49"/>
      <c r="DS355" s="49"/>
      <c r="DT355" s="49"/>
      <c r="DU355" s="49"/>
      <c r="DV355" s="49"/>
      <c r="DW355" s="49"/>
      <c r="DX355" s="49"/>
      <c r="DY355" s="49"/>
      <c r="DZ355" s="49"/>
      <c r="EA355" s="49"/>
      <c r="EB355" s="49"/>
      <c r="EC355" s="49"/>
      <c r="ED355" s="49"/>
      <c r="EE355" s="49"/>
      <c r="EF355" s="49"/>
      <c r="EG355" s="49"/>
      <c r="EH355" s="49"/>
      <c r="EI355" s="49"/>
      <c r="EJ355" s="49"/>
      <c r="EK355" s="49"/>
      <c r="EL355" s="49"/>
      <c r="EM355" s="49"/>
      <c r="EN355" s="49"/>
      <c r="EO355" s="49"/>
      <c r="EP355" s="49"/>
      <c r="EQ355" s="49"/>
      <c r="ER355" s="49"/>
      <c r="ES355" s="49"/>
      <c r="ET355" s="49"/>
      <c r="EU355" s="49"/>
      <c r="EV355" s="49"/>
      <c r="EW355" s="49"/>
      <c r="EX355" s="49"/>
      <c r="EY355" s="49"/>
      <c r="EZ355" s="49"/>
      <c r="FA355" s="49"/>
    </row>
    <row r="356" spans="1:157" s="210" customFormat="1" ht="51" x14ac:dyDescent="0.25">
      <c r="A356" s="113">
        <f>IF(AND('[1]Cockpit Retorno'!$E$67=Sim,Mestre!M356=Mestre!$M$98),0,1)</f>
        <v>1</v>
      </c>
      <c r="B356" s="113">
        <f>IF(AND('[1]Cockpit Retorno'!$E$67=Sim,Mestre!L356=Mestre!$L$48),0,1)</f>
        <v>1</v>
      </c>
      <c r="C356" s="113">
        <f>IF(AND('[1]Cockpit Retorno'!$E$67=Sim,Mestre!M356=Mestre!$M$97),0,1)</f>
        <v>1</v>
      </c>
      <c r="D356" s="148" t="s">
        <v>7</v>
      </c>
      <c r="E356" s="115"/>
      <c r="F356" s="116" t="s">
        <v>107</v>
      </c>
      <c r="G356" s="149">
        <v>29</v>
      </c>
      <c r="H356" s="150" t="s">
        <v>7</v>
      </c>
      <c r="I356" s="151" t="str">
        <f t="shared" si="65"/>
        <v>Mercadorias</v>
      </c>
      <c r="J356" s="150" t="s">
        <v>15</v>
      </c>
      <c r="K356" s="152" t="s">
        <v>7</v>
      </c>
      <c r="L356" s="153" t="s">
        <v>21</v>
      </c>
      <c r="M356" s="154" t="s">
        <v>437</v>
      </c>
      <c r="N356" s="155" t="s">
        <v>494</v>
      </c>
      <c r="O356" s="155" t="s">
        <v>516</v>
      </c>
      <c r="P356" s="155" t="s">
        <v>43</v>
      </c>
      <c r="Q356" s="155" t="s">
        <v>43</v>
      </c>
      <c r="R356" s="155" t="s">
        <v>43</v>
      </c>
      <c r="S356" s="156" t="s">
        <v>43</v>
      </c>
      <c r="T356" s="156" t="s">
        <v>43</v>
      </c>
      <c r="U356" s="150" t="s">
        <v>43</v>
      </c>
      <c r="V356" s="150" t="s">
        <v>43</v>
      </c>
      <c r="W356" s="150" t="s">
        <v>43</v>
      </c>
      <c r="X356" s="157" t="s">
        <v>522</v>
      </c>
      <c r="Y356" s="150">
        <f>425+(3*4*30)</f>
        <v>785</v>
      </c>
      <c r="Z356" s="150"/>
      <c r="AA356" s="158"/>
      <c r="AB356" s="155"/>
      <c r="AC356" s="150"/>
      <c r="AD356" s="155"/>
      <c r="AE356" s="155"/>
      <c r="AF356" s="150"/>
      <c r="AG356" s="159">
        <f>Y356</f>
        <v>785</v>
      </c>
      <c r="AH356" s="211">
        <v>173.71469999999999</v>
      </c>
      <c r="AI356" s="202">
        <v>0</v>
      </c>
      <c r="AJ356" s="161">
        <v>7.0000000000000007E-2</v>
      </c>
      <c r="AK356" s="162">
        <v>4.2000000000000003E-2</v>
      </c>
      <c r="AL356" s="163"/>
      <c r="AM356" s="164">
        <f>(((IF(L356=$L$101,1,IF(L356=$L$47,1,0))*(AH356*(1-AK356)))*AG356)*(1-AL356))</f>
        <v>0</v>
      </c>
      <c r="AN356" s="165">
        <f>IF(K356=$K$50,AM356,IF(K356=$K$53,AM356,IF(K356=$K$54,AM356,IF(K356=$K$55,AM356,IF(K356=$K$56,AM356,IF(K356=$K$57,AM356,IF(K356=$K$58,AM356,IF(K356=$K$65,AM356,IF(K356=$K$66,AM356,IF(K356=$K$67,AM356,IF(K356=$K$68,AM356,IF(K356=$K$69,AM356,IF(K356=$K$51,AM356,(AM356*(1+AI356)))))))))))))))</f>
        <v>0</v>
      </c>
      <c r="AO356" s="166">
        <v>1.4</v>
      </c>
      <c r="AP356" s="160">
        <f t="shared" si="66"/>
        <v>0</v>
      </c>
      <c r="AQ356" s="167">
        <f t="shared" si="85"/>
        <v>0</v>
      </c>
      <c r="AR356" s="160">
        <f t="shared" si="67"/>
        <v>0</v>
      </c>
      <c r="AS356" s="168">
        <f t="shared" si="68"/>
        <v>0</v>
      </c>
      <c r="AT356" s="169" t="str">
        <f>K356</f>
        <v>MI</v>
      </c>
      <c r="AU356" s="169" t="str">
        <f>I356</f>
        <v>Mercadorias</v>
      </c>
      <c r="AV356" s="170"/>
      <c r="AW356" s="171">
        <f>IF(K356=$K$50,0,IF(K356=$K$53,0,IF(K356=$K$54,0,IF(K356=$K$55,0,IF(K356=$K$56,0,IF(K356=$K$57,0,IF(K356=$K$58,0,IF(K356=$K$65,0,IF(K356=$K$66,0,IF(K356=$K$67,0,IF(K356=$K$68,0,IF(K356=$K$69,0,IF(K356=$K$51,0,1))))))))))))*AM356*AI356)</f>
        <v>0</v>
      </c>
      <c r="AX356" s="172">
        <f>IF(K356=$K$50,0,IF(K356=$K$53,0,IF(K356=$K$54,0,IF(K356=$K$55,0,IF(K356=$K$56,0,IF(K356=$K$57,0,IF(K356=$K$58,0,IF(K356=$K$65,0,IF(K356=$K$66,0,IF(K356=$K$67,0,IF(K356=$K$68,0,IF(K356=$K$69,0,IF(K356=$K$51,0,1))))))))))))*AM356*AJ356*$AX$94)</f>
        <v>0</v>
      </c>
      <c r="AY356" s="172">
        <f>IF(K356=$K$53,0,IF(K356=$K$54,0,IF(K356=$K$55,0,IF(K356=$K$56,0,IF(K356=$K$58,0,IF(K356=$K$50,0,IF(K356=$K$65,0,IF(K356=$K$57,0,IF(K356=$K$51,0,AM356*$AY$102)))))))))</f>
        <v>0</v>
      </c>
      <c r="AZ356" s="172">
        <f>IF(K356=$K$53,0,IF(K356=$K$54,0,IF(K356=$K$55,0,IF(K356=$K$56,0,IF(K356=$K$58,0,IF(K356=$K$50,0,IF(K356=$K$65,0,IF(K356=$K$57,0,IF(K356=$K$51,0,AM356*$AZ$102)))))))))</f>
        <v>0</v>
      </c>
      <c r="BA356" s="172">
        <f t="shared" si="69"/>
        <v>0</v>
      </c>
      <c r="BB356" s="173">
        <f>IF($BA$97=1,AQ356*$BB$102,IF(K356=$K$50,0,IF(K356=$K$53,0,IF(K356=$K$54,0,IF(K356=$K$55,0,IF(K356=$K$56,0,IF(K356=$K$57,0,IF(K356=$K$58,0,IF(K356=$K$65,0,IF(K356=$K$66,0,IF(K356=$K$67,0,IF(K356=$K$68,0,IF(K356=$K$69,0,IF(K356=$K$51,0,1)))))))))))*AQ356*$BB$102)))</f>
        <v>0</v>
      </c>
      <c r="BC356" s="172">
        <f t="shared" si="70"/>
        <v>0</v>
      </c>
      <c r="BD356" s="172">
        <f t="shared" si="71"/>
        <v>0</v>
      </c>
      <c r="BE356" s="172">
        <f>IF($BE$95=I356,$BE$97,IF(I356=$BE$96,$BE$97,1))*($BE$102*AQ356)*$AZ$97</f>
        <v>0</v>
      </c>
      <c r="BF356" s="172">
        <f>IF('[1]Cockpit Retorno'!$C$65=Sim,Mestre!BA356,SUM(BB356:BE356)+(IF(K356=$K$56,AQ356*MOE_IRRF_LR,0)))</f>
        <v>0</v>
      </c>
      <c r="BG356" s="174">
        <f>IF(AA356&gt;0,0,IF(Z356=$Z$82,AG356*1,(IF(Z356=$Z$81,AG356*1,0))))</f>
        <v>0</v>
      </c>
      <c r="BH356" s="174">
        <f>IF(AA356&gt;0,0,IF(Z356=$Z$83,AG356*1,IF(Z356=$Z$81,AG356*1,0)))</f>
        <v>0</v>
      </c>
      <c r="BI356" s="174">
        <f>IF(AA356&gt;0,0,IF(Z356=$Z$84,AG356*1,IF(Z356=$Z$93,AG356*2,IF(Z356=$Z$100,AG356,IF(Z356=$Z$81,AG356*2,IF(Z356=$Z$80,AG356*1,IF(Z356=$Z$79,AG356*3,IF(Z356=$Z$78,AG356*2,0))))))))</f>
        <v>0</v>
      </c>
      <c r="BJ356" s="174">
        <f>IF(AA356&gt;0,0,IF(Z356=$Z$85,AG356,IF(Z356=$Z$93,AG356,IF(Z356=$Z$100,AG356,IF(Z356=$Z$81,AG356*1,IF(Z356=$Z$80,AG356*2,IF(Z356=$Z$79,AG356*2,IF(Z356=$Z$78,AG356*2,0))))))))</f>
        <v>0</v>
      </c>
      <c r="BK356" s="174">
        <f>IF(AA356&gt;0,0,IF(Z356=$Z$92,AG356,0))</f>
        <v>0</v>
      </c>
      <c r="BL356" s="174">
        <f>IF(AA356&gt;0,0,IF(Z356=$Z$91,AG356,0))</f>
        <v>0</v>
      </c>
      <c r="BM356" s="174">
        <f>IF(AA356&gt;0,0,IF(Z356=$Z$86,AG356,0))</f>
        <v>0</v>
      </c>
      <c r="BN356" s="174">
        <f>IF(AA356&gt;0,0,IF(Z356=$Z$87,AG356,0))</f>
        <v>0</v>
      </c>
      <c r="BO356" s="174">
        <f>IF(AA356&gt;0,0,IF(Z356=$Z$88,AG356,0))</f>
        <v>0</v>
      </c>
      <c r="BP356" s="174">
        <f>IF(AA356&gt;0,0,IF(Z356=$Z$89,AG356,0))</f>
        <v>0</v>
      </c>
      <c r="BQ356" s="174">
        <f>IF(AA356&gt;0,0,IF(Z356=$Z$90,AG356,0))</f>
        <v>0</v>
      </c>
      <c r="BR356" s="174">
        <f>IF(Z356=$Z$82,AA356*AG356,0)</f>
        <v>0</v>
      </c>
      <c r="BS356" s="174">
        <f>IF(Z356=$Z$83,AA356*AG356,0)</f>
        <v>0</v>
      </c>
      <c r="BT356" s="174">
        <f>IF(AA356&lt;1,0,IF(Z356=$Z$84,AA356*AG356,IF(Z356=$Z$93,"ERRO",IF(Z356=$Z$100,"ERRO",0))))</f>
        <v>0</v>
      </c>
      <c r="BU356" s="174">
        <f>IF(AA356&lt;1,0,IF(Z356=$Z$85,AA356*AG356,IF(Z356=$Z$93,"ERRO",IF(Z356=$Z$100,"ERRO",0))))</f>
        <v>0</v>
      </c>
      <c r="BV356" s="174">
        <f>IF(Z356=$Z$92,AA356*AG356,0)</f>
        <v>0</v>
      </c>
      <c r="BW356" s="174">
        <f>IF(Z356=$Z$91,AA356*AG356,0)</f>
        <v>0</v>
      </c>
      <c r="BX356" s="174">
        <f>IF(Z356=$Z$86,AA356*AG356,0)</f>
        <v>0</v>
      </c>
      <c r="BY356" s="174">
        <f>IF(Z356=$Z$87,AA356*AG356,0)</f>
        <v>0</v>
      </c>
      <c r="BZ356" s="174">
        <f>IF(Z356=$Z$88,AA356*AG356,0)</f>
        <v>0</v>
      </c>
      <c r="CA356" s="174">
        <f>IF(Z356=$Z$89,AA356*AG356,0)</f>
        <v>0</v>
      </c>
      <c r="CB356" s="174">
        <f>IF(Z356=$Z$90,AA356*AG356,0)</f>
        <v>0</v>
      </c>
      <c r="CC356" s="175">
        <f>IFERROR(IF(L356=$L$49,AG356*AH356*(1+AI356)*(1-AK356)*(1-AL356),0),0)</f>
        <v>130638.66584099998</v>
      </c>
      <c r="CD356" s="203">
        <f>IF(I356=$CD$97,1,IF(I356=$CD$100,2,IF(K356=$K$66,1,IF(K356=$K$69,1,3))))</f>
        <v>1</v>
      </c>
      <c r="CE356" s="203">
        <f t="shared" si="14"/>
        <v>1.07</v>
      </c>
      <c r="CF356" s="204">
        <f t="shared" si="75"/>
        <v>1.2353999999999998</v>
      </c>
      <c r="CG356" s="203">
        <f t="shared" si="15"/>
        <v>1.42</v>
      </c>
      <c r="CH356" s="204">
        <f t="shared" si="76"/>
        <v>1.5478000000000001</v>
      </c>
      <c r="CI356" s="203">
        <f t="shared" si="16"/>
        <v>1.7</v>
      </c>
      <c r="CJ356" s="205">
        <f t="shared" si="77"/>
        <v>1.0486</v>
      </c>
      <c r="CK356" s="205">
        <f t="shared" si="78"/>
        <v>1.148922</v>
      </c>
      <c r="CL356" s="205">
        <f t="shared" si="79"/>
        <v>1.3915999999999999</v>
      </c>
      <c r="CM356" s="205">
        <f t="shared" si="80"/>
        <v>1.501366</v>
      </c>
      <c r="CN356" s="206">
        <f t="shared" si="81"/>
        <v>1.6319999999999999</v>
      </c>
      <c r="CO356" s="204">
        <f t="shared" si="82"/>
        <v>1.006656</v>
      </c>
      <c r="CP356" s="207">
        <f t="shared" si="83"/>
        <v>0</v>
      </c>
      <c r="CQ356" s="208">
        <f t="shared" si="84"/>
        <v>0</v>
      </c>
      <c r="CR356" s="209">
        <f t="shared" si="72"/>
        <v>0</v>
      </c>
      <c r="CS356" s="49"/>
      <c r="CT356" s="49"/>
      <c r="CU356" s="49"/>
      <c r="CV356" s="49"/>
      <c r="CW356" s="49"/>
      <c r="CX356" s="49"/>
      <c r="CY356" s="49"/>
      <c r="CZ356" s="49"/>
      <c r="DA356" s="49"/>
      <c r="DB356" s="49"/>
      <c r="DC356" s="49"/>
      <c r="DD356" s="49"/>
      <c r="DE356" s="49"/>
      <c r="DF356" s="49"/>
      <c r="DG356" s="49"/>
      <c r="DH356" s="49"/>
      <c r="DI356" s="49"/>
      <c r="DJ356" s="49"/>
      <c r="DK356" s="49"/>
      <c r="DL356" s="49"/>
      <c r="DM356" s="49"/>
      <c r="DN356" s="49"/>
      <c r="DO356" s="49"/>
      <c r="DP356" s="49"/>
      <c r="DQ356" s="49"/>
      <c r="DR356" s="49"/>
      <c r="DS356" s="49"/>
      <c r="DT356" s="49"/>
      <c r="DU356" s="49"/>
      <c r="DV356" s="49"/>
      <c r="DW356" s="49"/>
      <c r="DX356" s="49"/>
      <c r="DY356" s="49"/>
      <c r="DZ356" s="49"/>
      <c r="EA356" s="49"/>
      <c r="EB356" s="49"/>
      <c r="EC356" s="49"/>
      <c r="ED356" s="49"/>
      <c r="EE356" s="49"/>
      <c r="EF356" s="49"/>
      <c r="EG356" s="49"/>
      <c r="EH356" s="49"/>
      <c r="EI356" s="49"/>
      <c r="EJ356" s="49"/>
      <c r="EK356" s="49"/>
      <c r="EL356" s="49"/>
      <c r="EM356" s="49"/>
      <c r="EN356" s="49"/>
      <c r="EO356" s="49"/>
      <c r="EP356" s="49"/>
      <c r="EQ356" s="49"/>
      <c r="ER356" s="49"/>
      <c r="ES356" s="49"/>
      <c r="ET356" s="49"/>
      <c r="EU356" s="49"/>
      <c r="EV356" s="49"/>
      <c r="EW356" s="49"/>
      <c r="EX356" s="49"/>
      <c r="EY356" s="49"/>
      <c r="EZ356" s="49"/>
      <c r="FA356" s="49"/>
    </row>
    <row r="357" spans="1:157" s="210" customFormat="1" ht="51" x14ac:dyDescent="0.25">
      <c r="A357" s="113">
        <f>IF(AND('[1]Cockpit Retorno'!$E$67=Sim,Mestre!M357=Mestre!$M$98),0,1)</f>
        <v>1</v>
      </c>
      <c r="B357" s="113">
        <f>IF(AND('[1]Cockpit Retorno'!$E$67=Sim,Mestre!L357=Mestre!$L$48),0,1)</f>
        <v>1</v>
      </c>
      <c r="C357" s="113">
        <f>IF(AND('[1]Cockpit Retorno'!$E$67=Sim,Mestre!M357=Mestre!$M$97),0,1)</f>
        <v>1</v>
      </c>
      <c r="D357" s="148" t="s">
        <v>7</v>
      </c>
      <c r="E357" s="115"/>
      <c r="F357" s="116" t="s">
        <v>107</v>
      </c>
      <c r="G357" s="149">
        <v>29</v>
      </c>
      <c r="H357" s="150" t="s">
        <v>7</v>
      </c>
      <c r="I357" s="151" t="str">
        <f t="shared" si="65"/>
        <v>Mercadorias</v>
      </c>
      <c r="J357" s="150" t="s">
        <v>15</v>
      </c>
      <c r="K357" s="152" t="s">
        <v>7</v>
      </c>
      <c r="L357" s="153" t="s">
        <v>21</v>
      </c>
      <c r="M357" s="154" t="s">
        <v>513</v>
      </c>
      <c r="N357" s="155" t="s">
        <v>494</v>
      </c>
      <c r="O357" s="155" t="s">
        <v>516</v>
      </c>
      <c r="P357" s="155" t="s">
        <v>43</v>
      </c>
      <c r="Q357" s="155" t="s">
        <v>43</v>
      </c>
      <c r="R357" s="155" t="s">
        <v>43</v>
      </c>
      <c r="S357" s="156" t="s">
        <v>43</v>
      </c>
      <c r="T357" s="156" t="s">
        <v>43</v>
      </c>
      <c r="U357" s="150" t="s">
        <v>43</v>
      </c>
      <c r="V357" s="150" t="s">
        <v>43</v>
      </c>
      <c r="W357" s="150" t="s">
        <v>43</v>
      </c>
      <c r="X357" s="157" t="s">
        <v>523</v>
      </c>
      <c r="Y357" s="150">
        <v>120</v>
      </c>
      <c r="Z357" s="150"/>
      <c r="AA357" s="158"/>
      <c r="AB357" s="155"/>
      <c r="AC357" s="150"/>
      <c r="AD357" s="155"/>
      <c r="AE357" s="155"/>
      <c r="AF357" s="150"/>
      <c r="AG357" s="159">
        <f>Y357</f>
        <v>120</v>
      </c>
      <c r="AH357" s="211">
        <v>133.23179999999999</v>
      </c>
      <c r="AI357" s="202">
        <v>0</v>
      </c>
      <c r="AJ357" s="161">
        <v>7.0000000000000007E-2</v>
      </c>
      <c r="AK357" s="162">
        <v>4.2000000000000003E-2</v>
      </c>
      <c r="AL357" s="163"/>
      <c r="AM357" s="164">
        <f>(((IF(L357=$L$101,1,IF(L357=$L$47,1,0))*(AH357*(1-AK357)))*AG357)*(1-AL357))</f>
        <v>0</v>
      </c>
      <c r="AN357" s="165">
        <f>IF(K357=$K$50,AM357,IF(K357=$K$53,AM357,IF(K357=$K$54,AM357,IF(K357=$K$55,AM357,IF(K357=$K$56,AM357,IF(K357=$K$57,AM357,IF(K357=$K$58,AM357,IF(K357=$K$65,AM357,IF(K357=$K$66,AM357,IF(K357=$K$67,AM357,IF(K357=$K$68,AM357,IF(K357=$K$69,AM357,IF(K357=$K$51,AM357,(AM357*(1+AI357)))))))))))))))</f>
        <v>0</v>
      </c>
      <c r="AO357" s="166">
        <v>1.4</v>
      </c>
      <c r="AP357" s="160">
        <f t="shared" si="66"/>
        <v>0</v>
      </c>
      <c r="AQ357" s="167">
        <f t="shared" si="85"/>
        <v>0</v>
      </c>
      <c r="AR357" s="160">
        <f t="shared" si="67"/>
        <v>0</v>
      </c>
      <c r="AS357" s="168">
        <f t="shared" si="68"/>
        <v>0</v>
      </c>
      <c r="AT357" s="169" t="str">
        <f>K357</f>
        <v>MI</v>
      </c>
      <c r="AU357" s="169" t="str">
        <f>I357</f>
        <v>Mercadorias</v>
      </c>
      <c r="AV357" s="170"/>
      <c r="AW357" s="171">
        <f>IF(K357=$K$50,0,IF(K357=$K$53,0,IF(K357=$K$54,0,IF(K357=$K$55,0,IF(K357=$K$56,0,IF(K357=$K$57,0,IF(K357=$K$58,0,IF(K357=$K$65,0,IF(K357=$K$66,0,IF(K357=$K$67,0,IF(K357=$K$68,0,IF(K357=$K$69,0,IF(K357=$K$51,0,1))))))))))))*AM357*AI357)</f>
        <v>0</v>
      </c>
      <c r="AX357" s="172">
        <f>IF(K357=$K$50,0,IF(K357=$K$53,0,IF(K357=$K$54,0,IF(K357=$K$55,0,IF(K357=$K$56,0,IF(K357=$K$57,0,IF(K357=$K$58,0,IF(K357=$K$65,0,IF(K357=$K$66,0,IF(K357=$K$67,0,IF(K357=$K$68,0,IF(K357=$K$69,0,IF(K357=$K$51,0,1))))))))))))*AM357*AJ357*$AX$94)</f>
        <v>0</v>
      </c>
      <c r="AY357" s="172">
        <f>IF(K357=$K$53,0,IF(K357=$K$54,0,IF(K357=$K$55,0,IF(K357=$K$56,0,IF(K357=$K$58,0,IF(K357=$K$50,0,IF(K357=$K$65,0,IF(K357=$K$57,0,IF(K357=$K$51,0,AM357*$AY$102)))))))))</f>
        <v>0</v>
      </c>
      <c r="AZ357" s="172">
        <f>IF(K357=$K$53,0,IF(K357=$K$54,0,IF(K357=$K$55,0,IF(K357=$K$56,0,IF(K357=$K$58,0,IF(K357=$K$50,0,IF(K357=$K$65,0,IF(K357=$K$57,0,IF(K357=$K$51,0,AM357*$AZ$102)))))))))</f>
        <v>0</v>
      </c>
      <c r="BA357" s="172">
        <f t="shared" si="69"/>
        <v>0</v>
      </c>
      <c r="BB357" s="173">
        <f>IF($BA$97=1,AQ357*$BB$102,IF(K357=$K$50,0,IF(K357=$K$53,0,IF(K357=$K$54,0,IF(K357=$K$55,0,IF(K357=$K$56,0,IF(K357=$K$57,0,IF(K357=$K$58,0,IF(K357=$K$65,0,IF(K357=$K$66,0,IF(K357=$K$67,0,IF(K357=$K$68,0,IF(K357=$K$69,0,IF(K357=$K$51,0,1)))))))))))*AQ357*$BB$102)))</f>
        <v>0</v>
      </c>
      <c r="BC357" s="172">
        <f t="shared" si="70"/>
        <v>0</v>
      </c>
      <c r="BD357" s="172">
        <f t="shared" si="71"/>
        <v>0</v>
      </c>
      <c r="BE357" s="172">
        <f>IF($BE$95=I357,$BE$97,IF(I357=$BE$96,$BE$97,1))*($BE$102*AQ357)*$AZ$97</f>
        <v>0</v>
      </c>
      <c r="BF357" s="172">
        <f>IF('[1]Cockpit Retorno'!$C$65=Sim,Mestre!BA357,SUM(BB357:BE357)+(IF(K357=$K$56,AQ357*MOE_IRRF_LR,0)))</f>
        <v>0</v>
      </c>
      <c r="BG357" s="174">
        <f>IF(AA357&gt;0,0,IF(Z357=$Z$82,AG357*1,(IF(Z357=$Z$81,AG357*1,0))))</f>
        <v>0</v>
      </c>
      <c r="BH357" s="174">
        <f>IF(AA357&gt;0,0,IF(Z357=$Z$83,AG357*1,IF(Z357=$Z$81,AG357*1,0)))</f>
        <v>0</v>
      </c>
      <c r="BI357" s="174">
        <f>IF(AA357&gt;0,0,IF(Z357=$Z$84,AG357*1,IF(Z357=$Z$93,AG357*2,IF(Z357=$Z$100,AG357,IF(Z357=$Z$81,AG357*2,IF(Z357=$Z$80,AG357*1,IF(Z357=$Z$79,AG357*3,IF(Z357=$Z$78,AG357*2,0))))))))</f>
        <v>0</v>
      </c>
      <c r="BJ357" s="174">
        <f>IF(AA357&gt;0,0,IF(Z357=$Z$85,AG357,IF(Z357=$Z$93,AG357,IF(Z357=$Z$100,AG357,IF(Z357=$Z$81,AG357*1,IF(Z357=$Z$80,AG357*2,IF(Z357=$Z$79,AG357*2,IF(Z357=$Z$78,AG357*2,0))))))))</f>
        <v>0</v>
      </c>
      <c r="BK357" s="174">
        <f>IF(AA357&gt;0,0,IF(Z357=$Z$92,AG357,0))</f>
        <v>0</v>
      </c>
      <c r="BL357" s="174">
        <f>IF(AA357&gt;0,0,IF(Z357=$Z$91,AG357,0))</f>
        <v>0</v>
      </c>
      <c r="BM357" s="174">
        <f>IF(AA357&gt;0,0,IF(Z357=$Z$86,AG357,0))</f>
        <v>0</v>
      </c>
      <c r="BN357" s="174">
        <f>IF(AA357&gt;0,0,IF(Z357=$Z$87,AG357,0))</f>
        <v>0</v>
      </c>
      <c r="BO357" s="174">
        <f>IF(AA357&gt;0,0,IF(Z357=$Z$88,AG357,0))</f>
        <v>0</v>
      </c>
      <c r="BP357" s="174">
        <f>IF(AA357&gt;0,0,IF(Z357=$Z$89,AG357,0))</f>
        <v>0</v>
      </c>
      <c r="BQ357" s="174">
        <f>IF(AA357&gt;0,0,IF(Z357=$Z$90,AG357,0))</f>
        <v>0</v>
      </c>
      <c r="BR357" s="174">
        <f>IF(Z357=$Z$82,AA357*AG357,0)</f>
        <v>0</v>
      </c>
      <c r="BS357" s="174">
        <f>IF(Z357=$Z$83,AA357*AG357,0)</f>
        <v>0</v>
      </c>
      <c r="BT357" s="174">
        <f>IF(AA357&lt;1,0,IF(Z357=$Z$84,AA357*AG357,IF(Z357=$Z$93,"ERRO",IF(Z357=$Z$100,"ERRO",0))))</f>
        <v>0</v>
      </c>
      <c r="BU357" s="174">
        <f>IF(AA357&lt;1,0,IF(Z357=$Z$85,AA357*AG357,IF(Z357=$Z$93,"ERRO",IF(Z357=$Z$100,"ERRO",0))))</f>
        <v>0</v>
      </c>
      <c r="BV357" s="174">
        <f>IF(Z357=$Z$92,AA357*AG357,0)</f>
        <v>0</v>
      </c>
      <c r="BW357" s="174">
        <f>IF(Z357=$Z$91,AA357*AG357,0)</f>
        <v>0</v>
      </c>
      <c r="BX357" s="174">
        <f>IF(Z357=$Z$86,AA357*AG357,0)</f>
        <v>0</v>
      </c>
      <c r="BY357" s="174">
        <f>IF(Z357=$Z$87,AA357*AG357,0)</f>
        <v>0</v>
      </c>
      <c r="BZ357" s="174">
        <f>IF(Z357=$Z$88,AA357*AG357,0)</f>
        <v>0</v>
      </c>
      <c r="CA357" s="174">
        <f>IF(Z357=$Z$89,AA357*AG357,0)</f>
        <v>0</v>
      </c>
      <c r="CB357" s="174">
        <f>IF(Z357=$Z$90,AA357*AG357,0)</f>
        <v>0</v>
      </c>
      <c r="CC357" s="175">
        <f>IFERROR(IF(L357=$L$49,AG357*AH357*(1+AI357)*(1-AK357)*(1-AL357),0),0)</f>
        <v>15316.327727999998</v>
      </c>
      <c r="CD357" s="203">
        <f>IF(I357=$CD$97,1,IF(I357=$CD$100,2,IF(K357=$K$66,1,IF(K357=$K$69,1,3))))</f>
        <v>1</v>
      </c>
      <c r="CE357" s="203">
        <f t="shared" si="14"/>
        <v>1.07</v>
      </c>
      <c r="CF357" s="204">
        <f t="shared" si="75"/>
        <v>1.2353999999999998</v>
      </c>
      <c r="CG357" s="203">
        <f t="shared" si="15"/>
        <v>1.42</v>
      </c>
      <c r="CH357" s="204">
        <f t="shared" si="76"/>
        <v>1.5478000000000001</v>
      </c>
      <c r="CI357" s="203">
        <f t="shared" si="16"/>
        <v>1.7</v>
      </c>
      <c r="CJ357" s="205">
        <f t="shared" si="77"/>
        <v>1.0486</v>
      </c>
      <c r="CK357" s="205">
        <f t="shared" si="78"/>
        <v>1.148922</v>
      </c>
      <c r="CL357" s="205">
        <f t="shared" si="79"/>
        <v>1.3915999999999999</v>
      </c>
      <c r="CM357" s="205">
        <f t="shared" si="80"/>
        <v>1.501366</v>
      </c>
      <c r="CN357" s="206">
        <f t="shared" si="81"/>
        <v>1.6319999999999999</v>
      </c>
      <c r="CO357" s="204">
        <f t="shared" si="82"/>
        <v>1.006656</v>
      </c>
      <c r="CP357" s="207">
        <f t="shared" si="83"/>
        <v>0</v>
      </c>
      <c r="CQ357" s="208">
        <f t="shared" si="84"/>
        <v>0</v>
      </c>
      <c r="CR357" s="209">
        <f t="shared" si="72"/>
        <v>0</v>
      </c>
      <c r="CS357" s="49"/>
      <c r="CT357" s="49"/>
      <c r="CU357" s="49"/>
      <c r="CV357" s="49"/>
      <c r="CW357" s="49"/>
      <c r="CX357" s="49"/>
      <c r="CY357" s="49"/>
      <c r="CZ357" s="49"/>
      <c r="DA357" s="49"/>
      <c r="DB357" s="49"/>
      <c r="DC357" s="49"/>
      <c r="DD357" s="49"/>
      <c r="DE357" s="49"/>
      <c r="DF357" s="49"/>
      <c r="DG357" s="49"/>
      <c r="DH357" s="49"/>
      <c r="DI357" s="49"/>
      <c r="DJ357" s="49"/>
      <c r="DK357" s="49"/>
      <c r="DL357" s="49"/>
      <c r="DM357" s="49"/>
      <c r="DN357" s="49"/>
      <c r="DO357" s="49"/>
      <c r="DP357" s="49"/>
      <c r="DQ357" s="49"/>
      <c r="DR357" s="49"/>
      <c r="DS357" s="49"/>
      <c r="DT357" s="49"/>
      <c r="DU357" s="49"/>
      <c r="DV357" s="49"/>
      <c r="DW357" s="49"/>
      <c r="DX357" s="49"/>
      <c r="DY357" s="49"/>
      <c r="DZ357" s="49"/>
      <c r="EA357" s="49"/>
      <c r="EB357" s="49"/>
      <c r="EC357" s="49"/>
      <c r="ED357" s="49"/>
      <c r="EE357" s="49"/>
      <c r="EF357" s="49"/>
      <c r="EG357" s="49"/>
      <c r="EH357" s="49"/>
      <c r="EI357" s="49"/>
      <c r="EJ357" s="49"/>
      <c r="EK357" s="49"/>
      <c r="EL357" s="49"/>
      <c r="EM357" s="49"/>
      <c r="EN357" s="49"/>
      <c r="EO357" s="49"/>
      <c r="EP357" s="49"/>
      <c r="EQ357" s="49"/>
      <c r="ER357" s="49"/>
      <c r="ES357" s="49"/>
      <c r="ET357" s="49"/>
      <c r="EU357" s="49"/>
      <c r="EV357" s="49"/>
      <c r="EW357" s="49"/>
      <c r="EX357" s="49"/>
      <c r="EY357" s="49"/>
      <c r="EZ357" s="49"/>
      <c r="FA357" s="49"/>
    </row>
    <row r="358" spans="1:157" s="210" customFormat="1" ht="51" x14ac:dyDescent="0.25">
      <c r="A358" s="113">
        <f>IF(AND('[1]Cockpit Retorno'!$E$67=Sim,Mestre!M358=Mestre!$M$98),0,1)</f>
        <v>1</v>
      </c>
      <c r="B358" s="113">
        <f>IF(AND('[1]Cockpit Retorno'!$E$67=Sim,Mestre!L358=Mestre!$L$48),0,1)</f>
        <v>1</v>
      </c>
      <c r="C358" s="113">
        <f>IF(AND('[1]Cockpit Retorno'!$E$67=Sim,Mestre!M358=Mestre!$M$97),0,1)</f>
        <v>1</v>
      </c>
      <c r="D358" s="148" t="s">
        <v>7</v>
      </c>
      <c r="E358" s="115"/>
      <c r="F358" s="116" t="s">
        <v>107</v>
      </c>
      <c r="G358" s="149">
        <v>29</v>
      </c>
      <c r="H358" s="150" t="s">
        <v>7</v>
      </c>
      <c r="I358" s="151" t="str">
        <f t="shared" si="65"/>
        <v>Mercadorias</v>
      </c>
      <c r="J358" s="150" t="s">
        <v>15</v>
      </c>
      <c r="K358" s="152" t="s">
        <v>7</v>
      </c>
      <c r="L358" s="153" t="s">
        <v>21</v>
      </c>
      <c r="M358" s="154" t="s">
        <v>513</v>
      </c>
      <c r="N358" s="155" t="s">
        <v>494</v>
      </c>
      <c r="O358" s="155" t="s">
        <v>516</v>
      </c>
      <c r="P358" s="155" t="s">
        <v>43</v>
      </c>
      <c r="Q358" s="155" t="s">
        <v>43</v>
      </c>
      <c r="R358" s="155" t="s">
        <v>43</v>
      </c>
      <c r="S358" s="156" t="s">
        <v>43</v>
      </c>
      <c r="T358" s="156" t="s">
        <v>43</v>
      </c>
      <c r="U358" s="150" t="s">
        <v>43</v>
      </c>
      <c r="V358" s="150" t="s">
        <v>43</v>
      </c>
      <c r="W358" s="150" t="s">
        <v>43</v>
      </c>
      <c r="X358" s="157" t="s">
        <v>524</v>
      </c>
      <c r="Y358" s="150">
        <v>660</v>
      </c>
      <c r="Z358" s="150"/>
      <c r="AA358" s="158"/>
      <c r="AB358" s="155"/>
      <c r="AC358" s="150"/>
      <c r="AD358" s="155"/>
      <c r="AE358" s="155"/>
      <c r="AF358" s="150"/>
      <c r="AG358" s="159">
        <f>Y358</f>
        <v>660</v>
      </c>
      <c r="AH358" s="211">
        <v>108.8565</v>
      </c>
      <c r="AI358" s="202">
        <v>0</v>
      </c>
      <c r="AJ358" s="161">
        <v>7.0000000000000007E-2</v>
      </c>
      <c r="AK358" s="162">
        <v>4.2000000000000003E-2</v>
      </c>
      <c r="AL358" s="163"/>
      <c r="AM358" s="164">
        <f>(((IF(L358=$L$101,1,IF(L358=$L$47,1,0))*(AH358*(1-AK358)))*AG358)*(1-AL358))</f>
        <v>0</v>
      </c>
      <c r="AN358" s="165">
        <f>IF(K358=$K$50,AM358,IF(K358=$K$53,AM358,IF(K358=$K$54,AM358,IF(K358=$K$55,AM358,IF(K358=$K$56,AM358,IF(K358=$K$57,AM358,IF(K358=$K$58,AM358,IF(K358=$K$65,AM358,IF(K358=$K$66,AM358,IF(K358=$K$67,AM358,IF(K358=$K$68,AM358,IF(K358=$K$69,AM358,IF(K358=$K$51,AM358,(AM358*(1+AI358)))))))))))))))</f>
        <v>0</v>
      </c>
      <c r="AO358" s="166">
        <v>1.4</v>
      </c>
      <c r="AP358" s="160">
        <f t="shared" si="66"/>
        <v>0</v>
      </c>
      <c r="AQ358" s="167">
        <f t="shared" si="85"/>
        <v>0</v>
      </c>
      <c r="AR358" s="160">
        <f t="shared" si="67"/>
        <v>0</v>
      </c>
      <c r="AS358" s="168">
        <f t="shared" si="68"/>
        <v>0</v>
      </c>
      <c r="AT358" s="169" t="str">
        <f>K358</f>
        <v>MI</v>
      </c>
      <c r="AU358" s="169" t="str">
        <f>I358</f>
        <v>Mercadorias</v>
      </c>
      <c r="AV358" s="170"/>
      <c r="AW358" s="171">
        <f>IF(K358=$K$50,0,IF(K358=$K$53,0,IF(K358=$K$54,0,IF(K358=$K$55,0,IF(K358=$K$56,0,IF(K358=$K$57,0,IF(K358=$K$58,0,IF(K358=$K$65,0,IF(K358=$K$66,0,IF(K358=$K$67,0,IF(K358=$K$68,0,IF(K358=$K$69,0,IF(K358=$K$51,0,1))))))))))))*AM358*AI358)</f>
        <v>0</v>
      </c>
      <c r="AX358" s="172">
        <f>IF(K358=$K$50,0,IF(K358=$K$53,0,IF(K358=$K$54,0,IF(K358=$K$55,0,IF(K358=$K$56,0,IF(K358=$K$57,0,IF(K358=$K$58,0,IF(K358=$K$65,0,IF(K358=$K$66,0,IF(K358=$K$67,0,IF(K358=$K$68,0,IF(K358=$K$69,0,IF(K358=$K$51,0,1))))))))))))*AM358*AJ358*$AX$94)</f>
        <v>0</v>
      </c>
      <c r="AY358" s="172">
        <f>IF(K358=$K$53,0,IF(K358=$K$54,0,IF(K358=$K$55,0,IF(K358=$K$56,0,IF(K358=$K$58,0,IF(K358=$K$50,0,IF(K358=$K$65,0,IF(K358=$K$57,0,IF(K358=$K$51,0,AM358*$AY$102)))))))))</f>
        <v>0</v>
      </c>
      <c r="AZ358" s="172">
        <f>IF(K358=$K$53,0,IF(K358=$K$54,0,IF(K358=$K$55,0,IF(K358=$K$56,0,IF(K358=$K$58,0,IF(K358=$K$50,0,IF(K358=$K$65,0,IF(K358=$K$57,0,IF(K358=$K$51,0,AM358*$AZ$102)))))))))</f>
        <v>0</v>
      </c>
      <c r="BA358" s="172">
        <f t="shared" si="69"/>
        <v>0</v>
      </c>
      <c r="BB358" s="173">
        <f>IF($BA$97=1,AQ358*$BB$102,IF(K358=$K$50,0,IF(K358=$K$53,0,IF(K358=$K$54,0,IF(K358=$K$55,0,IF(K358=$K$56,0,IF(K358=$K$57,0,IF(K358=$K$58,0,IF(K358=$K$65,0,IF(K358=$K$66,0,IF(K358=$K$67,0,IF(K358=$K$68,0,IF(K358=$K$69,0,IF(K358=$K$51,0,1)))))))))))*AQ358*$BB$102)))</f>
        <v>0</v>
      </c>
      <c r="BC358" s="172">
        <f t="shared" si="70"/>
        <v>0</v>
      </c>
      <c r="BD358" s="172">
        <f t="shared" si="71"/>
        <v>0</v>
      </c>
      <c r="BE358" s="172">
        <f>IF($BE$95=I358,$BE$97,IF(I358=$BE$96,$BE$97,1))*($BE$102*AQ358)*$AZ$97</f>
        <v>0</v>
      </c>
      <c r="BF358" s="172">
        <f>IF('[1]Cockpit Retorno'!$C$65=Sim,Mestre!BA358,SUM(BB358:BE358)+(IF(K358=$K$56,AQ358*MOE_IRRF_LR,0)))</f>
        <v>0</v>
      </c>
      <c r="BG358" s="174">
        <f>IF(AA358&gt;0,0,IF(Z358=$Z$82,AG358*1,(IF(Z358=$Z$81,AG358*1,0))))</f>
        <v>0</v>
      </c>
      <c r="BH358" s="174">
        <f>IF(AA358&gt;0,0,IF(Z358=$Z$83,AG358*1,IF(Z358=$Z$81,AG358*1,0)))</f>
        <v>0</v>
      </c>
      <c r="BI358" s="174">
        <f>IF(AA358&gt;0,0,IF(Z358=$Z$84,AG358*1,IF(Z358=$Z$93,AG358*2,IF(Z358=$Z$100,AG358,IF(Z358=$Z$81,AG358*2,IF(Z358=$Z$80,AG358*1,IF(Z358=$Z$79,AG358*3,IF(Z358=$Z$78,AG358*2,0))))))))</f>
        <v>0</v>
      </c>
      <c r="BJ358" s="174">
        <f>IF(AA358&gt;0,0,IF(Z358=$Z$85,AG358,IF(Z358=$Z$93,AG358,IF(Z358=$Z$100,AG358,IF(Z358=$Z$81,AG358*1,IF(Z358=$Z$80,AG358*2,IF(Z358=$Z$79,AG358*2,IF(Z358=$Z$78,AG358*2,0))))))))</f>
        <v>0</v>
      </c>
      <c r="BK358" s="174">
        <f>IF(AA358&gt;0,0,IF(Z358=$Z$92,AG358,0))</f>
        <v>0</v>
      </c>
      <c r="BL358" s="174">
        <f>IF(AA358&gt;0,0,IF(Z358=$Z$91,AG358,0))</f>
        <v>0</v>
      </c>
      <c r="BM358" s="174">
        <f>IF(AA358&gt;0,0,IF(Z358=$Z$86,AG358,0))</f>
        <v>0</v>
      </c>
      <c r="BN358" s="174">
        <f>IF(AA358&gt;0,0,IF(Z358=$Z$87,AG358,0))</f>
        <v>0</v>
      </c>
      <c r="BO358" s="174">
        <f>IF(AA358&gt;0,0,IF(Z358=$Z$88,AG358,0))</f>
        <v>0</v>
      </c>
      <c r="BP358" s="174">
        <f>IF(AA358&gt;0,0,IF(Z358=$Z$89,AG358,0))</f>
        <v>0</v>
      </c>
      <c r="BQ358" s="174">
        <f>IF(AA358&gt;0,0,IF(Z358=$Z$90,AG358,0))</f>
        <v>0</v>
      </c>
      <c r="BR358" s="174">
        <f>IF(Z358=$Z$82,AA358*AG358,0)</f>
        <v>0</v>
      </c>
      <c r="BS358" s="174">
        <f>IF(Z358=$Z$83,AA358*AG358,0)</f>
        <v>0</v>
      </c>
      <c r="BT358" s="174">
        <f>IF(AA358&lt;1,0,IF(Z358=$Z$84,AA358*AG358,IF(Z358=$Z$93,"ERRO",IF(Z358=$Z$100,"ERRO",0))))</f>
        <v>0</v>
      </c>
      <c r="BU358" s="174">
        <f>IF(AA358&lt;1,0,IF(Z358=$Z$85,AA358*AG358,IF(Z358=$Z$93,"ERRO",IF(Z358=$Z$100,"ERRO",0))))</f>
        <v>0</v>
      </c>
      <c r="BV358" s="174">
        <f>IF(Z358=$Z$92,AA358*AG358,0)</f>
        <v>0</v>
      </c>
      <c r="BW358" s="174">
        <f>IF(Z358=$Z$91,AA358*AG358,0)</f>
        <v>0</v>
      </c>
      <c r="BX358" s="174">
        <f>IF(Z358=$Z$86,AA358*AG358,0)</f>
        <v>0</v>
      </c>
      <c r="BY358" s="174">
        <f>IF(Z358=$Z$87,AA358*AG358,0)</f>
        <v>0</v>
      </c>
      <c r="BZ358" s="174">
        <f>IF(Z358=$Z$88,AA358*AG358,0)</f>
        <v>0</v>
      </c>
      <c r="CA358" s="174">
        <f>IF(Z358=$Z$89,AA358*AG358,0)</f>
        <v>0</v>
      </c>
      <c r="CB358" s="174">
        <f>IF(Z358=$Z$90,AA358*AG358,0)</f>
        <v>0</v>
      </c>
      <c r="CC358" s="175">
        <f>IFERROR(IF(L358=$L$49,AG358*AH358*(1+AI358)*(1-AK358)*(1-AL358),0),0)</f>
        <v>68827.787819999998</v>
      </c>
      <c r="CD358" s="203">
        <f>IF(I358=$CD$97,1,IF(I358=$CD$100,2,IF(K358=$K$66,1,IF(K358=$K$69,1,3))))</f>
        <v>1</v>
      </c>
      <c r="CE358" s="203">
        <f t="shared" si="14"/>
        <v>1.07</v>
      </c>
      <c r="CF358" s="204">
        <f t="shared" si="75"/>
        <v>1.2353999999999998</v>
      </c>
      <c r="CG358" s="203">
        <f t="shared" si="15"/>
        <v>1.42</v>
      </c>
      <c r="CH358" s="204">
        <f t="shared" si="76"/>
        <v>1.5478000000000001</v>
      </c>
      <c r="CI358" s="203">
        <f t="shared" si="16"/>
        <v>1.7</v>
      </c>
      <c r="CJ358" s="205">
        <f t="shared" si="77"/>
        <v>1.0486</v>
      </c>
      <c r="CK358" s="205">
        <f t="shared" si="78"/>
        <v>1.148922</v>
      </c>
      <c r="CL358" s="205">
        <f t="shared" si="79"/>
        <v>1.3915999999999999</v>
      </c>
      <c r="CM358" s="205">
        <f t="shared" si="80"/>
        <v>1.501366</v>
      </c>
      <c r="CN358" s="206">
        <f t="shared" si="81"/>
        <v>1.6319999999999999</v>
      </c>
      <c r="CO358" s="204">
        <f t="shared" si="82"/>
        <v>1.006656</v>
      </c>
      <c r="CP358" s="207">
        <f t="shared" si="83"/>
        <v>0</v>
      </c>
      <c r="CQ358" s="208">
        <f t="shared" si="84"/>
        <v>0</v>
      </c>
      <c r="CR358" s="209">
        <f t="shared" si="72"/>
        <v>0</v>
      </c>
      <c r="CS358" s="49"/>
      <c r="CT358" s="49"/>
      <c r="CU358" s="49"/>
      <c r="CV358" s="49"/>
      <c r="CW358" s="49"/>
      <c r="CX358" s="49"/>
      <c r="CY358" s="49"/>
      <c r="CZ358" s="49"/>
      <c r="DA358" s="49"/>
      <c r="DB358" s="49"/>
      <c r="DC358" s="49"/>
      <c r="DD358" s="49"/>
      <c r="DE358" s="49"/>
      <c r="DF358" s="49"/>
      <c r="DG358" s="49"/>
      <c r="DH358" s="49"/>
      <c r="DI358" s="49"/>
      <c r="DJ358" s="49"/>
      <c r="DK358" s="49"/>
      <c r="DL358" s="49"/>
      <c r="DM358" s="49"/>
      <c r="DN358" s="49"/>
      <c r="DO358" s="49"/>
      <c r="DP358" s="49"/>
      <c r="DQ358" s="49"/>
      <c r="DR358" s="49"/>
      <c r="DS358" s="49"/>
      <c r="DT358" s="49"/>
      <c r="DU358" s="49"/>
      <c r="DV358" s="49"/>
      <c r="DW358" s="49"/>
      <c r="DX358" s="49"/>
      <c r="DY358" s="49"/>
      <c r="DZ358" s="49"/>
      <c r="EA358" s="49"/>
      <c r="EB358" s="49"/>
      <c r="EC358" s="49"/>
      <c r="ED358" s="49"/>
      <c r="EE358" s="49"/>
      <c r="EF358" s="49"/>
      <c r="EG358" s="49"/>
      <c r="EH358" s="49"/>
      <c r="EI358" s="49"/>
      <c r="EJ358" s="49"/>
      <c r="EK358" s="49"/>
      <c r="EL358" s="49"/>
      <c r="EM358" s="49"/>
      <c r="EN358" s="49"/>
      <c r="EO358" s="49"/>
      <c r="EP358" s="49"/>
      <c r="EQ358" s="49"/>
      <c r="ER358" s="49"/>
      <c r="ES358" s="49"/>
      <c r="ET358" s="49"/>
      <c r="EU358" s="49"/>
      <c r="EV358" s="49"/>
      <c r="EW358" s="49"/>
      <c r="EX358" s="49"/>
      <c r="EY358" s="49"/>
      <c r="EZ358" s="49"/>
      <c r="FA358" s="49"/>
    </row>
    <row r="359" spans="1:157" s="210" customFormat="1" ht="51" x14ac:dyDescent="0.25">
      <c r="A359" s="113">
        <f>IF(AND('[1]Cockpit Retorno'!$E$67=Sim,Mestre!M359=Mestre!$M$98),0,1)</f>
        <v>1</v>
      </c>
      <c r="B359" s="113">
        <f>IF(AND('[1]Cockpit Retorno'!$E$67=Sim,Mestre!L359=Mestre!$L$48),0,1)</f>
        <v>1</v>
      </c>
      <c r="C359" s="113">
        <f>IF(AND('[1]Cockpit Retorno'!$E$67=Sim,Mestre!M359=Mestre!$M$97),0,1)</f>
        <v>1</v>
      </c>
      <c r="D359" s="148" t="s">
        <v>7</v>
      </c>
      <c r="E359" s="115"/>
      <c r="F359" s="116" t="s">
        <v>107</v>
      </c>
      <c r="G359" s="149">
        <v>29</v>
      </c>
      <c r="H359" s="150" t="s">
        <v>7</v>
      </c>
      <c r="I359" s="151" t="str">
        <f t="shared" si="65"/>
        <v>Mercadorias</v>
      </c>
      <c r="J359" s="150" t="s">
        <v>15</v>
      </c>
      <c r="K359" s="152" t="s">
        <v>7</v>
      </c>
      <c r="L359" s="153" t="s">
        <v>21</v>
      </c>
      <c r="M359" s="154" t="s">
        <v>513</v>
      </c>
      <c r="N359" s="155" t="s">
        <v>494</v>
      </c>
      <c r="O359" s="155" t="s">
        <v>516</v>
      </c>
      <c r="P359" s="155" t="s">
        <v>43</v>
      </c>
      <c r="Q359" s="155" t="s">
        <v>43</v>
      </c>
      <c r="R359" s="155" t="s">
        <v>43</v>
      </c>
      <c r="S359" s="156" t="s">
        <v>43</v>
      </c>
      <c r="T359" s="156" t="s">
        <v>43</v>
      </c>
      <c r="U359" s="150" t="s">
        <v>43</v>
      </c>
      <c r="V359" s="150" t="s">
        <v>43</v>
      </c>
      <c r="W359" s="150" t="s">
        <v>43</v>
      </c>
      <c r="X359" s="157" t="s">
        <v>525</v>
      </c>
      <c r="Y359" s="150">
        <v>990</v>
      </c>
      <c r="Z359" s="150"/>
      <c r="AA359" s="158"/>
      <c r="AB359" s="155"/>
      <c r="AC359" s="150"/>
      <c r="AD359" s="155"/>
      <c r="AE359" s="155"/>
      <c r="AF359" s="150"/>
      <c r="AG359" s="159">
        <f>Y359</f>
        <v>990</v>
      </c>
      <c r="AH359" s="211">
        <v>86.65740000000001</v>
      </c>
      <c r="AI359" s="202">
        <v>0</v>
      </c>
      <c r="AJ359" s="161">
        <v>7.0000000000000007E-2</v>
      </c>
      <c r="AK359" s="162">
        <v>4.2000000000000003E-2</v>
      </c>
      <c r="AL359" s="163"/>
      <c r="AM359" s="164">
        <f>(((IF(L359=$L$101,1,IF(L359=$L$47,1,0))*(AH359*(1-AK359)))*AG359)*(1-AL359))</f>
        <v>0</v>
      </c>
      <c r="AN359" s="165">
        <f>IF(K359=$K$50,AM359,IF(K359=$K$53,AM359,IF(K359=$K$54,AM359,IF(K359=$K$55,AM359,IF(K359=$K$56,AM359,IF(K359=$K$57,AM359,IF(K359=$K$58,AM359,IF(K359=$K$65,AM359,IF(K359=$K$66,AM359,IF(K359=$K$67,AM359,IF(K359=$K$68,AM359,IF(K359=$K$69,AM359,IF(K359=$K$51,AM359,(AM359*(1+AI359)))))))))))))))</f>
        <v>0</v>
      </c>
      <c r="AO359" s="166">
        <v>1.4</v>
      </c>
      <c r="AP359" s="160">
        <f t="shared" si="66"/>
        <v>0</v>
      </c>
      <c r="AQ359" s="167">
        <f t="shared" si="85"/>
        <v>0</v>
      </c>
      <c r="AR359" s="160">
        <f t="shared" si="67"/>
        <v>0</v>
      </c>
      <c r="AS359" s="168">
        <f t="shared" si="68"/>
        <v>0</v>
      </c>
      <c r="AT359" s="169" t="str">
        <f>K359</f>
        <v>MI</v>
      </c>
      <c r="AU359" s="169" t="str">
        <f>I359</f>
        <v>Mercadorias</v>
      </c>
      <c r="AV359" s="170"/>
      <c r="AW359" s="171">
        <f>IF(K359=$K$50,0,IF(K359=$K$53,0,IF(K359=$K$54,0,IF(K359=$K$55,0,IF(K359=$K$56,0,IF(K359=$K$57,0,IF(K359=$K$58,0,IF(K359=$K$65,0,IF(K359=$K$66,0,IF(K359=$K$67,0,IF(K359=$K$68,0,IF(K359=$K$69,0,IF(K359=$K$51,0,1))))))))))))*AM359*AI359)</f>
        <v>0</v>
      </c>
      <c r="AX359" s="172">
        <f>IF(K359=$K$50,0,IF(K359=$K$53,0,IF(K359=$K$54,0,IF(K359=$K$55,0,IF(K359=$K$56,0,IF(K359=$K$57,0,IF(K359=$K$58,0,IF(K359=$K$65,0,IF(K359=$K$66,0,IF(K359=$K$67,0,IF(K359=$K$68,0,IF(K359=$K$69,0,IF(K359=$K$51,0,1))))))))))))*AM359*AJ359*$AX$94)</f>
        <v>0</v>
      </c>
      <c r="AY359" s="172">
        <f>IF(K359=$K$53,0,IF(K359=$K$54,0,IF(K359=$K$55,0,IF(K359=$K$56,0,IF(K359=$K$58,0,IF(K359=$K$50,0,IF(K359=$K$65,0,IF(K359=$K$57,0,IF(K359=$K$51,0,AM359*$AY$102)))))))))</f>
        <v>0</v>
      </c>
      <c r="AZ359" s="172">
        <f>IF(K359=$K$53,0,IF(K359=$K$54,0,IF(K359=$K$55,0,IF(K359=$K$56,0,IF(K359=$K$58,0,IF(K359=$K$50,0,IF(K359=$K$65,0,IF(K359=$K$57,0,IF(K359=$K$51,0,AM359*$AZ$102)))))))))</f>
        <v>0</v>
      </c>
      <c r="BA359" s="172">
        <f t="shared" si="69"/>
        <v>0</v>
      </c>
      <c r="BB359" s="173">
        <f>IF($BA$97=1,AQ359*$BB$102,IF(K359=$K$50,0,IF(K359=$K$53,0,IF(K359=$K$54,0,IF(K359=$K$55,0,IF(K359=$K$56,0,IF(K359=$K$57,0,IF(K359=$K$58,0,IF(K359=$K$65,0,IF(K359=$K$66,0,IF(K359=$K$67,0,IF(K359=$K$68,0,IF(K359=$K$69,0,IF(K359=$K$51,0,1)))))))))))*AQ359*$BB$102)))</f>
        <v>0</v>
      </c>
      <c r="BC359" s="172">
        <f t="shared" si="70"/>
        <v>0</v>
      </c>
      <c r="BD359" s="172">
        <f t="shared" si="71"/>
        <v>0</v>
      </c>
      <c r="BE359" s="172">
        <f>IF($BE$95=I359,$BE$97,IF(I359=$BE$96,$BE$97,1))*($BE$102*AQ359)*$AZ$97</f>
        <v>0</v>
      </c>
      <c r="BF359" s="172">
        <f>IF('[1]Cockpit Retorno'!$C$65=Sim,Mestre!BA359,SUM(BB359:BE359)+(IF(K359=$K$56,AQ359*MOE_IRRF_LR,0)))</f>
        <v>0</v>
      </c>
      <c r="BG359" s="174">
        <f>IF(AA359&gt;0,0,IF(Z359=$Z$82,AG359*1,(IF(Z359=$Z$81,AG359*1,0))))</f>
        <v>0</v>
      </c>
      <c r="BH359" s="174">
        <f>IF(AA359&gt;0,0,IF(Z359=$Z$83,AG359*1,IF(Z359=$Z$81,AG359*1,0)))</f>
        <v>0</v>
      </c>
      <c r="BI359" s="174">
        <f>IF(AA359&gt;0,0,IF(Z359=$Z$84,AG359*1,IF(Z359=$Z$93,AG359*2,IF(Z359=$Z$100,AG359,IF(Z359=$Z$81,AG359*2,IF(Z359=$Z$80,AG359*1,IF(Z359=$Z$79,AG359*3,IF(Z359=$Z$78,AG359*2,0))))))))</f>
        <v>0</v>
      </c>
      <c r="BJ359" s="174">
        <f>IF(AA359&gt;0,0,IF(Z359=$Z$85,AG359,IF(Z359=$Z$93,AG359,IF(Z359=$Z$100,AG359,IF(Z359=$Z$81,AG359*1,IF(Z359=$Z$80,AG359*2,IF(Z359=$Z$79,AG359*2,IF(Z359=$Z$78,AG359*2,0))))))))</f>
        <v>0</v>
      </c>
      <c r="BK359" s="174">
        <f>IF(AA359&gt;0,0,IF(Z359=$Z$92,AG359,0))</f>
        <v>0</v>
      </c>
      <c r="BL359" s="174">
        <f>IF(AA359&gt;0,0,IF(Z359=$Z$91,AG359,0))</f>
        <v>0</v>
      </c>
      <c r="BM359" s="174">
        <f>IF(AA359&gt;0,0,IF(Z359=$Z$86,AG359,0))</f>
        <v>0</v>
      </c>
      <c r="BN359" s="174">
        <f>IF(AA359&gt;0,0,IF(Z359=$Z$87,AG359,0))</f>
        <v>0</v>
      </c>
      <c r="BO359" s="174">
        <f>IF(AA359&gt;0,0,IF(Z359=$Z$88,AG359,0))</f>
        <v>0</v>
      </c>
      <c r="BP359" s="174">
        <f>IF(AA359&gt;0,0,IF(Z359=$Z$89,AG359,0))</f>
        <v>0</v>
      </c>
      <c r="BQ359" s="174">
        <f>IF(AA359&gt;0,0,IF(Z359=$Z$90,AG359,0))</f>
        <v>0</v>
      </c>
      <c r="BR359" s="174">
        <f>IF(Z359=$Z$82,AA359*AG359,0)</f>
        <v>0</v>
      </c>
      <c r="BS359" s="174">
        <f>IF(Z359=$Z$83,AA359*AG359,0)</f>
        <v>0</v>
      </c>
      <c r="BT359" s="174">
        <f>IF(AA359&lt;1,0,IF(Z359=$Z$84,AA359*AG359,IF(Z359=$Z$93,"ERRO",IF(Z359=$Z$100,"ERRO",0))))</f>
        <v>0</v>
      </c>
      <c r="BU359" s="174">
        <f>IF(AA359&lt;1,0,IF(Z359=$Z$85,AA359*AG359,IF(Z359=$Z$93,"ERRO",IF(Z359=$Z$100,"ERRO",0))))</f>
        <v>0</v>
      </c>
      <c r="BV359" s="174">
        <f>IF(Z359=$Z$92,AA359*AG359,0)</f>
        <v>0</v>
      </c>
      <c r="BW359" s="174">
        <f>IF(Z359=$Z$91,AA359*AG359,0)</f>
        <v>0</v>
      </c>
      <c r="BX359" s="174">
        <f>IF(Z359=$Z$86,AA359*AG359,0)</f>
        <v>0</v>
      </c>
      <c r="BY359" s="174">
        <f>IF(Z359=$Z$87,AA359*AG359,0)</f>
        <v>0</v>
      </c>
      <c r="BZ359" s="174">
        <f>IF(Z359=$Z$88,AA359*AG359,0)</f>
        <v>0</v>
      </c>
      <c r="CA359" s="174">
        <f>IF(Z359=$Z$89,AA359*AG359,0)</f>
        <v>0</v>
      </c>
      <c r="CB359" s="174">
        <f>IF(Z359=$Z$90,AA359*AG359,0)</f>
        <v>0</v>
      </c>
      <c r="CC359" s="175">
        <f>IFERROR(IF(L359=$L$49,AG359*AH359*(1+AI359)*(1-AK359)*(1-AL359),0),0)</f>
        <v>82187.611308000007</v>
      </c>
      <c r="CD359" s="203">
        <f>IF(I359=$CD$97,1,IF(I359=$CD$100,2,IF(K359=$K$66,1,IF(K359=$K$69,1,3))))</f>
        <v>1</v>
      </c>
      <c r="CE359" s="203">
        <f t="shared" si="14"/>
        <v>1.07</v>
      </c>
      <c r="CF359" s="204">
        <f t="shared" si="75"/>
        <v>1.2353999999999998</v>
      </c>
      <c r="CG359" s="203">
        <f t="shared" si="15"/>
        <v>1.42</v>
      </c>
      <c r="CH359" s="204">
        <f t="shared" si="76"/>
        <v>1.5478000000000001</v>
      </c>
      <c r="CI359" s="203">
        <f t="shared" si="16"/>
        <v>1.7</v>
      </c>
      <c r="CJ359" s="205">
        <f t="shared" si="77"/>
        <v>1.0486</v>
      </c>
      <c r="CK359" s="205">
        <f t="shared" si="78"/>
        <v>1.148922</v>
      </c>
      <c r="CL359" s="205">
        <f t="shared" si="79"/>
        <v>1.3915999999999999</v>
      </c>
      <c r="CM359" s="205">
        <f t="shared" si="80"/>
        <v>1.501366</v>
      </c>
      <c r="CN359" s="206">
        <f t="shared" si="81"/>
        <v>1.6319999999999999</v>
      </c>
      <c r="CO359" s="204">
        <f t="shared" si="82"/>
        <v>1.006656</v>
      </c>
      <c r="CP359" s="207">
        <f t="shared" si="83"/>
        <v>0</v>
      </c>
      <c r="CQ359" s="208">
        <f t="shared" si="84"/>
        <v>0</v>
      </c>
      <c r="CR359" s="209">
        <f t="shared" si="72"/>
        <v>0</v>
      </c>
      <c r="CS359" s="49"/>
      <c r="CT359" s="49"/>
      <c r="CU359" s="49"/>
      <c r="CV359" s="49"/>
      <c r="CW359" s="49"/>
      <c r="CX359" s="49"/>
      <c r="CY359" s="49"/>
      <c r="CZ359" s="49"/>
      <c r="DA359" s="49"/>
      <c r="DB359" s="49"/>
      <c r="DC359" s="49"/>
      <c r="DD359" s="49"/>
      <c r="DE359" s="49"/>
      <c r="DF359" s="49"/>
      <c r="DG359" s="49"/>
      <c r="DH359" s="49"/>
      <c r="DI359" s="49"/>
      <c r="DJ359" s="49"/>
      <c r="DK359" s="49"/>
      <c r="DL359" s="49"/>
      <c r="DM359" s="49"/>
      <c r="DN359" s="49"/>
      <c r="DO359" s="49"/>
      <c r="DP359" s="49"/>
      <c r="DQ359" s="49"/>
      <c r="DR359" s="49"/>
      <c r="DS359" s="49"/>
      <c r="DT359" s="49"/>
      <c r="DU359" s="49"/>
      <c r="DV359" s="49"/>
      <c r="DW359" s="49"/>
      <c r="DX359" s="49"/>
      <c r="DY359" s="49"/>
      <c r="DZ359" s="49"/>
      <c r="EA359" s="49"/>
      <c r="EB359" s="49"/>
      <c r="EC359" s="49"/>
      <c r="ED359" s="49"/>
      <c r="EE359" s="49"/>
      <c r="EF359" s="49"/>
      <c r="EG359" s="49"/>
      <c r="EH359" s="49"/>
      <c r="EI359" s="49"/>
      <c r="EJ359" s="49"/>
      <c r="EK359" s="49"/>
      <c r="EL359" s="49"/>
      <c r="EM359" s="49"/>
      <c r="EN359" s="49"/>
      <c r="EO359" s="49"/>
      <c r="EP359" s="49"/>
      <c r="EQ359" s="49"/>
      <c r="ER359" s="49"/>
      <c r="ES359" s="49"/>
      <c r="ET359" s="49"/>
      <c r="EU359" s="49"/>
      <c r="EV359" s="49"/>
      <c r="EW359" s="49"/>
      <c r="EX359" s="49"/>
      <c r="EY359" s="49"/>
      <c r="EZ359" s="49"/>
      <c r="FA359" s="49"/>
    </row>
    <row r="360" spans="1:157" s="210" customFormat="1" ht="51" x14ac:dyDescent="0.25">
      <c r="A360" s="113">
        <f>IF(AND('[1]Cockpit Retorno'!$E$67=Sim,Mestre!M360=Mestre!$M$98),0,1)</f>
        <v>1</v>
      </c>
      <c r="B360" s="113">
        <f>IF(AND('[1]Cockpit Retorno'!$E$67=Sim,Mestre!L360=Mestre!$L$48),0,1)</f>
        <v>1</v>
      </c>
      <c r="C360" s="113">
        <f>IF(AND('[1]Cockpit Retorno'!$E$67=Sim,Mestre!M360=Mestre!$M$97),0,1)</f>
        <v>1</v>
      </c>
      <c r="D360" s="148" t="s">
        <v>7</v>
      </c>
      <c r="E360" s="115"/>
      <c r="F360" s="116" t="s">
        <v>107</v>
      </c>
      <c r="G360" s="149">
        <v>28</v>
      </c>
      <c r="H360" s="150" t="s">
        <v>7</v>
      </c>
      <c r="I360" s="151" t="str">
        <f t="shared" si="65"/>
        <v>Mercadorias</v>
      </c>
      <c r="J360" s="150" t="s">
        <v>15</v>
      </c>
      <c r="K360" s="152" t="s">
        <v>7</v>
      </c>
      <c r="L360" s="153" t="s">
        <v>21</v>
      </c>
      <c r="M360" s="154" t="s">
        <v>513</v>
      </c>
      <c r="N360" s="155" t="s">
        <v>494</v>
      </c>
      <c r="O360" s="155" t="s">
        <v>516</v>
      </c>
      <c r="P360" s="155" t="s">
        <v>43</v>
      </c>
      <c r="Q360" s="155" t="s">
        <v>43</v>
      </c>
      <c r="R360" s="155" t="s">
        <v>43</v>
      </c>
      <c r="S360" s="156" t="s">
        <v>43</v>
      </c>
      <c r="T360" s="156" t="s">
        <v>43</v>
      </c>
      <c r="U360" s="150" t="s">
        <v>43</v>
      </c>
      <c r="V360" s="150" t="s">
        <v>43</v>
      </c>
      <c r="W360" s="150" t="s">
        <v>43</v>
      </c>
      <c r="X360" s="157" t="s">
        <v>526</v>
      </c>
      <c r="Y360" s="150">
        <v>430</v>
      </c>
      <c r="Z360" s="150"/>
      <c r="AA360" s="158"/>
      <c r="AB360" s="155"/>
      <c r="AC360" s="150"/>
      <c r="AD360" s="155"/>
      <c r="AE360" s="155"/>
      <c r="AF360" s="150"/>
      <c r="AG360" s="159">
        <f>Y360</f>
        <v>430</v>
      </c>
      <c r="AH360" s="211">
        <v>68.503799999999998</v>
      </c>
      <c r="AI360" s="202">
        <v>0</v>
      </c>
      <c r="AJ360" s="161">
        <v>7.0000000000000007E-2</v>
      </c>
      <c r="AK360" s="162">
        <v>4.2000000000000003E-2</v>
      </c>
      <c r="AL360" s="163"/>
      <c r="AM360" s="164">
        <f>(((IF(L360=$L$101,1,IF(L360=$L$47,1,0))*(AH360*(1-AK360)))*AG360)*(1-AL360))</f>
        <v>0</v>
      </c>
      <c r="AN360" s="165">
        <f>IF(K360=$K$50,AM360,IF(K360=$K$53,AM360,IF(K360=$K$54,AM360,IF(K360=$K$55,AM360,IF(K360=$K$56,AM360,IF(K360=$K$57,AM360,IF(K360=$K$58,AM360,IF(K360=$K$65,AM360,IF(K360=$K$66,AM360,IF(K360=$K$67,AM360,IF(K360=$K$68,AM360,IF(K360=$K$69,AM360,IF(K360=$K$51,AM360,(AM360*(1+AI360)))))))))))))))</f>
        <v>0</v>
      </c>
      <c r="AO360" s="166">
        <v>1.4</v>
      </c>
      <c r="AP360" s="160">
        <f t="shared" si="66"/>
        <v>0</v>
      </c>
      <c r="AQ360" s="167">
        <f t="shared" si="85"/>
        <v>0</v>
      </c>
      <c r="AR360" s="160">
        <f t="shared" si="67"/>
        <v>0</v>
      </c>
      <c r="AS360" s="168">
        <f t="shared" si="68"/>
        <v>0</v>
      </c>
      <c r="AT360" s="169" t="str">
        <f>K360</f>
        <v>MI</v>
      </c>
      <c r="AU360" s="169" t="str">
        <f>I360</f>
        <v>Mercadorias</v>
      </c>
      <c r="AV360" s="170"/>
      <c r="AW360" s="171">
        <f>IF(K360=$K$50,0,IF(K360=$K$53,0,IF(K360=$K$54,0,IF(K360=$K$55,0,IF(K360=$K$56,0,IF(K360=$K$57,0,IF(K360=$K$58,0,IF(K360=$K$65,0,IF(K360=$K$66,0,IF(K360=$K$67,0,IF(K360=$K$68,0,IF(K360=$K$69,0,IF(K360=$K$51,0,1))))))))))))*AM360*AI360)</f>
        <v>0</v>
      </c>
      <c r="AX360" s="172">
        <f>IF(K360=$K$50,0,IF(K360=$K$53,0,IF(K360=$K$54,0,IF(K360=$K$55,0,IF(K360=$K$56,0,IF(K360=$K$57,0,IF(K360=$K$58,0,IF(K360=$K$65,0,IF(K360=$K$66,0,IF(K360=$K$67,0,IF(K360=$K$68,0,IF(K360=$K$69,0,IF(K360=$K$51,0,1))))))))))))*AM360*AJ360*$AX$94)</f>
        <v>0</v>
      </c>
      <c r="AY360" s="172">
        <f>IF(K360=$K$53,0,IF(K360=$K$54,0,IF(K360=$K$55,0,IF(K360=$K$56,0,IF(K360=$K$58,0,IF(K360=$K$50,0,IF(K360=$K$65,0,IF(K360=$K$57,0,IF(K360=$K$51,0,AM360*$AY$102)))))))))</f>
        <v>0</v>
      </c>
      <c r="AZ360" s="172">
        <f>IF(K360=$K$53,0,IF(K360=$K$54,0,IF(K360=$K$55,0,IF(K360=$K$56,0,IF(K360=$K$58,0,IF(K360=$K$50,0,IF(K360=$K$65,0,IF(K360=$K$57,0,IF(K360=$K$51,0,AM360*$AZ$102)))))))))</f>
        <v>0</v>
      </c>
      <c r="BA360" s="172">
        <f t="shared" si="69"/>
        <v>0</v>
      </c>
      <c r="BB360" s="173">
        <f>IF($BA$97=1,AQ360*$BB$102,IF(K360=$K$50,0,IF(K360=$K$53,0,IF(K360=$K$54,0,IF(K360=$K$55,0,IF(K360=$K$56,0,IF(K360=$K$57,0,IF(K360=$K$58,0,IF(K360=$K$65,0,IF(K360=$K$66,0,IF(K360=$K$67,0,IF(K360=$K$68,0,IF(K360=$K$69,0,IF(K360=$K$51,0,1)))))))))))*AQ360*$BB$102)))</f>
        <v>0</v>
      </c>
      <c r="BC360" s="172">
        <f t="shared" si="70"/>
        <v>0</v>
      </c>
      <c r="BD360" s="172">
        <f t="shared" si="71"/>
        <v>0</v>
      </c>
      <c r="BE360" s="172">
        <f>IF($BE$95=I360,$BE$97,IF(I360=$BE$96,$BE$97,1))*($BE$102*AQ360)*$AZ$97</f>
        <v>0</v>
      </c>
      <c r="BF360" s="172">
        <f>IF('[1]Cockpit Retorno'!$C$65=Sim,Mestre!BA360,SUM(BB360:BE360)+(IF(K360=$K$56,AQ360*MOE_IRRF_LR,0)))</f>
        <v>0</v>
      </c>
      <c r="BG360" s="174">
        <f>IF(AA360&gt;0,0,IF(Z360=$Z$82,AG360*1,(IF(Z360=$Z$81,AG360*1,0))))</f>
        <v>0</v>
      </c>
      <c r="BH360" s="174">
        <f>IF(AA360&gt;0,0,IF(Z360=$Z$83,AG360*1,IF(Z360=$Z$81,AG360*1,0)))</f>
        <v>0</v>
      </c>
      <c r="BI360" s="174">
        <f>IF(AA360&gt;0,0,IF(Z360=$Z$84,AG360*1,IF(Z360=$Z$93,AG360*2,IF(Z360=$Z$100,AG360,IF(Z360=$Z$81,AG360*2,IF(Z360=$Z$80,AG360*1,IF(Z360=$Z$79,AG360*3,IF(Z360=$Z$78,AG360*2,0))))))))</f>
        <v>0</v>
      </c>
      <c r="BJ360" s="174">
        <f>IF(AA360&gt;0,0,IF(Z360=$Z$85,AG360,IF(Z360=$Z$93,AG360,IF(Z360=$Z$100,AG360,IF(Z360=$Z$81,AG360*1,IF(Z360=$Z$80,AG360*2,IF(Z360=$Z$79,AG360*2,IF(Z360=$Z$78,AG360*2,0))))))))</f>
        <v>0</v>
      </c>
      <c r="BK360" s="174">
        <f>IF(AA360&gt;0,0,IF(Z360=$Z$92,AG360,0))</f>
        <v>0</v>
      </c>
      <c r="BL360" s="174">
        <f>IF(AA360&gt;0,0,IF(Z360=$Z$91,AG360,0))</f>
        <v>0</v>
      </c>
      <c r="BM360" s="174">
        <f>IF(AA360&gt;0,0,IF(Z360=$Z$86,AG360,0))</f>
        <v>0</v>
      </c>
      <c r="BN360" s="174">
        <f>IF(AA360&gt;0,0,IF(Z360=$Z$87,AG360,0))</f>
        <v>0</v>
      </c>
      <c r="BO360" s="174">
        <f>IF(AA360&gt;0,0,IF(Z360=$Z$88,AG360,0))</f>
        <v>0</v>
      </c>
      <c r="BP360" s="174">
        <f>IF(AA360&gt;0,0,IF(Z360=$Z$89,AG360,0))</f>
        <v>0</v>
      </c>
      <c r="BQ360" s="174">
        <f>IF(AA360&gt;0,0,IF(Z360=$Z$90,AG360,0))</f>
        <v>0</v>
      </c>
      <c r="BR360" s="174">
        <f>IF(Z360=$Z$82,AA360*AG360,0)</f>
        <v>0</v>
      </c>
      <c r="BS360" s="174">
        <f>IF(Z360=$Z$83,AA360*AG360,0)</f>
        <v>0</v>
      </c>
      <c r="BT360" s="174">
        <f>IF(AA360&lt;1,0,IF(Z360=$Z$84,AA360*AG360,IF(Z360=$Z$93,"ERRO",IF(Z360=$Z$100,"ERRO",0))))</f>
        <v>0</v>
      </c>
      <c r="BU360" s="174">
        <f>IF(AA360&lt;1,0,IF(Z360=$Z$85,AA360*AG360,IF(Z360=$Z$93,"ERRO",IF(Z360=$Z$100,"ERRO",0))))</f>
        <v>0</v>
      </c>
      <c r="BV360" s="174">
        <f>IF(Z360=$Z$92,AA360*AG360,0)</f>
        <v>0</v>
      </c>
      <c r="BW360" s="174">
        <f>IF(Z360=$Z$91,AA360*AG360,0)</f>
        <v>0</v>
      </c>
      <c r="BX360" s="174">
        <f>IF(Z360=$Z$86,AA360*AG360,0)</f>
        <v>0</v>
      </c>
      <c r="BY360" s="174">
        <f>IF(Z360=$Z$87,AA360*AG360,0)</f>
        <v>0</v>
      </c>
      <c r="BZ360" s="174">
        <f>IF(Z360=$Z$88,AA360*AG360,0)</f>
        <v>0</v>
      </c>
      <c r="CA360" s="174">
        <f>IF(Z360=$Z$89,AA360*AG360,0)</f>
        <v>0</v>
      </c>
      <c r="CB360" s="174">
        <f>IF(Z360=$Z$90,AA360*AG360,0)</f>
        <v>0</v>
      </c>
      <c r="CC360" s="175">
        <f>IFERROR(IF(L360=$L$49,AG360*AH360*(1+AI360)*(1-AK360)*(1-AL360),0),0)</f>
        <v>28219.455371999997</v>
      </c>
      <c r="CD360" s="203">
        <f>IF(I360=$CD$97,1,IF(I360=$CD$100,2,IF(K360=$K$66,1,IF(K360=$K$69,1,3))))</f>
        <v>1</v>
      </c>
      <c r="CE360" s="203">
        <f t="shared" si="14"/>
        <v>1.07</v>
      </c>
      <c r="CF360" s="204">
        <f t="shared" si="75"/>
        <v>1.2353999999999998</v>
      </c>
      <c r="CG360" s="203">
        <f t="shared" si="15"/>
        <v>1.42</v>
      </c>
      <c r="CH360" s="204">
        <f t="shared" si="76"/>
        <v>1.5478000000000001</v>
      </c>
      <c r="CI360" s="203">
        <f t="shared" si="16"/>
        <v>1.7</v>
      </c>
      <c r="CJ360" s="205">
        <f t="shared" si="77"/>
        <v>1.0486</v>
      </c>
      <c r="CK360" s="205">
        <f t="shared" si="78"/>
        <v>1.148922</v>
      </c>
      <c r="CL360" s="205">
        <f t="shared" si="79"/>
        <v>1.3915999999999999</v>
      </c>
      <c r="CM360" s="205">
        <f t="shared" si="80"/>
        <v>1.501366</v>
      </c>
      <c r="CN360" s="206">
        <f t="shared" si="81"/>
        <v>1.6319999999999999</v>
      </c>
      <c r="CO360" s="204">
        <f t="shared" si="82"/>
        <v>1.006656</v>
      </c>
      <c r="CP360" s="207">
        <f t="shared" si="83"/>
        <v>0</v>
      </c>
      <c r="CQ360" s="208">
        <f t="shared" si="84"/>
        <v>0</v>
      </c>
      <c r="CR360" s="209">
        <f t="shared" si="72"/>
        <v>0</v>
      </c>
      <c r="CS360" s="49"/>
      <c r="CT360" s="49"/>
      <c r="CU360" s="49"/>
      <c r="CV360" s="49"/>
      <c r="CW360" s="49"/>
      <c r="CX360" s="49"/>
      <c r="CY360" s="49"/>
      <c r="CZ360" s="49"/>
      <c r="DA360" s="49"/>
      <c r="DB360" s="49"/>
      <c r="DC360" s="49"/>
      <c r="DD360" s="49"/>
      <c r="DE360" s="49"/>
      <c r="DF360" s="49"/>
      <c r="DG360" s="49"/>
      <c r="DH360" s="49"/>
      <c r="DI360" s="49"/>
      <c r="DJ360" s="49"/>
      <c r="DK360" s="49"/>
      <c r="DL360" s="49"/>
      <c r="DM360" s="49"/>
      <c r="DN360" s="49"/>
      <c r="DO360" s="49"/>
      <c r="DP360" s="49"/>
      <c r="DQ360" s="49"/>
      <c r="DR360" s="49"/>
      <c r="DS360" s="49"/>
      <c r="DT360" s="49"/>
      <c r="DU360" s="49"/>
      <c r="DV360" s="49"/>
      <c r="DW360" s="49"/>
      <c r="DX360" s="49"/>
      <c r="DY360" s="49"/>
      <c r="DZ360" s="49"/>
      <c r="EA360" s="49"/>
      <c r="EB360" s="49"/>
      <c r="EC360" s="49"/>
      <c r="ED360" s="49"/>
      <c r="EE360" s="49"/>
      <c r="EF360" s="49"/>
      <c r="EG360" s="49"/>
      <c r="EH360" s="49"/>
      <c r="EI360" s="49"/>
      <c r="EJ360" s="49"/>
      <c r="EK360" s="49"/>
      <c r="EL360" s="49"/>
      <c r="EM360" s="49"/>
      <c r="EN360" s="49"/>
      <c r="EO360" s="49"/>
      <c r="EP360" s="49"/>
      <c r="EQ360" s="49"/>
      <c r="ER360" s="49"/>
      <c r="ES360" s="49"/>
      <c r="ET360" s="49"/>
      <c r="EU360" s="49"/>
      <c r="EV360" s="49"/>
      <c r="EW360" s="49"/>
      <c r="EX360" s="49"/>
      <c r="EY360" s="49"/>
      <c r="EZ360" s="49"/>
      <c r="FA360" s="49"/>
    </row>
    <row r="361" spans="1:157" s="210" customFormat="1" ht="51" x14ac:dyDescent="0.25">
      <c r="A361" s="113">
        <f>IF(AND('[1]Cockpit Retorno'!$E$67=Sim,Mestre!M361=Mestre!$M$98),0,1)</f>
        <v>1</v>
      </c>
      <c r="B361" s="113">
        <f>IF(AND('[1]Cockpit Retorno'!$E$67=Sim,Mestre!L361=Mestre!$L$48),0,1)</f>
        <v>1</v>
      </c>
      <c r="C361" s="113">
        <f>IF(AND('[1]Cockpit Retorno'!$E$67=Sim,Mestre!M361=Mestre!$M$97),0,1)</f>
        <v>1</v>
      </c>
      <c r="D361" s="148" t="s">
        <v>7</v>
      </c>
      <c r="E361" s="115"/>
      <c r="F361" s="116" t="s">
        <v>107</v>
      </c>
      <c r="G361" s="149">
        <v>28</v>
      </c>
      <c r="H361" s="150" t="s">
        <v>7</v>
      </c>
      <c r="I361" s="151" t="str">
        <f t="shared" ref="I361:I424" si="86">VLOOKUP(K361,$N$74:$O$95,2)</f>
        <v>Mercadorias</v>
      </c>
      <c r="J361" s="150" t="s">
        <v>15</v>
      </c>
      <c r="K361" s="152" t="s">
        <v>7</v>
      </c>
      <c r="L361" s="153" t="s">
        <v>21</v>
      </c>
      <c r="M361" s="154" t="s">
        <v>513</v>
      </c>
      <c r="N361" s="155" t="s">
        <v>494</v>
      </c>
      <c r="O361" s="155" t="s">
        <v>516</v>
      </c>
      <c r="P361" s="155" t="s">
        <v>43</v>
      </c>
      <c r="Q361" s="155" t="s">
        <v>43</v>
      </c>
      <c r="R361" s="155" t="s">
        <v>43</v>
      </c>
      <c r="S361" s="156" t="s">
        <v>43</v>
      </c>
      <c r="T361" s="156" t="s">
        <v>43</v>
      </c>
      <c r="U361" s="150" t="s">
        <v>43</v>
      </c>
      <c r="V361" s="150" t="s">
        <v>43</v>
      </c>
      <c r="W361" s="150" t="s">
        <v>43</v>
      </c>
      <c r="X361" s="157" t="s">
        <v>527</v>
      </c>
      <c r="Y361" s="150">
        <v>1170</v>
      </c>
      <c r="Z361" s="150"/>
      <c r="AA361" s="158"/>
      <c r="AB361" s="155"/>
      <c r="AC361" s="150"/>
      <c r="AD361" s="155"/>
      <c r="AE361" s="155"/>
      <c r="AF361" s="150"/>
      <c r="AG361" s="159">
        <f>Y361</f>
        <v>1170</v>
      </c>
      <c r="AH361" s="211">
        <v>52.135800000000003</v>
      </c>
      <c r="AI361" s="202">
        <v>0</v>
      </c>
      <c r="AJ361" s="161">
        <v>7.0000000000000007E-2</v>
      </c>
      <c r="AK361" s="162">
        <v>4.2000000000000003E-2</v>
      </c>
      <c r="AL361" s="163"/>
      <c r="AM361" s="164">
        <f>(((IF(L361=$L$101,1,IF(L361=$L$47,1,0))*(AH361*(1-AK361)))*AG361)*(1-AL361))</f>
        <v>0</v>
      </c>
      <c r="AN361" s="165">
        <f>IF(K361=$K$50,AM361,IF(K361=$K$53,AM361,IF(K361=$K$54,AM361,IF(K361=$K$55,AM361,IF(K361=$K$56,AM361,IF(K361=$K$57,AM361,IF(K361=$K$58,AM361,IF(K361=$K$65,AM361,IF(K361=$K$66,AM361,IF(K361=$K$67,AM361,IF(K361=$K$68,AM361,IF(K361=$K$69,AM361,IF(K361=$K$51,AM361,(AM361*(1+AI361)))))))))))))))</f>
        <v>0</v>
      </c>
      <c r="AO361" s="166">
        <v>1.4</v>
      </c>
      <c r="AP361" s="160">
        <f t="shared" ref="AP361:AP424" si="87">AM361*AO361</f>
        <v>0</v>
      </c>
      <c r="AQ361" s="167">
        <f t="shared" si="85"/>
        <v>0</v>
      </c>
      <c r="AR361" s="160">
        <f t="shared" ref="AR361:AR424" si="88">AO361*AN361</f>
        <v>0</v>
      </c>
      <c r="AS361" s="168">
        <f t="shared" ref="AS361:AS424" si="89">IFERROR(IF($AX$94=0,(CQ361/AN361),CQ361/AM361),0)</f>
        <v>0</v>
      </c>
      <c r="AT361" s="169" t="str">
        <f>K361</f>
        <v>MI</v>
      </c>
      <c r="AU361" s="169" t="str">
        <f>I361</f>
        <v>Mercadorias</v>
      </c>
      <c r="AV361" s="170"/>
      <c r="AW361" s="171">
        <f>IF(K361=$K$50,0,IF(K361=$K$53,0,IF(K361=$K$54,0,IF(K361=$K$55,0,IF(K361=$K$56,0,IF(K361=$K$57,0,IF(K361=$K$58,0,IF(K361=$K$65,0,IF(K361=$K$66,0,IF(K361=$K$67,0,IF(K361=$K$68,0,IF(K361=$K$69,0,IF(K361=$K$51,0,1))))))))))))*AM361*AI361)</f>
        <v>0</v>
      </c>
      <c r="AX361" s="172">
        <f>IF(K361=$K$50,0,IF(K361=$K$53,0,IF(K361=$K$54,0,IF(K361=$K$55,0,IF(K361=$K$56,0,IF(K361=$K$57,0,IF(K361=$K$58,0,IF(K361=$K$65,0,IF(K361=$K$66,0,IF(K361=$K$67,0,IF(K361=$K$68,0,IF(K361=$K$69,0,IF(K361=$K$51,0,1))))))))))))*AM361*AJ361*$AX$94)</f>
        <v>0</v>
      </c>
      <c r="AY361" s="172">
        <f>IF(K361=$K$53,0,IF(K361=$K$54,0,IF(K361=$K$55,0,IF(K361=$K$56,0,IF(K361=$K$58,0,IF(K361=$K$50,0,IF(K361=$K$65,0,IF(K361=$K$57,0,IF(K361=$K$51,0,AM361*$AY$102)))))))))</f>
        <v>0</v>
      </c>
      <c r="AZ361" s="172">
        <f>IF(K361=$K$53,0,IF(K361=$K$54,0,IF(K361=$K$55,0,IF(K361=$K$56,0,IF(K361=$K$58,0,IF(K361=$K$50,0,IF(K361=$K$65,0,IF(K361=$K$57,0,IF(K361=$K$51,0,AM361*$AZ$102)))))))))</f>
        <v>0</v>
      </c>
      <c r="BA361" s="172">
        <f t="shared" ref="BA361:BA424" si="90">AZ361+AY361+AX361</f>
        <v>0</v>
      </c>
      <c r="BB361" s="173">
        <f>IF($BA$97=1,AQ361*$BB$102,IF(K361=$K$50,0,IF(K361=$K$53,0,IF(K361=$K$54,0,IF(K361=$K$55,0,IF(K361=$K$56,0,IF(K361=$K$57,0,IF(K361=$K$58,0,IF(K361=$K$65,0,IF(K361=$K$66,0,IF(K361=$K$67,0,IF(K361=$K$68,0,IF(K361=$K$69,0,IF(K361=$K$51,0,1)))))))))))*AQ361*$BB$102)))</f>
        <v>0</v>
      </c>
      <c r="BC361" s="172">
        <f t="shared" ref="BC361:BC424" si="91">AQ361*$BC$102</f>
        <v>0</v>
      </c>
      <c r="BD361" s="172">
        <f t="shared" ref="BD361:BD424" si="92">$BD$102*AQ361</f>
        <v>0</v>
      </c>
      <c r="BE361" s="172">
        <f>IF($BE$95=I361,$BE$97,IF(I361=$BE$96,$BE$97,1))*($BE$102*AQ361)*$AZ$97</f>
        <v>0</v>
      </c>
      <c r="BF361" s="172">
        <f>IF('[1]Cockpit Retorno'!$C$65=Sim,Mestre!BA361,SUM(BB361:BE361)+(IF(K361=$K$56,AQ361*MOE_IRRF_LR,0)))</f>
        <v>0</v>
      </c>
      <c r="BG361" s="174">
        <f>IF(AA361&gt;0,0,IF(Z361=$Z$82,AG361*1,(IF(Z361=$Z$81,AG361*1,0))))</f>
        <v>0</v>
      </c>
      <c r="BH361" s="174">
        <f>IF(AA361&gt;0,0,IF(Z361=$Z$83,AG361*1,IF(Z361=$Z$81,AG361*1,0)))</f>
        <v>0</v>
      </c>
      <c r="BI361" s="174">
        <f>IF(AA361&gt;0,0,IF(Z361=$Z$84,AG361*1,IF(Z361=$Z$93,AG361*2,IF(Z361=$Z$100,AG361,IF(Z361=$Z$81,AG361*2,IF(Z361=$Z$80,AG361*1,IF(Z361=$Z$79,AG361*3,IF(Z361=$Z$78,AG361*2,0))))))))</f>
        <v>0</v>
      </c>
      <c r="BJ361" s="174">
        <f>IF(AA361&gt;0,0,IF(Z361=$Z$85,AG361,IF(Z361=$Z$93,AG361,IF(Z361=$Z$100,AG361,IF(Z361=$Z$81,AG361*1,IF(Z361=$Z$80,AG361*2,IF(Z361=$Z$79,AG361*2,IF(Z361=$Z$78,AG361*2,0))))))))</f>
        <v>0</v>
      </c>
      <c r="BK361" s="174">
        <f>IF(AA361&gt;0,0,IF(Z361=$Z$92,AG361,0))</f>
        <v>0</v>
      </c>
      <c r="BL361" s="174">
        <f>IF(AA361&gt;0,0,IF(Z361=$Z$91,AG361,0))</f>
        <v>0</v>
      </c>
      <c r="BM361" s="174">
        <f>IF(AA361&gt;0,0,IF(Z361=$Z$86,AG361,0))</f>
        <v>0</v>
      </c>
      <c r="BN361" s="174">
        <f>IF(AA361&gt;0,0,IF(Z361=$Z$87,AG361,0))</f>
        <v>0</v>
      </c>
      <c r="BO361" s="174">
        <f>IF(AA361&gt;0,0,IF(Z361=$Z$88,AG361,0))</f>
        <v>0</v>
      </c>
      <c r="BP361" s="174">
        <f>IF(AA361&gt;0,0,IF(Z361=$Z$89,AG361,0))</f>
        <v>0</v>
      </c>
      <c r="BQ361" s="174">
        <f>IF(AA361&gt;0,0,IF(Z361=$Z$90,AG361,0))</f>
        <v>0</v>
      </c>
      <c r="BR361" s="174">
        <f>IF(Z361=$Z$82,AA361*AG361,0)</f>
        <v>0</v>
      </c>
      <c r="BS361" s="174">
        <f>IF(Z361=$Z$83,AA361*AG361,0)</f>
        <v>0</v>
      </c>
      <c r="BT361" s="174">
        <f>IF(AA361&lt;1,0,IF(Z361=$Z$84,AA361*AG361,IF(Z361=$Z$93,"ERRO",IF(Z361=$Z$100,"ERRO",0))))</f>
        <v>0</v>
      </c>
      <c r="BU361" s="174">
        <f>IF(AA361&lt;1,0,IF(Z361=$Z$85,AA361*AG361,IF(Z361=$Z$93,"ERRO",IF(Z361=$Z$100,"ERRO",0))))</f>
        <v>0</v>
      </c>
      <c r="BV361" s="174">
        <f>IF(Z361=$Z$92,AA361*AG361,0)</f>
        <v>0</v>
      </c>
      <c r="BW361" s="174">
        <f>IF(Z361=$Z$91,AA361*AG361,0)</f>
        <v>0</v>
      </c>
      <c r="BX361" s="174">
        <f>IF(Z361=$Z$86,AA361*AG361,0)</f>
        <v>0</v>
      </c>
      <c r="BY361" s="174">
        <f>IF(Z361=$Z$87,AA361*AG361,0)</f>
        <v>0</v>
      </c>
      <c r="BZ361" s="174">
        <f>IF(Z361=$Z$88,AA361*AG361,0)</f>
        <v>0</v>
      </c>
      <c r="CA361" s="174">
        <f>IF(Z361=$Z$89,AA361*AG361,0)</f>
        <v>0</v>
      </c>
      <c r="CB361" s="174">
        <f>IF(Z361=$Z$90,AA361*AG361,0)</f>
        <v>0</v>
      </c>
      <c r="CC361" s="175">
        <f>IFERROR(IF(L361=$L$49,AG361*AH361*(1+AI361)*(1-AK361)*(1-AL361),0),0)</f>
        <v>58436.932788000006</v>
      </c>
      <c r="CD361" s="203">
        <f>IF(I361=$CD$97,1,IF(I361=$CD$100,2,IF(K361=$K$66,1,IF(K361=$K$69,1,3))))</f>
        <v>1</v>
      </c>
      <c r="CE361" s="203">
        <f t="shared" si="14"/>
        <v>1.07</v>
      </c>
      <c r="CF361" s="204">
        <f t="shared" si="75"/>
        <v>1.2353999999999998</v>
      </c>
      <c r="CG361" s="203">
        <f t="shared" si="15"/>
        <v>1.42</v>
      </c>
      <c r="CH361" s="204">
        <f t="shared" si="76"/>
        <v>1.5478000000000001</v>
      </c>
      <c r="CI361" s="203">
        <f t="shared" si="16"/>
        <v>1.7</v>
      </c>
      <c r="CJ361" s="205">
        <f t="shared" si="77"/>
        <v>1.0486</v>
      </c>
      <c r="CK361" s="205">
        <f t="shared" si="78"/>
        <v>1.148922</v>
      </c>
      <c r="CL361" s="205">
        <f t="shared" si="79"/>
        <v>1.3915999999999999</v>
      </c>
      <c r="CM361" s="205">
        <f t="shared" si="80"/>
        <v>1.501366</v>
      </c>
      <c r="CN361" s="206">
        <f t="shared" si="81"/>
        <v>1.6319999999999999</v>
      </c>
      <c r="CO361" s="204">
        <f t="shared" si="82"/>
        <v>1.006656</v>
      </c>
      <c r="CP361" s="207">
        <f t="shared" si="83"/>
        <v>0</v>
      </c>
      <c r="CQ361" s="208">
        <f t="shared" si="84"/>
        <v>0</v>
      </c>
      <c r="CR361" s="209">
        <f t="shared" ref="CR361:CR424" si="93">BC361+BD361</f>
        <v>0</v>
      </c>
      <c r="CS361" s="49"/>
      <c r="CT361" s="49"/>
      <c r="CU361" s="49"/>
      <c r="CV361" s="49"/>
      <c r="CW361" s="49"/>
      <c r="CX361" s="49"/>
      <c r="CY361" s="49"/>
      <c r="CZ361" s="49"/>
      <c r="DA361" s="49"/>
      <c r="DB361" s="49"/>
      <c r="DC361" s="49"/>
      <c r="DD361" s="49"/>
      <c r="DE361" s="49"/>
      <c r="DF361" s="49"/>
      <c r="DG361" s="49"/>
      <c r="DH361" s="49"/>
      <c r="DI361" s="49"/>
      <c r="DJ361" s="49"/>
      <c r="DK361" s="49"/>
      <c r="DL361" s="49"/>
      <c r="DM361" s="49"/>
      <c r="DN361" s="49"/>
      <c r="DO361" s="49"/>
      <c r="DP361" s="49"/>
      <c r="DQ361" s="49"/>
      <c r="DR361" s="49"/>
      <c r="DS361" s="49"/>
      <c r="DT361" s="49"/>
      <c r="DU361" s="49"/>
      <c r="DV361" s="49"/>
      <c r="DW361" s="49"/>
      <c r="DX361" s="49"/>
      <c r="DY361" s="49"/>
      <c r="DZ361" s="49"/>
      <c r="EA361" s="49"/>
      <c r="EB361" s="49"/>
      <c r="EC361" s="49"/>
      <c r="ED361" s="49"/>
      <c r="EE361" s="49"/>
      <c r="EF361" s="49"/>
      <c r="EG361" s="49"/>
      <c r="EH361" s="49"/>
      <c r="EI361" s="49"/>
      <c r="EJ361" s="49"/>
      <c r="EK361" s="49"/>
      <c r="EL361" s="49"/>
      <c r="EM361" s="49"/>
      <c r="EN361" s="49"/>
      <c r="EO361" s="49"/>
      <c r="EP361" s="49"/>
      <c r="EQ361" s="49"/>
      <c r="ER361" s="49"/>
      <c r="ES361" s="49"/>
      <c r="ET361" s="49"/>
      <c r="EU361" s="49"/>
      <c r="EV361" s="49"/>
      <c r="EW361" s="49"/>
      <c r="EX361" s="49"/>
      <c r="EY361" s="49"/>
      <c r="EZ361" s="49"/>
      <c r="FA361" s="49"/>
    </row>
    <row r="362" spans="1:157" s="210" customFormat="1" ht="51" x14ac:dyDescent="0.25">
      <c r="A362" s="113">
        <f>IF(AND('[1]Cockpit Retorno'!$E$67=Sim,Mestre!M362=Mestre!$M$98),0,1)</f>
        <v>1</v>
      </c>
      <c r="B362" s="113">
        <f>IF(AND('[1]Cockpit Retorno'!$E$67=Sim,Mestre!L362=Mestre!$L$48),0,1)</f>
        <v>1</v>
      </c>
      <c r="C362" s="113">
        <f>IF(AND('[1]Cockpit Retorno'!$E$67=Sim,Mestre!M362=Mestre!$M$97),0,1)</f>
        <v>1</v>
      </c>
      <c r="D362" s="148" t="s">
        <v>7</v>
      </c>
      <c r="E362" s="115"/>
      <c r="F362" s="116" t="s">
        <v>107</v>
      </c>
      <c r="G362" s="149">
        <v>28</v>
      </c>
      <c r="H362" s="150" t="s">
        <v>7</v>
      </c>
      <c r="I362" s="151" t="str">
        <f t="shared" si="86"/>
        <v>Mercadorias</v>
      </c>
      <c r="J362" s="150" t="s">
        <v>15</v>
      </c>
      <c r="K362" s="152" t="s">
        <v>7</v>
      </c>
      <c r="L362" s="153" t="s">
        <v>21</v>
      </c>
      <c r="M362" s="154" t="s">
        <v>513</v>
      </c>
      <c r="N362" s="155" t="s">
        <v>494</v>
      </c>
      <c r="O362" s="155" t="s">
        <v>516</v>
      </c>
      <c r="P362" s="155" t="s">
        <v>43</v>
      </c>
      <c r="Q362" s="155" t="s">
        <v>43</v>
      </c>
      <c r="R362" s="155" t="s">
        <v>43</v>
      </c>
      <c r="S362" s="156" t="s">
        <v>43</v>
      </c>
      <c r="T362" s="156" t="s">
        <v>43</v>
      </c>
      <c r="U362" s="150" t="s">
        <v>43</v>
      </c>
      <c r="V362" s="150" t="s">
        <v>43</v>
      </c>
      <c r="W362" s="150" t="s">
        <v>43</v>
      </c>
      <c r="X362" s="157" t="s">
        <v>528</v>
      </c>
      <c r="Y362" s="150">
        <v>1590</v>
      </c>
      <c r="Z362" s="150"/>
      <c r="AA362" s="158"/>
      <c r="AB362" s="155"/>
      <c r="AC362" s="150"/>
      <c r="AD362" s="155"/>
      <c r="AE362" s="155"/>
      <c r="AF362" s="150"/>
      <c r="AG362" s="159">
        <f>Y362</f>
        <v>1590</v>
      </c>
      <c r="AH362" s="211">
        <v>37.1721</v>
      </c>
      <c r="AI362" s="202">
        <v>0</v>
      </c>
      <c r="AJ362" s="161">
        <v>7.0000000000000007E-2</v>
      </c>
      <c r="AK362" s="162">
        <v>4.2000000000000003E-2</v>
      </c>
      <c r="AL362" s="163"/>
      <c r="AM362" s="164">
        <f>(((IF(L362=$L$101,1,IF(L362=$L$47,1,0))*(AH362*(1-AK362)))*AG362)*(1-AL362))</f>
        <v>0</v>
      </c>
      <c r="AN362" s="165">
        <f>IF(K362=$K$50,AM362,IF(K362=$K$53,AM362,IF(K362=$K$54,AM362,IF(K362=$K$55,AM362,IF(K362=$K$56,AM362,IF(K362=$K$57,AM362,IF(K362=$K$58,AM362,IF(K362=$K$65,AM362,IF(K362=$K$66,AM362,IF(K362=$K$67,AM362,IF(K362=$K$68,AM362,IF(K362=$K$69,AM362,IF(K362=$K$51,AM362,(AM362*(1+AI362)))))))))))))))</f>
        <v>0</v>
      </c>
      <c r="AO362" s="166">
        <v>1.4</v>
      </c>
      <c r="AP362" s="160">
        <f t="shared" si="87"/>
        <v>0</v>
      </c>
      <c r="AQ362" s="167">
        <f t="shared" si="85"/>
        <v>0</v>
      </c>
      <c r="AR362" s="160">
        <f t="shared" si="88"/>
        <v>0</v>
      </c>
      <c r="AS362" s="168">
        <f t="shared" si="89"/>
        <v>0</v>
      </c>
      <c r="AT362" s="169" t="str">
        <f>K362</f>
        <v>MI</v>
      </c>
      <c r="AU362" s="169" t="str">
        <f>I362</f>
        <v>Mercadorias</v>
      </c>
      <c r="AV362" s="170"/>
      <c r="AW362" s="171">
        <f>IF(K362=$K$50,0,IF(K362=$K$53,0,IF(K362=$K$54,0,IF(K362=$K$55,0,IF(K362=$K$56,0,IF(K362=$K$57,0,IF(K362=$K$58,0,IF(K362=$K$65,0,IF(K362=$K$66,0,IF(K362=$K$67,0,IF(K362=$K$68,0,IF(K362=$K$69,0,IF(K362=$K$51,0,1))))))))))))*AM362*AI362)</f>
        <v>0</v>
      </c>
      <c r="AX362" s="172">
        <f>IF(K362=$K$50,0,IF(K362=$K$53,0,IF(K362=$K$54,0,IF(K362=$K$55,0,IF(K362=$K$56,0,IF(K362=$K$57,0,IF(K362=$K$58,0,IF(K362=$K$65,0,IF(K362=$K$66,0,IF(K362=$K$67,0,IF(K362=$K$68,0,IF(K362=$K$69,0,IF(K362=$K$51,0,1))))))))))))*AM362*AJ362*$AX$94)</f>
        <v>0</v>
      </c>
      <c r="AY362" s="172">
        <f>IF(K362=$K$53,0,IF(K362=$K$54,0,IF(K362=$K$55,0,IF(K362=$K$56,0,IF(K362=$K$58,0,IF(K362=$K$50,0,IF(K362=$K$65,0,IF(K362=$K$57,0,IF(K362=$K$51,0,AM362*$AY$102)))))))))</f>
        <v>0</v>
      </c>
      <c r="AZ362" s="172">
        <f>IF(K362=$K$53,0,IF(K362=$K$54,0,IF(K362=$K$55,0,IF(K362=$K$56,0,IF(K362=$K$58,0,IF(K362=$K$50,0,IF(K362=$K$65,0,IF(K362=$K$57,0,IF(K362=$K$51,0,AM362*$AZ$102)))))))))</f>
        <v>0</v>
      </c>
      <c r="BA362" s="172">
        <f t="shared" si="90"/>
        <v>0</v>
      </c>
      <c r="BB362" s="173">
        <f>IF($BA$97=1,AQ362*$BB$102,IF(K362=$K$50,0,IF(K362=$K$53,0,IF(K362=$K$54,0,IF(K362=$K$55,0,IF(K362=$K$56,0,IF(K362=$K$57,0,IF(K362=$K$58,0,IF(K362=$K$65,0,IF(K362=$K$66,0,IF(K362=$K$67,0,IF(K362=$K$68,0,IF(K362=$K$69,0,IF(K362=$K$51,0,1)))))))))))*AQ362*$BB$102)))</f>
        <v>0</v>
      </c>
      <c r="BC362" s="172">
        <f t="shared" si="91"/>
        <v>0</v>
      </c>
      <c r="BD362" s="172">
        <f t="shared" si="92"/>
        <v>0</v>
      </c>
      <c r="BE362" s="172">
        <f>IF($BE$95=I362,$BE$97,IF(I362=$BE$96,$BE$97,1))*($BE$102*AQ362)*$AZ$97</f>
        <v>0</v>
      </c>
      <c r="BF362" s="172">
        <f>IF('[1]Cockpit Retorno'!$C$65=Sim,Mestre!BA362,SUM(BB362:BE362)+(IF(K362=$K$56,AQ362*MOE_IRRF_LR,0)))</f>
        <v>0</v>
      </c>
      <c r="BG362" s="174">
        <f>IF(AA362&gt;0,0,IF(Z362=$Z$82,AG362*1,(IF(Z362=$Z$81,AG362*1,0))))</f>
        <v>0</v>
      </c>
      <c r="BH362" s="174">
        <f>IF(AA362&gt;0,0,IF(Z362=$Z$83,AG362*1,IF(Z362=$Z$81,AG362*1,0)))</f>
        <v>0</v>
      </c>
      <c r="BI362" s="174">
        <f>IF(AA362&gt;0,0,IF(Z362=$Z$84,AG362*1,IF(Z362=$Z$93,AG362*2,IF(Z362=$Z$100,AG362,IF(Z362=$Z$81,AG362*2,IF(Z362=$Z$80,AG362*1,IF(Z362=$Z$79,AG362*3,IF(Z362=$Z$78,AG362*2,0))))))))</f>
        <v>0</v>
      </c>
      <c r="BJ362" s="174">
        <f>IF(AA362&gt;0,0,IF(Z362=$Z$85,AG362,IF(Z362=$Z$93,AG362,IF(Z362=$Z$100,AG362,IF(Z362=$Z$81,AG362*1,IF(Z362=$Z$80,AG362*2,IF(Z362=$Z$79,AG362*2,IF(Z362=$Z$78,AG362*2,0))))))))</f>
        <v>0</v>
      </c>
      <c r="BK362" s="174">
        <f>IF(AA362&gt;0,0,IF(Z362=$Z$92,AG362,0))</f>
        <v>0</v>
      </c>
      <c r="BL362" s="174">
        <f>IF(AA362&gt;0,0,IF(Z362=$Z$91,AG362,0))</f>
        <v>0</v>
      </c>
      <c r="BM362" s="174">
        <f>IF(AA362&gt;0,0,IF(Z362=$Z$86,AG362,0))</f>
        <v>0</v>
      </c>
      <c r="BN362" s="174">
        <f>IF(AA362&gt;0,0,IF(Z362=$Z$87,AG362,0))</f>
        <v>0</v>
      </c>
      <c r="BO362" s="174">
        <f>IF(AA362&gt;0,0,IF(Z362=$Z$88,AG362,0))</f>
        <v>0</v>
      </c>
      <c r="BP362" s="174">
        <f>IF(AA362&gt;0,0,IF(Z362=$Z$89,AG362,0))</f>
        <v>0</v>
      </c>
      <c r="BQ362" s="174">
        <f>IF(AA362&gt;0,0,IF(Z362=$Z$90,AG362,0))</f>
        <v>0</v>
      </c>
      <c r="BR362" s="174">
        <f>IF(Z362=$Z$82,AA362*AG362,0)</f>
        <v>0</v>
      </c>
      <c r="BS362" s="174">
        <f>IF(Z362=$Z$83,AA362*AG362,0)</f>
        <v>0</v>
      </c>
      <c r="BT362" s="174">
        <f>IF(AA362&lt;1,0,IF(Z362=$Z$84,AA362*AG362,IF(Z362=$Z$93,"ERRO",IF(Z362=$Z$100,"ERRO",0))))</f>
        <v>0</v>
      </c>
      <c r="BU362" s="174">
        <f>IF(AA362&lt;1,0,IF(Z362=$Z$85,AA362*AG362,IF(Z362=$Z$93,"ERRO",IF(Z362=$Z$100,"ERRO",0))))</f>
        <v>0</v>
      </c>
      <c r="BV362" s="174">
        <f>IF(Z362=$Z$92,AA362*AG362,0)</f>
        <v>0</v>
      </c>
      <c r="BW362" s="174">
        <f>IF(Z362=$Z$91,AA362*AG362,0)</f>
        <v>0</v>
      </c>
      <c r="BX362" s="174">
        <f>IF(Z362=$Z$86,AA362*AG362,0)</f>
        <v>0</v>
      </c>
      <c r="BY362" s="174">
        <f>IF(Z362=$Z$87,AA362*AG362,0)</f>
        <v>0</v>
      </c>
      <c r="BZ362" s="174">
        <f>IF(Z362=$Z$88,AA362*AG362,0)</f>
        <v>0</v>
      </c>
      <c r="CA362" s="174">
        <f>IF(Z362=$Z$89,AA362*AG362,0)</f>
        <v>0</v>
      </c>
      <c r="CB362" s="174">
        <f>IF(Z362=$Z$90,AA362*AG362,0)</f>
        <v>0</v>
      </c>
      <c r="CC362" s="175">
        <f>IFERROR(IF(L362=$L$49,AG362*AH362*(1+AI362)*(1-AK362)*(1-AL362),0),0)</f>
        <v>56621.286162000004</v>
      </c>
      <c r="CD362" s="203">
        <f>IF(I362=$CD$97,1,IF(I362=$CD$100,2,IF(K362=$K$66,1,IF(K362=$K$69,1,3))))</f>
        <v>1</v>
      </c>
      <c r="CE362" s="203">
        <f t="shared" si="14"/>
        <v>1.07</v>
      </c>
      <c r="CF362" s="204">
        <f t="shared" si="75"/>
        <v>1.2353999999999998</v>
      </c>
      <c r="CG362" s="203">
        <f t="shared" si="15"/>
        <v>1.42</v>
      </c>
      <c r="CH362" s="204">
        <f t="shared" si="76"/>
        <v>1.5478000000000001</v>
      </c>
      <c r="CI362" s="203">
        <f t="shared" si="16"/>
        <v>1.7</v>
      </c>
      <c r="CJ362" s="205">
        <f t="shared" si="77"/>
        <v>1.0486</v>
      </c>
      <c r="CK362" s="205">
        <f t="shared" si="78"/>
        <v>1.148922</v>
      </c>
      <c r="CL362" s="205">
        <f t="shared" si="79"/>
        <v>1.3915999999999999</v>
      </c>
      <c r="CM362" s="205">
        <f t="shared" si="80"/>
        <v>1.501366</v>
      </c>
      <c r="CN362" s="206">
        <f t="shared" si="81"/>
        <v>1.6319999999999999</v>
      </c>
      <c r="CO362" s="204">
        <f t="shared" si="82"/>
        <v>1.006656</v>
      </c>
      <c r="CP362" s="207">
        <f t="shared" si="83"/>
        <v>0</v>
      </c>
      <c r="CQ362" s="208">
        <f t="shared" si="84"/>
        <v>0</v>
      </c>
      <c r="CR362" s="209">
        <f t="shared" si="93"/>
        <v>0</v>
      </c>
      <c r="CS362" s="49"/>
      <c r="CT362" s="49"/>
      <c r="CU362" s="49"/>
      <c r="CV362" s="49"/>
      <c r="CW362" s="49"/>
      <c r="CX362" s="49"/>
      <c r="CY362" s="49"/>
      <c r="CZ362" s="49"/>
      <c r="DA362" s="49"/>
      <c r="DB362" s="49"/>
      <c r="DC362" s="49"/>
      <c r="DD362" s="49"/>
      <c r="DE362" s="49"/>
      <c r="DF362" s="49"/>
      <c r="DG362" s="49"/>
      <c r="DH362" s="49"/>
      <c r="DI362" s="49"/>
      <c r="DJ362" s="49"/>
      <c r="DK362" s="49"/>
      <c r="DL362" s="49"/>
      <c r="DM362" s="49"/>
      <c r="DN362" s="49"/>
      <c r="DO362" s="49"/>
      <c r="DP362" s="49"/>
      <c r="DQ362" s="49"/>
      <c r="DR362" s="49"/>
      <c r="DS362" s="49"/>
      <c r="DT362" s="49"/>
      <c r="DU362" s="49"/>
      <c r="DV362" s="49"/>
      <c r="DW362" s="49"/>
      <c r="DX362" s="49"/>
      <c r="DY362" s="49"/>
      <c r="DZ362" s="49"/>
      <c r="EA362" s="49"/>
      <c r="EB362" s="49"/>
      <c r="EC362" s="49"/>
      <c r="ED362" s="49"/>
      <c r="EE362" s="49"/>
      <c r="EF362" s="49"/>
      <c r="EG362" s="49"/>
      <c r="EH362" s="49"/>
      <c r="EI362" s="49"/>
      <c r="EJ362" s="49"/>
      <c r="EK362" s="49"/>
      <c r="EL362" s="49"/>
      <c r="EM362" s="49"/>
      <c r="EN362" s="49"/>
      <c r="EO362" s="49"/>
      <c r="EP362" s="49"/>
      <c r="EQ362" s="49"/>
      <c r="ER362" s="49"/>
      <c r="ES362" s="49"/>
      <c r="ET362" s="49"/>
      <c r="EU362" s="49"/>
      <c r="EV362" s="49"/>
      <c r="EW362" s="49"/>
      <c r="EX362" s="49"/>
      <c r="EY362" s="49"/>
      <c r="EZ362" s="49"/>
      <c r="FA362" s="49"/>
    </row>
    <row r="363" spans="1:157" s="210" customFormat="1" ht="51" x14ac:dyDescent="0.25">
      <c r="A363" s="113">
        <f>IF(AND('[1]Cockpit Retorno'!$E$67=Sim,Mestre!M363=Mestre!$M$98),0,1)</f>
        <v>1</v>
      </c>
      <c r="B363" s="113">
        <f>IF(AND('[1]Cockpit Retorno'!$E$67=Sim,Mestre!L363=Mestre!$L$48),0,1)</f>
        <v>1</v>
      </c>
      <c r="C363" s="113">
        <f>IF(AND('[1]Cockpit Retorno'!$E$67=Sim,Mestre!M363=Mestre!$M$97),0,1)</f>
        <v>1</v>
      </c>
      <c r="D363" s="148" t="s">
        <v>7</v>
      </c>
      <c r="E363" s="115"/>
      <c r="F363" s="116" t="s">
        <v>107</v>
      </c>
      <c r="G363" s="149">
        <v>28</v>
      </c>
      <c r="H363" s="150" t="s">
        <v>7</v>
      </c>
      <c r="I363" s="151" t="str">
        <f t="shared" si="86"/>
        <v>Mercadorias</v>
      </c>
      <c r="J363" s="150" t="s">
        <v>15</v>
      </c>
      <c r="K363" s="152" t="s">
        <v>7</v>
      </c>
      <c r="L363" s="153" t="s">
        <v>21</v>
      </c>
      <c r="M363" s="154" t="s">
        <v>513</v>
      </c>
      <c r="N363" s="155" t="s">
        <v>494</v>
      </c>
      <c r="O363" s="155" t="s">
        <v>516</v>
      </c>
      <c r="P363" s="155" t="s">
        <v>43</v>
      </c>
      <c r="Q363" s="155" t="s">
        <v>43</v>
      </c>
      <c r="R363" s="155" t="s">
        <v>43</v>
      </c>
      <c r="S363" s="156" t="s">
        <v>43</v>
      </c>
      <c r="T363" s="156" t="s">
        <v>43</v>
      </c>
      <c r="U363" s="150" t="s">
        <v>43</v>
      </c>
      <c r="V363" s="150" t="s">
        <v>43</v>
      </c>
      <c r="W363" s="150" t="s">
        <v>43</v>
      </c>
      <c r="X363" s="157" t="s">
        <v>529</v>
      </c>
      <c r="Y363" s="150">
        <v>820</v>
      </c>
      <c r="Z363" s="150"/>
      <c r="AA363" s="158"/>
      <c r="AB363" s="155"/>
      <c r="AC363" s="150"/>
      <c r="AD363" s="155"/>
      <c r="AE363" s="155"/>
      <c r="AF363" s="150"/>
      <c r="AG363" s="159">
        <f>Y363</f>
        <v>820</v>
      </c>
      <c r="AH363" s="211">
        <v>25.807500000000001</v>
      </c>
      <c r="AI363" s="202">
        <v>0</v>
      </c>
      <c r="AJ363" s="161">
        <v>7.0000000000000007E-2</v>
      </c>
      <c r="AK363" s="162">
        <v>4.2000000000000003E-2</v>
      </c>
      <c r="AL363" s="163"/>
      <c r="AM363" s="164">
        <f>(((IF(L363=$L$101,1,IF(L363=$L$47,1,0))*(AH363*(1-AK363)))*AG363)*(1-AL363))</f>
        <v>0</v>
      </c>
      <c r="AN363" s="165">
        <f>IF(K363=$K$50,AM363,IF(K363=$K$53,AM363,IF(K363=$K$54,AM363,IF(K363=$K$55,AM363,IF(K363=$K$56,AM363,IF(K363=$K$57,AM363,IF(K363=$K$58,AM363,IF(K363=$K$65,AM363,IF(K363=$K$66,AM363,IF(K363=$K$67,AM363,IF(K363=$K$68,AM363,IF(K363=$K$69,AM363,IF(K363=$K$51,AM363,(AM363*(1+AI363)))))))))))))))</f>
        <v>0</v>
      </c>
      <c r="AO363" s="166">
        <v>1.4</v>
      </c>
      <c r="AP363" s="160">
        <f t="shared" si="87"/>
        <v>0</v>
      </c>
      <c r="AQ363" s="167">
        <f t="shared" si="85"/>
        <v>0</v>
      </c>
      <c r="AR363" s="160">
        <f t="shared" si="88"/>
        <v>0</v>
      </c>
      <c r="AS363" s="168">
        <f t="shared" si="89"/>
        <v>0</v>
      </c>
      <c r="AT363" s="169" t="str">
        <f>K363</f>
        <v>MI</v>
      </c>
      <c r="AU363" s="169" t="str">
        <f>I363</f>
        <v>Mercadorias</v>
      </c>
      <c r="AV363" s="170"/>
      <c r="AW363" s="171">
        <f>IF(K363=$K$50,0,IF(K363=$K$53,0,IF(K363=$K$54,0,IF(K363=$K$55,0,IF(K363=$K$56,0,IF(K363=$K$57,0,IF(K363=$K$58,0,IF(K363=$K$65,0,IF(K363=$K$66,0,IF(K363=$K$67,0,IF(K363=$K$68,0,IF(K363=$K$69,0,IF(K363=$K$51,0,1))))))))))))*AM363*AI363)</f>
        <v>0</v>
      </c>
      <c r="AX363" s="172">
        <f>IF(K363=$K$50,0,IF(K363=$K$53,0,IF(K363=$K$54,0,IF(K363=$K$55,0,IF(K363=$K$56,0,IF(K363=$K$57,0,IF(K363=$K$58,0,IF(K363=$K$65,0,IF(K363=$K$66,0,IF(K363=$K$67,0,IF(K363=$K$68,0,IF(K363=$K$69,0,IF(K363=$K$51,0,1))))))))))))*AM363*AJ363*$AX$94)</f>
        <v>0</v>
      </c>
      <c r="AY363" s="172">
        <f>IF(K363=$K$53,0,IF(K363=$K$54,0,IF(K363=$K$55,0,IF(K363=$K$56,0,IF(K363=$K$58,0,IF(K363=$K$50,0,IF(K363=$K$65,0,IF(K363=$K$57,0,IF(K363=$K$51,0,AM363*$AY$102)))))))))</f>
        <v>0</v>
      </c>
      <c r="AZ363" s="172">
        <f>IF(K363=$K$53,0,IF(K363=$K$54,0,IF(K363=$K$55,0,IF(K363=$K$56,0,IF(K363=$K$58,0,IF(K363=$K$50,0,IF(K363=$K$65,0,IF(K363=$K$57,0,IF(K363=$K$51,0,AM363*$AZ$102)))))))))</f>
        <v>0</v>
      </c>
      <c r="BA363" s="172">
        <f t="shared" si="90"/>
        <v>0</v>
      </c>
      <c r="BB363" s="173">
        <f>IF($BA$97=1,AQ363*$BB$102,IF(K363=$K$50,0,IF(K363=$K$53,0,IF(K363=$K$54,0,IF(K363=$K$55,0,IF(K363=$K$56,0,IF(K363=$K$57,0,IF(K363=$K$58,0,IF(K363=$K$65,0,IF(K363=$K$66,0,IF(K363=$K$67,0,IF(K363=$K$68,0,IF(K363=$K$69,0,IF(K363=$K$51,0,1)))))))))))*AQ363*$BB$102)))</f>
        <v>0</v>
      </c>
      <c r="BC363" s="172">
        <f t="shared" si="91"/>
        <v>0</v>
      </c>
      <c r="BD363" s="172">
        <f t="shared" si="92"/>
        <v>0</v>
      </c>
      <c r="BE363" s="172">
        <f>IF($BE$95=I363,$BE$97,IF(I363=$BE$96,$BE$97,1))*($BE$102*AQ363)*$AZ$97</f>
        <v>0</v>
      </c>
      <c r="BF363" s="172">
        <f>IF('[1]Cockpit Retorno'!$C$65=Sim,Mestre!BA363,SUM(BB363:BE363)+(IF(K363=$K$56,AQ363*MOE_IRRF_LR,0)))</f>
        <v>0</v>
      </c>
      <c r="BG363" s="174">
        <f>IF(AA363&gt;0,0,IF(Z363=$Z$82,AG363*1,(IF(Z363=$Z$81,AG363*1,0))))</f>
        <v>0</v>
      </c>
      <c r="BH363" s="174">
        <f>IF(AA363&gt;0,0,IF(Z363=$Z$83,AG363*1,IF(Z363=$Z$81,AG363*1,0)))</f>
        <v>0</v>
      </c>
      <c r="BI363" s="174">
        <f>IF(AA363&gt;0,0,IF(Z363=$Z$84,AG363*1,IF(Z363=$Z$93,AG363*2,IF(Z363=$Z$100,AG363,IF(Z363=$Z$81,AG363*2,IF(Z363=$Z$80,AG363*1,IF(Z363=$Z$79,AG363*3,IF(Z363=$Z$78,AG363*2,0))))))))</f>
        <v>0</v>
      </c>
      <c r="BJ363" s="174">
        <f>IF(AA363&gt;0,0,IF(Z363=$Z$85,AG363,IF(Z363=$Z$93,AG363,IF(Z363=$Z$100,AG363,IF(Z363=$Z$81,AG363*1,IF(Z363=$Z$80,AG363*2,IF(Z363=$Z$79,AG363*2,IF(Z363=$Z$78,AG363*2,0))))))))</f>
        <v>0</v>
      </c>
      <c r="BK363" s="174">
        <f>IF(AA363&gt;0,0,IF(Z363=$Z$92,AG363,0))</f>
        <v>0</v>
      </c>
      <c r="BL363" s="174">
        <f>IF(AA363&gt;0,0,IF(Z363=$Z$91,AG363,0))</f>
        <v>0</v>
      </c>
      <c r="BM363" s="174">
        <f>IF(AA363&gt;0,0,IF(Z363=$Z$86,AG363,0))</f>
        <v>0</v>
      </c>
      <c r="BN363" s="174">
        <f>IF(AA363&gt;0,0,IF(Z363=$Z$87,AG363,0))</f>
        <v>0</v>
      </c>
      <c r="BO363" s="174">
        <f>IF(AA363&gt;0,0,IF(Z363=$Z$88,AG363,0))</f>
        <v>0</v>
      </c>
      <c r="BP363" s="174">
        <f>IF(AA363&gt;0,0,IF(Z363=$Z$89,AG363,0))</f>
        <v>0</v>
      </c>
      <c r="BQ363" s="174">
        <f>IF(AA363&gt;0,0,IF(Z363=$Z$90,AG363,0))</f>
        <v>0</v>
      </c>
      <c r="BR363" s="174">
        <f>IF(Z363=$Z$82,AA363*AG363,0)</f>
        <v>0</v>
      </c>
      <c r="BS363" s="174">
        <f>IF(Z363=$Z$83,AA363*AG363,0)</f>
        <v>0</v>
      </c>
      <c r="BT363" s="174">
        <f>IF(AA363&lt;1,0,IF(Z363=$Z$84,AA363*AG363,IF(Z363=$Z$93,"ERRO",IF(Z363=$Z$100,"ERRO",0))))</f>
        <v>0</v>
      </c>
      <c r="BU363" s="174">
        <f>IF(AA363&lt;1,0,IF(Z363=$Z$85,AA363*AG363,IF(Z363=$Z$93,"ERRO",IF(Z363=$Z$100,"ERRO",0))))</f>
        <v>0</v>
      </c>
      <c r="BV363" s="174">
        <f>IF(Z363=$Z$92,AA363*AG363,0)</f>
        <v>0</v>
      </c>
      <c r="BW363" s="174">
        <f>IF(Z363=$Z$91,AA363*AG363,0)</f>
        <v>0</v>
      </c>
      <c r="BX363" s="174">
        <f>IF(Z363=$Z$86,AA363*AG363,0)</f>
        <v>0</v>
      </c>
      <c r="BY363" s="174">
        <f>IF(Z363=$Z$87,AA363*AG363,0)</f>
        <v>0</v>
      </c>
      <c r="BZ363" s="174">
        <f>IF(Z363=$Z$88,AA363*AG363,0)</f>
        <v>0</v>
      </c>
      <c r="CA363" s="174">
        <f>IF(Z363=$Z$89,AA363*AG363,0)</f>
        <v>0</v>
      </c>
      <c r="CB363" s="174">
        <f>IF(Z363=$Z$90,AA363*AG363,0)</f>
        <v>0</v>
      </c>
      <c r="CC363" s="175">
        <f>IFERROR(IF(L363=$L$49,AG363*AH363*(1+AI363)*(1-AK363)*(1-AL363),0),0)</f>
        <v>20273.3397</v>
      </c>
      <c r="CD363" s="203">
        <f>IF(I363=$CD$97,1,IF(I363=$CD$100,2,IF(K363=$K$66,1,IF(K363=$K$69,1,3))))</f>
        <v>1</v>
      </c>
      <c r="CE363" s="203">
        <f t="shared" si="14"/>
        <v>1.07</v>
      </c>
      <c r="CF363" s="204">
        <f t="shared" si="75"/>
        <v>1.2353999999999998</v>
      </c>
      <c r="CG363" s="203">
        <f t="shared" si="15"/>
        <v>1.42</v>
      </c>
      <c r="CH363" s="204">
        <f t="shared" si="76"/>
        <v>1.5478000000000001</v>
      </c>
      <c r="CI363" s="203">
        <f t="shared" si="16"/>
        <v>1.7</v>
      </c>
      <c r="CJ363" s="205">
        <f t="shared" si="77"/>
        <v>1.0486</v>
      </c>
      <c r="CK363" s="205">
        <f t="shared" si="78"/>
        <v>1.148922</v>
      </c>
      <c r="CL363" s="205">
        <f t="shared" si="79"/>
        <v>1.3915999999999999</v>
      </c>
      <c r="CM363" s="205">
        <f t="shared" si="80"/>
        <v>1.501366</v>
      </c>
      <c r="CN363" s="206">
        <f t="shared" si="81"/>
        <v>1.6319999999999999</v>
      </c>
      <c r="CO363" s="204">
        <f t="shared" si="82"/>
        <v>1.006656</v>
      </c>
      <c r="CP363" s="207">
        <f t="shared" si="83"/>
        <v>0</v>
      </c>
      <c r="CQ363" s="208">
        <f t="shared" si="84"/>
        <v>0</v>
      </c>
      <c r="CR363" s="209">
        <f t="shared" si="93"/>
        <v>0</v>
      </c>
      <c r="CS363" s="49"/>
      <c r="CT363" s="49"/>
      <c r="CU363" s="49"/>
      <c r="CV363" s="49"/>
      <c r="CW363" s="49"/>
      <c r="CX363" s="49"/>
      <c r="CY363" s="49"/>
      <c r="CZ363" s="49"/>
      <c r="DA363" s="49"/>
      <c r="DB363" s="49"/>
      <c r="DC363" s="49"/>
      <c r="DD363" s="49"/>
      <c r="DE363" s="49"/>
      <c r="DF363" s="49"/>
      <c r="DG363" s="49"/>
      <c r="DH363" s="49"/>
      <c r="DI363" s="49"/>
      <c r="DJ363" s="49"/>
      <c r="DK363" s="49"/>
      <c r="DL363" s="49"/>
      <c r="DM363" s="49"/>
      <c r="DN363" s="49"/>
      <c r="DO363" s="49"/>
      <c r="DP363" s="49"/>
      <c r="DQ363" s="49"/>
      <c r="DR363" s="49"/>
      <c r="DS363" s="49"/>
      <c r="DT363" s="49"/>
      <c r="DU363" s="49"/>
      <c r="DV363" s="49"/>
      <c r="DW363" s="49"/>
      <c r="DX363" s="49"/>
      <c r="DY363" s="49"/>
      <c r="DZ363" s="49"/>
      <c r="EA363" s="49"/>
      <c r="EB363" s="49"/>
      <c r="EC363" s="49"/>
      <c r="ED363" s="49"/>
      <c r="EE363" s="49"/>
      <c r="EF363" s="49"/>
      <c r="EG363" s="49"/>
      <c r="EH363" s="49"/>
      <c r="EI363" s="49"/>
      <c r="EJ363" s="49"/>
      <c r="EK363" s="49"/>
      <c r="EL363" s="49"/>
      <c r="EM363" s="49"/>
      <c r="EN363" s="49"/>
      <c r="EO363" s="49"/>
      <c r="EP363" s="49"/>
      <c r="EQ363" s="49"/>
      <c r="ER363" s="49"/>
      <c r="ES363" s="49"/>
      <c r="ET363" s="49"/>
      <c r="EU363" s="49"/>
      <c r="EV363" s="49"/>
      <c r="EW363" s="49"/>
      <c r="EX363" s="49"/>
      <c r="EY363" s="49"/>
      <c r="EZ363" s="49"/>
      <c r="FA363" s="49"/>
    </row>
    <row r="364" spans="1:157" s="210" customFormat="1" ht="51" x14ac:dyDescent="0.25">
      <c r="A364" s="113">
        <f>IF(AND('[1]Cockpit Retorno'!$E$67=Sim,Mestre!M364=Mestre!$M$98),0,1)</f>
        <v>1</v>
      </c>
      <c r="B364" s="113">
        <f>IF(AND('[1]Cockpit Retorno'!$E$67=Sim,Mestre!L364=Mestre!$L$48),0,1)</f>
        <v>1</v>
      </c>
      <c r="C364" s="113">
        <f>IF(AND('[1]Cockpit Retorno'!$E$67=Sim,Mestre!M364=Mestre!$M$97),0,1)</f>
        <v>1</v>
      </c>
      <c r="D364" s="148" t="s">
        <v>7</v>
      </c>
      <c r="E364" s="115"/>
      <c r="F364" s="116" t="s">
        <v>107</v>
      </c>
      <c r="G364" s="149">
        <v>28</v>
      </c>
      <c r="H364" s="150" t="s">
        <v>7</v>
      </c>
      <c r="I364" s="151" t="str">
        <f>VLOOKUP(K364,$N$74:$O$95,2)</f>
        <v>Mercadorias</v>
      </c>
      <c r="J364" s="150" t="s">
        <v>15</v>
      </c>
      <c r="K364" s="152" t="s">
        <v>7</v>
      </c>
      <c r="L364" s="153" t="s">
        <v>21</v>
      </c>
      <c r="M364" s="154" t="s">
        <v>437</v>
      </c>
      <c r="N364" s="155" t="s">
        <v>494</v>
      </c>
      <c r="O364" s="155" t="s">
        <v>516</v>
      </c>
      <c r="P364" s="155" t="s">
        <v>43</v>
      </c>
      <c r="Q364" s="155" t="s">
        <v>43</v>
      </c>
      <c r="R364" s="155" t="s">
        <v>43</v>
      </c>
      <c r="S364" s="156" t="s">
        <v>43</v>
      </c>
      <c r="T364" s="156" t="s">
        <v>43</v>
      </c>
      <c r="U364" s="150" t="s">
        <v>43</v>
      </c>
      <c r="V364" s="150" t="s">
        <v>43</v>
      </c>
      <c r="W364" s="150" t="s">
        <v>43</v>
      </c>
      <c r="X364" s="157" t="s">
        <v>530</v>
      </c>
      <c r="Y364" s="150">
        <v>1670</v>
      </c>
      <c r="Z364" s="150"/>
      <c r="AA364" s="158"/>
      <c r="AB364" s="155"/>
      <c r="AC364" s="150"/>
      <c r="AD364" s="155"/>
      <c r="AE364" s="155"/>
      <c r="AF364" s="150"/>
      <c r="AG364" s="159">
        <f>Y364</f>
        <v>1670</v>
      </c>
      <c r="AH364" s="211">
        <v>18.107099999999999</v>
      </c>
      <c r="AI364" s="202">
        <v>0</v>
      </c>
      <c r="AJ364" s="161">
        <v>7.0000000000000007E-2</v>
      </c>
      <c r="AK364" s="162">
        <v>4.2000000000000003E-2</v>
      </c>
      <c r="AL364" s="163"/>
      <c r="AM364" s="164">
        <f>(((IF(L364=$L$101,1,IF(L364=$L$47,1,0))*(AH364*(1-AK364)))*AG364)*(1-AL364))</f>
        <v>0</v>
      </c>
      <c r="AN364" s="165">
        <f>IF(K364=$K$50,AM364,IF(K364=$K$53,AM364,IF(K364=$K$54,AM364,IF(K364=$K$55,AM364,IF(K364=$K$56,AM364,IF(K364=$K$57,AM364,IF(K364=$K$58,AM364,IF(K364=$K$65,AM364,IF(K364=$K$66,AM364,IF(K364=$K$67,AM364,IF(K364=$K$68,AM364,IF(K364=$K$69,AM364,IF(K364=$K$51,AM364,(AM364*(1+AI364)))))))))))))))</f>
        <v>0</v>
      </c>
      <c r="AO364" s="166">
        <v>1.4</v>
      </c>
      <c r="AP364" s="160">
        <f>AM364*AO364</f>
        <v>0</v>
      </c>
      <c r="AQ364" s="167">
        <f>AP364*Fator_Venda</f>
        <v>0</v>
      </c>
      <c r="AR364" s="160">
        <f>AO364*AN364</f>
        <v>0</v>
      </c>
      <c r="AS364" s="168">
        <f>IFERROR(IF($AX$94=0,(CQ364/AN364),CQ364/AM364),0)</f>
        <v>0</v>
      </c>
      <c r="AT364" s="169" t="str">
        <f>K364</f>
        <v>MI</v>
      </c>
      <c r="AU364" s="169" t="str">
        <f>I364</f>
        <v>Mercadorias</v>
      </c>
      <c r="AV364" s="170"/>
      <c r="AW364" s="171">
        <f>IF(K364=$K$50,0,IF(K364=$K$53,0,IF(K364=$K$54,0,IF(K364=$K$55,0,IF(K364=$K$56,0,IF(K364=$K$57,0,IF(K364=$K$58,0,IF(K364=$K$65,0,IF(K364=$K$66,0,IF(K364=$K$67,0,IF(K364=$K$68,0,IF(K364=$K$69,0,IF(K364=$K$51,0,1))))))))))))*AM364*AI364)</f>
        <v>0</v>
      </c>
      <c r="AX364" s="172">
        <f>IF(K364=$K$50,0,IF(K364=$K$53,0,IF(K364=$K$54,0,IF(K364=$K$55,0,IF(K364=$K$56,0,IF(K364=$K$57,0,IF(K364=$K$58,0,IF(K364=$K$65,0,IF(K364=$K$66,0,IF(K364=$K$67,0,IF(K364=$K$68,0,IF(K364=$K$69,0,IF(K364=$K$51,0,1))))))))))))*AM364*AJ364*$AX$94)</f>
        <v>0</v>
      </c>
      <c r="AY364" s="172">
        <f>IF(K364=$K$53,0,IF(K364=$K$54,0,IF(K364=$K$55,0,IF(K364=$K$56,0,IF(K364=$K$58,0,IF(K364=$K$50,0,IF(K364=$K$65,0,IF(K364=$K$57,0,IF(K364=$K$51,0,AM364*$AY$102)))))))))</f>
        <v>0</v>
      </c>
      <c r="AZ364" s="172">
        <f>IF(K364=$K$53,0,IF(K364=$K$54,0,IF(K364=$K$55,0,IF(K364=$K$56,0,IF(K364=$K$58,0,IF(K364=$K$50,0,IF(K364=$K$65,0,IF(K364=$K$57,0,IF(K364=$K$51,0,AM364*$AZ$102)))))))))</f>
        <v>0</v>
      </c>
      <c r="BA364" s="172">
        <f>AZ364+AY364+AX364</f>
        <v>0</v>
      </c>
      <c r="BB364" s="173">
        <f>IF($BA$97=1,AQ364*$BB$102,IF(K364=$K$50,0,IF(K364=$K$53,0,IF(K364=$K$54,0,IF(K364=$K$55,0,IF(K364=$K$56,0,IF(K364=$K$57,0,IF(K364=$K$58,0,IF(K364=$K$65,0,IF(K364=$K$66,0,IF(K364=$K$67,0,IF(K364=$K$68,0,IF(K364=$K$69,0,IF(K364=$K$51,0,1)))))))))))*AQ364*$BB$102)))</f>
        <v>0</v>
      </c>
      <c r="BC364" s="172">
        <f>AQ364*$BC$102</f>
        <v>0</v>
      </c>
      <c r="BD364" s="172">
        <f>$BD$102*AQ364</f>
        <v>0</v>
      </c>
      <c r="BE364" s="172">
        <f>IF($BE$95=I364,$BE$97,IF(I364=$BE$96,$BE$97,1))*($BE$102*AQ364)*$AZ$97</f>
        <v>0</v>
      </c>
      <c r="BF364" s="172">
        <f>IF('[1]Cockpit Retorno'!$C$65=Sim,Mestre!BA364,SUM(BB364:BE364)+(IF(K364=$K$56,AQ364*MOE_IRRF_LR,0)))</f>
        <v>0</v>
      </c>
      <c r="BG364" s="174">
        <f>IF(AA364&gt;0,0,IF(Z364=$Z$82,AG364*1,(IF(Z364=$Z$81,AG364*1,0))))</f>
        <v>0</v>
      </c>
      <c r="BH364" s="174">
        <f>IF(AA364&gt;0,0,IF(Z364=$Z$83,AG364*1,IF(Z364=$Z$81,AG364*1,0)))</f>
        <v>0</v>
      </c>
      <c r="BI364" s="174">
        <f>IF(AA364&gt;0,0,IF(Z364=$Z$84,AG364*1,IF(Z364=$Z$93,AG364*2,IF(Z364=$Z$100,AG364,IF(Z364=$Z$81,AG364*2,IF(Z364=$Z$80,AG364*1,IF(Z364=$Z$79,AG364*3,IF(Z364=$Z$78,AG364*2,0))))))))</f>
        <v>0</v>
      </c>
      <c r="BJ364" s="174">
        <f>IF(AA364&gt;0,0,IF(Z364=$Z$85,AG364,IF(Z364=$Z$93,AG364,IF(Z364=$Z$100,AG364,IF(Z364=$Z$81,AG364*1,IF(Z364=$Z$80,AG364*2,IF(Z364=$Z$79,AG364*2,IF(Z364=$Z$78,AG364*2,0))))))))</f>
        <v>0</v>
      </c>
      <c r="BK364" s="174">
        <f>IF(AA364&gt;0,0,IF(Z364=$Z$92,AG364,0))</f>
        <v>0</v>
      </c>
      <c r="BL364" s="174">
        <f>IF(AA364&gt;0,0,IF(Z364=$Z$91,AG364,0))</f>
        <v>0</v>
      </c>
      <c r="BM364" s="174">
        <f>IF(AA364&gt;0,0,IF(Z364=$Z$86,AG364,0))</f>
        <v>0</v>
      </c>
      <c r="BN364" s="174">
        <f>IF(AA364&gt;0,0,IF(Z364=$Z$87,AG364,0))</f>
        <v>0</v>
      </c>
      <c r="BO364" s="174">
        <f>IF(AA364&gt;0,0,IF(Z364=$Z$88,AG364,0))</f>
        <v>0</v>
      </c>
      <c r="BP364" s="174">
        <f>IF(AA364&gt;0,0,IF(Z364=$Z$89,AG364,0))</f>
        <v>0</v>
      </c>
      <c r="BQ364" s="174">
        <f>IF(AA364&gt;0,0,IF(Z364=$Z$90,AG364,0))</f>
        <v>0</v>
      </c>
      <c r="BR364" s="174">
        <f>IF(Z364=$Z$82,AA364*AG364,0)</f>
        <v>0</v>
      </c>
      <c r="BS364" s="174">
        <f>IF(Z364=$Z$83,AA364*AG364,0)</f>
        <v>0</v>
      </c>
      <c r="BT364" s="174">
        <f>IF(AA364&lt;1,0,IF(Z364=$Z$84,AA364*AG364,IF(Z364=$Z$93,"ERRO",IF(Z364=$Z$100,"ERRO",0))))</f>
        <v>0</v>
      </c>
      <c r="BU364" s="174">
        <f>IF(AA364&lt;1,0,IF(Z364=$Z$85,AA364*AG364,IF(Z364=$Z$93,"ERRO",IF(Z364=$Z$100,"ERRO",0))))</f>
        <v>0</v>
      </c>
      <c r="BV364" s="174">
        <f>IF(Z364=$Z$92,AA364*AG364,0)</f>
        <v>0</v>
      </c>
      <c r="BW364" s="174">
        <f>IF(Z364=$Z$91,AA364*AG364,0)</f>
        <v>0</v>
      </c>
      <c r="BX364" s="174">
        <f>IF(Z364=$Z$86,AA364*AG364,0)</f>
        <v>0</v>
      </c>
      <c r="BY364" s="174">
        <f>IF(Z364=$Z$87,AA364*AG364,0)</f>
        <v>0</v>
      </c>
      <c r="BZ364" s="174">
        <f>IF(Z364=$Z$88,AA364*AG364,0)</f>
        <v>0</v>
      </c>
      <c r="CA364" s="174">
        <f>IF(Z364=$Z$89,AA364*AG364,0)</f>
        <v>0</v>
      </c>
      <c r="CB364" s="174">
        <f>IF(Z364=$Z$90,AA364*AG364,0)</f>
        <v>0</v>
      </c>
      <c r="CC364" s="175">
        <f>IFERROR(IF(L364=$L$49,AG364*AH364*(1+AI364)*(1-AK364)*(1-AL364),0),0)</f>
        <v>28968.825005999999</v>
      </c>
      <c r="CD364" s="203">
        <f>IF(I364=$CD$97,1,IF(I364=$CD$100,2,IF(K364=$K$66,1,IF(K364=$K$69,1,3))))</f>
        <v>1</v>
      </c>
      <c r="CE364" s="203">
        <f t="shared" si="14"/>
        <v>1.07</v>
      </c>
      <c r="CF364" s="204">
        <f>CG364*0.87</f>
        <v>1.2353999999999998</v>
      </c>
      <c r="CG364" s="203">
        <f t="shared" si="15"/>
        <v>1.42</v>
      </c>
      <c r="CH364" s="204">
        <f>CG364*1.09</f>
        <v>1.5478000000000001</v>
      </c>
      <c r="CI364" s="203">
        <f t="shared" si="16"/>
        <v>1.7</v>
      </c>
      <c r="CJ364" s="205">
        <f>CE364*$CJ$102</f>
        <v>1.0486</v>
      </c>
      <c r="CK364" s="205">
        <f>CF364*$CK$102</f>
        <v>1.148922</v>
      </c>
      <c r="CL364" s="205">
        <f>CG364*$CL$102</f>
        <v>1.3915999999999999</v>
      </c>
      <c r="CM364" s="205">
        <f>CH364*$CM$102</f>
        <v>1.501366</v>
      </c>
      <c r="CN364" s="206">
        <f>CI364*$CN$102</f>
        <v>1.6319999999999999</v>
      </c>
      <c r="CO364" s="204">
        <f>CJ364*$CO$102</f>
        <v>1.006656</v>
      </c>
      <c r="CP364" s="207">
        <f>BF364-BA364</f>
        <v>0</v>
      </c>
      <c r="CQ364" s="208">
        <f>AQ364-CP364</f>
        <v>0</v>
      </c>
      <c r="CR364" s="209">
        <f>BC364+BD364</f>
        <v>0</v>
      </c>
      <c r="CS364" s="49"/>
      <c r="CT364" s="49"/>
      <c r="CU364" s="49"/>
      <c r="CV364" s="49"/>
      <c r="CW364" s="49"/>
      <c r="CX364" s="49"/>
      <c r="CY364" s="49"/>
      <c r="CZ364" s="49"/>
      <c r="DA364" s="49"/>
      <c r="DB364" s="49"/>
      <c r="DC364" s="49"/>
      <c r="DD364" s="49"/>
      <c r="DE364" s="49"/>
      <c r="DF364" s="49"/>
      <c r="DG364" s="49"/>
      <c r="DH364" s="49"/>
      <c r="DI364" s="49"/>
      <c r="DJ364" s="49"/>
      <c r="DK364" s="49"/>
      <c r="DL364" s="49"/>
      <c r="DM364" s="49"/>
      <c r="DN364" s="49"/>
      <c r="DO364" s="49"/>
      <c r="DP364" s="49"/>
      <c r="DQ364" s="49"/>
      <c r="DR364" s="49"/>
      <c r="DS364" s="49"/>
      <c r="DT364" s="49"/>
      <c r="DU364" s="49"/>
      <c r="DV364" s="49"/>
      <c r="DW364" s="49"/>
      <c r="DX364" s="49"/>
      <c r="DY364" s="49"/>
      <c r="DZ364" s="49"/>
      <c r="EA364" s="49"/>
      <c r="EB364" s="49"/>
      <c r="EC364" s="49"/>
      <c r="ED364" s="49"/>
      <c r="EE364" s="49"/>
      <c r="EF364" s="49"/>
      <c r="EG364" s="49"/>
      <c r="EH364" s="49"/>
      <c r="EI364" s="49"/>
      <c r="EJ364" s="49"/>
      <c r="EK364" s="49"/>
      <c r="EL364" s="49"/>
      <c r="EM364" s="49"/>
      <c r="EN364" s="49"/>
      <c r="EO364" s="49"/>
      <c r="EP364" s="49"/>
      <c r="EQ364" s="49"/>
      <c r="ER364" s="49"/>
      <c r="ES364" s="49"/>
      <c r="ET364" s="49"/>
      <c r="EU364" s="49"/>
      <c r="EV364" s="49"/>
      <c r="EW364" s="49"/>
      <c r="EX364" s="49"/>
      <c r="EY364" s="49"/>
      <c r="EZ364" s="49"/>
      <c r="FA364" s="49"/>
    </row>
    <row r="365" spans="1:157" s="210" customFormat="1" ht="51" x14ac:dyDescent="0.25">
      <c r="A365" s="113">
        <f>IF(AND('[1]Cockpit Retorno'!$E$67=Sim,Mestre!M365=Mestre!$M$98),0,1)</f>
        <v>1</v>
      </c>
      <c r="B365" s="113">
        <f>IF(AND('[1]Cockpit Retorno'!$E$67=Sim,Mestre!L365=Mestre!$L$48),0,1)</f>
        <v>1</v>
      </c>
      <c r="C365" s="113">
        <f>IF(AND('[1]Cockpit Retorno'!$E$67=Sim,Mestre!M365=Mestre!$M$97),0,1)</f>
        <v>1</v>
      </c>
      <c r="D365" s="148" t="s">
        <v>7</v>
      </c>
      <c r="E365" s="115"/>
      <c r="F365" s="116" t="s">
        <v>107</v>
      </c>
      <c r="G365" s="149">
        <v>28</v>
      </c>
      <c r="H365" s="150" t="s">
        <v>7</v>
      </c>
      <c r="I365" s="151" t="str">
        <f>VLOOKUP(K365,$N$74:$O$95,2)</f>
        <v>Mercadorias</v>
      </c>
      <c r="J365" s="150" t="s">
        <v>15</v>
      </c>
      <c r="K365" s="152" t="s">
        <v>7</v>
      </c>
      <c r="L365" s="153" t="s">
        <v>21</v>
      </c>
      <c r="M365" s="154" t="s">
        <v>513</v>
      </c>
      <c r="N365" s="155" t="s">
        <v>494</v>
      </c>
      <c r="O365" s="155" t="s">
        <v>516</v>
      </c>
      <c r="P365" s="155" t="s">
        <v>43</v>
      </c>
      <c r="Q365" s="155" t="s">
        <v>43</v>
      </c>
      <c r="R365" s="155" t="s">
        <v>43</v>
      </c>
      <c r="S365" s="156" t="s">
        <v>43</v>
      </c>
      <c r="T365" s="156" t="s">
        <v>43</v>
      </c>
      <c r="U365" s="150" t="s">
        <v>43</v>
      </c>
      <c r="V365" s="150" t="s">
        <v>43</v>
      </c>
      <c r="W365" s="150" t="s">
        <v>43</v>
      </c>
      <c r="X365" s="157" t="s">
        <v>531</v>
      </c>
      <c r="Y365" s="150">
        <v>1570</v>
      </c>
      <c r="Z365" s="150"/>
      <c r="AA365" s="158"/>
      <c r="AB365" s="155"/>
      <c r="AC365" s="150"/>
      <c r="AD365" s="155"/>
      <c r="AE365" s="155"/>
      <c r="AF365" s="150"/>
      <c r="AG365" s="159">
        <f>Y365</f>
        <v>1570</v>
      </c>
      <c r="AH365" s="211">
        <v>11.811</v>
      </c>
      <c r="AI365" s="202">
        <v>0</v>
      </c>
      <c r="AJ365" s="161">
        <v>7.0000000000000007E-2</v>
      </c>
      <c r="AK365" s="162">
        <v>4.2000000000000003E-2</v>
      </c>
      <c r="AL365" s="163"/>
      <c r="AM365" s="164">
        <f>(((IF(L365=$L$101,1,IF(L365=$L$47,1,0))*(AH365*(1-AK365)))*AG365)*(1-AL365))</f>
        <v>0</v>
      </c>
      <c r="AN365" s="165">
        <f>IF(K365=$K$50,AM365,IF(K365=$K$53,AM365,IF(K365=$K$54,AM365,IF(K365=$K$55,AM365,IF(K365=$K$56,AM365,IF(K365=$K$57,AM365,IF(K365=$K$58,AM365,IF(K365=$K$65,AM365,IF(K365=$K$66,AM365,IF(K365=$K$67,AM365,IF(K365=$K$68,AM365,IF(K365=$K$69,AM365,IF(K365=$K$51,AM365,(AM365*(1+AI365)))))))))))))))</f>
        <v>0</v>
      </c>
      <c r="AO365" s="166">
        <v>1.4</v>
      </c>
      <c r="AP365" s="160">
        <f>AM365*AO365</f>
        <v>0</v>
      </c>
      <c r="AQ365" s="167">
        <f>AP365*Fator_Venda</f>
        <v>0</v>
      </c>
      <c r="AR365" s="160">
        <f>AO365*AN365</f>
        <v>0</v>
      </c>
      <c r="AS365" s="168">
        <f>IFERROR(IF($AX$94=0,(CQ365/AN365),CQ365/AM365),0)</f>
        <v>0</v>
      </c>
      <c r="AT365" s="169" t="str">
        <f>K365</f>
        <v>MI</v>
      </c>
      <c r="AU365" s="169" t="str">
        <f>I365</f>
        <v>Mercadorias</v>
      </c>
      <c r="AV365" s="170"/>
      <c r="AW365" s="171">
        <f>IF(K365=$K$50,0,IF(K365=$K$53,0,IF(K365=$K$54,0,IF(K365=$K$55,0,IF(K365=$K$56,0,IF(K365=$K$57,0,IF(K365=$K$58,0,IF(K365=$K$65,0,IF(K365=$K$66,0,IF(K365=$K$67,0,IF(K365=$K$68,0,IF(K365=$K$69,0,IF(K365=$K$51,0,1))))))))))))*AM365*AI365)</f>
        <v>0</v>
      </c>
      <c r="AX365" s="172">
        <f>IF(K365=$K$50,0,IF(K365=$K$53,0,IF(K365=$K$54,0,IF(K365=$K$55,0,IF(K365=$K$56,0,IF(K365=$K$57,0,IF(K365=$K$58,0,IF(K365=$K$65,0,IF(K365=$K$66,0,IF(K365=$K$67,0,IF(K365=$K$68,0,IF(K365=$K$69,0,IF(K365=$K$51,0,1))))))))))))*AM365*AJ365*$AX$94)</f>
        <v>0</v>
      </c>
      <c r="AY365" s="172">
        <f>IF(K365=$K$53,0,IF(K365=$K$54,0,IF(K365=$K$55,0,IF(K365=$K$56,0,IF(K365=$K$58,0,IF(K365=$K$50,0,IF(K365=$K$65,0,IF(K365=$K$57,0,IF(K365=$K$51,0,AM365*$AY$102)))))))))</f>
        <v>0</v>
      </c>
      <c r="AZ365" s="172">
        <f>IF(K365=$K$53,0,IF(K365=$K$54,0,IF(K365=$K$55,0,IF(K365=$K$56,0,IF(K365=$K$58,0,IF(K365=$K$50,0,IF(K365=$K$65,0,IF(K365=$K$57,0,IF(K365=$K$51,0,AM365*$AZ$102)))))))))</f>
        <v>0</v>
      </c>
      <c r="BA365" s="172">
        <f>AZ365+AY365+AX365</f>
        <v>0</v>
      </c>
      <c r="BB365" s="173">
        <f>IF($BA$97=1,AQ365*$BB$102,IF(K365=$K$50,0,IF(K365=$K$53,0,IF(K365=$K$54,0,IF(K365=$K$55,0,IF(K365=$K$56,0,IF(K365=$K$57,0,IF(K365=$K$58,0,IF(K365=$K$65,0,IF(K365=$K$66,0,IF(K365=$K$67,0,IF(K365=$K$68,0,IF(K365=$K$69,0,IF(K365=$K$51,0,1)))))))))))*AQ365*$BB$102)))</f>
        <v>0</v>
      </c>
      <c r="BC365" s="172">
        <f>AQ365*$BC$102</f>
        <v>0</v>
      </c>
      <c r="BD365" s="172">
        <f>$BD$102*AQ365</f>
        <v>0</v>
      </c>
      <c r="BE365" s="172">
        <f>IF($BE$95=I365,$BE$97,IF(I365=$BE$96,$BE$97,1))*($BE$102*AQ365)*$AZ$97</f>
        <v>0</v>
      </c>
      <c r="BF365" s="172">
        <f>IF('[1]Cockpit Retorno'!$C$65=Sim,Mestre!BA365,SUM(BB365:BE365)+(IF(K365=$K$56,AQ365*MOE_IRRF_LR,0)))</f>
        <v>0</v>
      </c>
      <c r="BG365" s="174">
        <f>IF(AA365&gt;0,0,IF(Z365=$Z$82,AG365*1,(IF(Z365=$Z$81,AG365*1,0))))</f>
        <v>0</v>
      </c>
      <c r="BH365" s="174">
        <f>IF(AA365&gt;0,0,IF(Z365=$Z$83,AG365*1,IF(Z365=$Z$81,AG365*1,0)))</f>
        <v>0</v>
      </c>
      <c r="BI365" s="174">
        <f>IF(AA365&gt;0,0,IF(Z365=$Z$84,AG365*1,IF(Z365=$Z$93,AG365*2,IF(Z365=$Z$100,AG365,IF(Z365=$Z$81,AG365*2,IF(Z365=$Z$80,AG365*1,IF(Z365=$Z$79,AG365*3,IF(Z365=$Z$78,AG365*2,0))))))))</f>
        <v>0</v>
      </c>
      <c r="BJ365" s="174">
        <f>IF(AA365&gt;0,0,IF(Z365=$Z$85,AG365,IF(Z365=$Z$93,AG365,IF(Z365=$Z$100,AG365,IF(Z365=$Z$81,AG365*1,IF(Z365=$Z$80,AG365*2,IF(Z365=$Z$79,AG365*2,IF(Z365=$Z$78,AG365*2,0))))))))</f>
        <v>0</v>
      </c>
      <c r="BK365" s="174">
        <f>IF(AA365&gt;0,0,IF(Z365=$Z$92,AG365,0))</f>
        <v>0</v>
      </c>
      <c r="BL365" s="174">
        <f>IF(AA365&gt;0,0,IF(Z365=$Z$91,AG365,0))</f>
        <v>0</v>
      </c>
      <c r="BM365" s="174">
        <f>IF(AA365&gt;0,0,IF(Z365=$Z$86,AG365,0))</f>
        <v>0</v>
      </c>
      <c r="BN365" s="174">
        <f>IF(AA365&gt;0,0,IF(Z365=$Z$87,AG365,0))</f>
        <v>0</v>
      </c>
      <c r="BO365" s="174">
        <f>IF(AA365&gt;0,0,IF(Z365=$Z$88,AG365,0))</f>
        <v>0</v>
      </c>
      <c r="BP365" s="174">
        <f>IF(AA365&gt;0,0,IF(Z365=$Z$89,AG365,0))</f>
        <v>0</v>
      </c>
      <c r="BQ365" s="174">
        <f>IF(AA365&gt;0,0,IF(Z365=$Z$90,AG365,0))</f>
        <v>0</v>
      </c>
      <c r="BR365" s="174">
        <f>IF(Z365=$Z$82,AA365*AG365,0)</f>
        <v>0</v>
      </c>
      <c r="BS365" s="174">
        <f>IF(Z365=$Z$83,AA365*AG365,0)</f>
        <v>0</v>
      </c>
      <c r="BT365" s="174">
        <f>IF(AA365&lt;1,0,IF(Z365=$Z$84,AA365*AG365,IF(Z365=$Z$93,"ERRO",IF(Z365=$Z$100,"ERRO",0))))</f>
        <v>0</v>
      </c>
      <c r="BU365" s="174">
        <f>IF(AA365&lt;1,0,IF(Z365=$Z$85,AA365*AG365,IF(Z365=$Z$93,"ERRO",IF(Z365=$Z$100,"ERRO",0))))</f>
        <v>0</v>
      </c>
      <c r="BV365" s="174">
        <f>IF(Z365=$Z$92,AA365*AG365,0)</f>
        <v>0</v>
      </c>
      <c r="BW365" s="174">
        <f>IF(Z365=$Z$91,AA365*AG365,0)</f>
        <v>0</v>
      </c>
      <c r="BX365" s="174">
        <f>IF(Z365=$Z$86,AA365*AG365,0)</f>
        <v>0</v>
      </c>
      <c r="BY365" s="174">
        <f>IF(Z365=$Z$87,AA365*AG365,0)</f>
        <v>0</v>
      </c>
      <c r="BZ365" s="174">
        <f>IF(Z365=$Z$88,AA365*AG365,0)</f>
        <v>0</v>
      </c>
      <c r="CA365" s="174">
        <f>IF(Z365=$Z$89,AA365*AG365,0)</f>
        <v>0</v>
      </c>
      <c r="CB365" s="174">
        <f>IF(Z365=$Z$90,AA365*AG365,0)</f>
        <v>0</v>
      </c>
      <c r="CC365" s="175">
        <f>IFERROR(IF(L365=$L$49,AG365*AH365*(1+AI365)*(1-AK365)*(1-AL365),0),0)</f>
        <v>17764.452659999999</v>
      </c>
      <c r="CD365" s="203">
        <f>IF(I365=$CD$97,1,IF(I365=$CD$100,2,IF(K365=$K$66,1,IF(K365=$K$69,1,3))))</f>
        <v>1</v>
      </c>
      <c r="CE365" s="203">
        <f t="shared" si="14"/>
        <v>1.07</v>
      </c>
      <c r="CF365" s="204">
        <f>CG365*0.87</f>
        <v>1.2353999999999998</v>
      </c>
      <c r="CG365" s="203">
        <f t="shared" si="15"/>
        <v>1.42</v>
      </c>
      <c r="CH365" s="204">
        <f>CG365*1.09</f>
        <v>1.5478000000000001</v>
      </c>
      <c r="CI365" s="203">
        <f t="shared" si="16"/>
        <v>1.7</v>
      </c>
      <c r="CJ365" s="205">
        <f>CE365*$CJ$102</f>
        <v>1.0486</v>
      </c>
      <c r="CK365" s="205">
        <f>CF365*$CK$102</f>
        <v>1.148922</v>
      </c>
      <c r="CL365" s="205">
        <f>CG365*$CL$102</f>
        <v>1.3915999999999999</v>
      </c>
      <c r="CM365" s="205">
        <f>CH365*$CM$102</f>
        <v>1.501366</v>
      </c>
      <c r="CN365" s="206">
        <f>CI365*$CN$102</f>
        <v>1.6319999999999999</v>
      </c>
      <c r="CO365" s="204">
        <f>CJ365*$CO$102</f>
        <v>1.006656</v>
      </c>
      <c r="CP365" s="207">
        <f>BF365-BA365</f>
        <v>0</v>
      </c>
      <c r="CQ365" s="208">
        <f>AQ365-CP365</f>
        <v>0</v>
      </c>
      <c r="CR365" s="209">
        <f>BC365+BD365</f>
        <v>0</v>
      </c>
      <c r="CS365" s="49"/>
      <c r="CT365" s="49"/>
      <c r="CU365" s="49"/>
      <c r="CV365" s="49"/>
      <c r="CW365" s="49"/>
      <c r="CX365" s="49"/>
      <c r="CY365" s="49"/>
      <c r="CZ365" s="49"/>
      <c r="DA365" s="49"/>
      <c r="DB365" s="49"/>
      <c r="DC365" s="49"/>
      <c r="DD365" s="49"/>
      <c r="DE365" s="49"/>
      <c r="DF365" s="49"/>
      <c r="DG365" s="49"/>
      <c r="DH365" s="49"/>
      <c r="DI365" s="49"/>
      <c r="DJ365" s="49"/>
      <c r="DK365" s="49"/>
      <c r="DL365" s="49"/>
      <c r="DM365" s="49"/>
      <c r="DN365" s="49"/>
      <c r="DO365" s="49"/>
      <c r="DP365" s="49"/>
      <c r="DQ365" s="49"/>
      <c r="DR365" s="49"/>
      <c r="DS365" s="49"/>
      <c r="DT365" s="49"/>
      <c r="DU365" s="49"/>
      <c r="DV365" s="49"/>
      <c r="DW365" s="49"/>
      <c r="DX365" s="49"/>
      <c r="DY365" s="49"/>
      <c r="DZ365" s="49"/>
      <c r="EA365" s="49"/>
      <c r="EB365" s="49"/>
      <c r="EC365" s="49"/>
      <c r="ED365" s="49"/>
      <c r="EE365" s="49"/>
      <c r="EF365" s="49"/>
      <c r="EG365" s="49"/>
      <c r="EH365" s="49"/>
      <c r="EI365" s="49"/>
      <c r="EJ365" s="49"/>
      <c r="EK365" s="49"/>
      <c r="EL365" s="49"/>
      <c r="EM365" s="49"/>
      <c r="EN365" s="49"/>
      <c r="EO365" s="49"/>
      <c r="EP365" s="49"/>
      <c r="EQ365" s="49"/>
      <c r="ER365" s="49"/>
      <c r="ES365" s="49"/>
      <c r="ET365" s="49"/>
      <c r="EU365" s="49"/>
      <c r="EV365" s="49"/>
      <c r="EW365" s="49"/>
      <c r="EX365" s="49"/>
      <c r="EY365" s="49"/>
      <c r="EZ365" s="49"/>
      <c r="FA365" s="49"/>
    </row>
    <row r="366" spans="1:157" s="210" customFormat="1" ht="51" x14ac:dyDescent="0.25">
      <c r="A366" s="113">
        <f>IF(AND('[1]Cockpit Retorno'!$E$67=Sim,Mestre!M366=Mestre!$M$98),0,1)</f>
        <v>1</v>
      </c>
      <c r="B366" s="113">
        <f>IF(AND('[1]Cockpit Retorno'!$E$67=Sim,Mestre!L366=Mestre!$L$48),0,1)</f>
        <v>1</v>
      </c>
      <c r="C366" s="113">
        <f>IF(AND('[1]Cockpit Retorno'!$E$67=Sim,Mestre!M366=Mestre!$M$97),0,1)</f>
        <v>1</v>
      </c>
      <c r="D366" s="148" t="s">
        <v>7</v>
      </c>
      <c r="E366" s="115"/>
      <c r="F366" s="116" t="s">
        <v>107</v>
      </c>
      <c r="G366" s="149">
        <v>28</v>
      </c>
      <c r="H366" s="150" t="s">
        <v>7</v>
      </c>
      <c r="I366" s="151" t="str">
        <f t="shared" si="86"/>
        <v>Mercadorias</v>
      </c>
      <c r="J366" s="150" t="s">
        <v>15</v>
      </c>
      <c r="K366" s="152" t="s">
        <v>7</v>
      </c>
      <c r="L366" s="153" t="s">
        <v>21</v>
      </c>
      <c r="M366" s="154" t="s">
        <v>513</v>
      </c>
      <c r="N366" s="155" t="s">
        <v>494</v>
      </c>
      <c r="O366" s="155" t="s">
        <v>516</v>
      </c>
      <c r="P366" s="155" t="s">
        <v>43</v>
      </c>
      <c r="Q366" s="155" t="s">
        <v>43</v>
      </c>
      <c r="R366" s="155" t="s">
        <v>43</v>
      </c>
      <c r="S366" s="156" t="s">
        <v>43</v>
      </c>
      <c r="T366" s="156" t="s">
        <v>43</v>
      </c>
      <c r="U366" s="150" t="s">
        <v>43</v>
      </c>
      <c r="V366" s="150" t="s">
        <v>43</v>
      </c>
      <c r="W366" s="150" t="s">
        <v>43</v>
      </c>
      <c r="X366" s="157" t="s">
        <v>532</v>
      </c>
      <c r="Y366" s="150">
        <f>820*3</f>
        <v>2460</v>
      </c>
      <c r="Z366" s="150"/>
      <c r="AA366" s="158"/>
      <c r="AB366" s="155"/>
      <c r="AC366" s="150"/>
      <c r="AD366" s="155"/>
      <c r="AE366" s="155"/>
      <c r="AF366" s="150"/>
      <c r="AG366" s="159">
        <f>Y366</f>
        <v>2460</v>
      </c>
      <c r="AH366" s="211">
        <v>52.135800000000003</v>
      </c>
      <c r="AI366" s="202">
        <v>0</v>
      </c>
      <c r="AJ366" s="161">
        <v>7.0000000000000007E-2</v>
      </c>
      <c r="AK366" s="162">
        <v>4.2000000000000003E-2</v>
      </c>
      <c r="AL366" s="163"/>
      <c r="AM366" s="164">
        <f>(((IF(L366=$L$101,1,IF(L366=$L$47,1,0))*(AH366*(1-AK366)))*AG366)*(1-AL366))</f>
        <v>0</v>
      </c>
      <c r="AN366" s="165">
        <f>IF(K366=$K$50,AM366,IF(K366=$K$53,AM366,IF(K366=$K$54,AM366,IF(K366=$K$55,AM366,IF(K366=$K$56,AM366,IF(K366=$K$57,AM366,IF(K366=$K$58,AM366,IF(K366=$K$65,AM366,IF(K366=$K$66,AM366,IF(K366=$K$67,AM366,IF(K366=$K$68,AM366,IF(K366=$K$69,AM366,IF(K366=$K$51,AM366,(AM366*(1+AI366)))))))))))))))</f>
        <v>0</v>
      </c>
      <c r="AO366" s="166">
        <v>1.4</v>
      </c>
      <c r="AP366" s="160">
        <f t="shared" si="87"/>
        <v>0</v>
      </c>
      <c r="AQ366" s="167">
        <f t="shared" si="85"/>
        <v>0</v>
      </c>
      <c r="AR366" s="160">
        <f t="shared" si="88"/>
        <v>0</v>
      </c>
      <c r="AS366" s="168">
        <f t="shared" si="89"/>
        <v>0</v>
      </c>
      <c r="AT366" s="169" t="str">
        <f>K366</f>
        <v>MI</v>
      </c>
      <c r="AU366" s="169" t="str">
        <f>I366</f>
        <v>Mercadorias</v>
      </c>
      <c r="AV366" s="170"/>
      <c r="AW366" s="171">
        <f>IF(K366=$K$50,0,IF(K366=$K$53,0,IF(K366=$K$54,0,IF(K366=$K$55,0,IF(K366=$K$56,0,IF(K366=$K$57,0,IF(K366=$K$58,0,IF(K366=$K$65,0,IF(K366=$K$66,0,IF(K366=$K$67,0,IF(K366=$K$68,0,IF(K366=$K$69,0,IF(K366=$K$51,0,1))))))))))))*AM366*AI366)</f>
        <v>0</v>
      </c>
      <c r="AX366" s="172">
        <f>IF(K366=$K$50,0,IF(K366=$K$53,0,IF(K366=$K$54,0,IF(K366=$K$55,0,IF(K366=$K$56,0,IF(K366=$K$57,0,IF(K366=$K$58,0,IF(K366=$K$65,0,IF(K366=$K$66,0,IF(K366=$K$67,0,IF(K366=$K$68,0,IF(K366=$K$69,0,IF(K366=$K$51,0,1))))))))))))*AM366*AJ366*$AX$94)</f>
        <v>0</v>
      </c>
      <c r="AY366" s="172">
        <f>IF(K366=$K$53,0,IF(K366=$K$54,0,IF(K366=$K$55,0,IF(K366=$K$56,0,IF(K366=$K$58,0,IF(K366=$K$50,0,IF(K366=$K$65,0,IF(K366=$K$57,0,IF(K366=$K$51,0,AM366*$AY$102)))))))))</f>
        <v>0</v>
      </c>
      <c r="AZ366" s="172">
        <f>IF(K366=$K$53,0,IF(K366=$K$54,0,IF(K366=$K$55,0,IF(K366=$K$56,0,IF(K366=$K$58,0,IF(K366=$K$50,0,IF(K366=$K$65,0,IF(K366=$K$57,0,IF(K366=$K$51,0,AM366*$AZ$102)))))))))</f>
        <v>0</v>
      </c>
      <c r="BA366" s="172">
        <f t="shared" si="90"/>
        <v>0</v>
      </c>
      <c r="BB366" s="173">
        <f>IF($BA$97=1,AQ366*$BB$102,IF(K366=$K$50,0,IF(K366=$K$53,0,IF(K366=$K$54,0,IF(K366=$K$55,0,IF(K366=$K$56,0,IF(K366=$K$57,0,IF(K366=$K$58,0,IF(K366=$K$65,0,IF(K366=$K$66,0,IF(K366=$K$67,0,IF(K366=$K$68,0,IF(K366=$K$69,0,IF(K366=$K$51,0,1)))))))))))*AQ366*$BB$102)))</f>
        <v>0</v>
      </c>
      <c r="BC366" s="172">
        <f t="shared" si="91"/>
        <v>0</v>
      </c>
      <c r="BD366" s="172">
        <f t="shared" si="92"/>
        <v>0</v>
      </c>
      <c r="BE366" s="172">
        <f>IF($BE$95=I366,$BE$97,IF(I366=$BE$96,$BE$97,1))*($BE$102*AQ366)*$AZ$97</f>
        <v>0</v>
      </c>
      <c r="BF366" s="172">
        <f>IF('[1]Cockpit Retorno'!$C$65=Sim,Mestre!BA366,SUM(BB366:BE366)+(IF(K366=$K$56,AQ366*MOE_IRRF_LR,0)))</f>
        <v>0</v>
      </c>
      <c r="BG366" s="174">
        <f>IF(AA366&gt;0,0,IF(Z366=$Z$82,AG366*1,(IF(Z366=$Z$81,AG366*1,0))))</f>
        <v>0</v>
      </c>
      <c r="BH366" s="174">
        <f>IF(AA366&gt;0,0,IF(Z366=$Z$83,AG366*1,IF(Z366=$Z$81,AG366*1,0)))</f>
        <v>0</v>
      </c>
      <c r="BI366" s="174">
        <f>IF(AA366&gt;0,0,IF(Z366=$Z$84,AG366*1,IF(Z366=$Z$93,AG366*2,IF(Z366=$Z$100,AG366,IF(Z366=$Z$81,AG366*2,IF(Z366=$Z$80,AG366*1,IF(Z366=$Z$79,AG366*3,IF(Z366=$Z$78,AG366*2,0))))))))</f>
        <v>0</v>
      </c>
      <c r="BJ366" s="174">
        <f>IF(AA366&gt;0,0,IF(Z366=$Z$85,AG366,IF(Z366=$Z$93,AG366,IF(Z366=$Z$100,AG366,IF(Z366=$Z$81,AG366*1,IF(Z366=$Z$80,AG366*2,IF(Z366=$Z$79,AG366*2,IF(Z366=$Z$78,AG366*2,0))))))))</f>
        <v>0</v>
      </c>
      <c r="BK366" s="174">
        <f>IF(AA366&gt;0,0,IF(Z366=$Z$92,AG366,0))</f>
        <v>0</v>
      </c>
      <c r="BL366" s="174">
        <f>IF(AA366&gt;0,0,IF(Z366=$Z$91,AG366,0))</f>
        <v>0</v>
      </c>
      <c r="BM366" s="174">
        <f>IF(AA366&gt;0,0,IF(Z366=$Z$86,AG366,0))</f>
        <v>0</v>
      </c>
      <c r="BN366" s="174">
        <f>IF(AA366&gt;0,0,IF(Z366=$Z$87,AG366,0))</f>
        <v>0</v>
      </c>
      <c r="BO366" s="174">
        <f>IF(AA366&gt;0,0,IF(Z366=$Z$88,AG366,0))</f>
        <v>0</v>
      </c>
      <c r="BP366" s="174">
        <f>IF(AA366&gt;0,0,IF(Z366=$Z$89,AG366,0))</f>
        <v>0</v>
      </c>
      <c r="BQ366" s="174">
        <f>IF(AA366&gt;0,0,IF(Z366=$Z$90,AG366,0))</f>
        <v>0</v>
      </c>
      <c r="BR366" s="174">
        <f>IF(Z366=$Z$82,AA366*AG366,0)</f>
        <v>0</v>
      </c>
      <c r="BS366" s="174">
        <f>IF(Z366=$Z$83,AA366*AG366,0)</f>
        <v>0</v>
      </c>
      <c r="BT366" s="174">
        <f>IF(AA366&lt;1,0,IF(Z366=$Z$84,AA366*AG366,IF(Z366=$Z$93,"ERRO",IF(Z366=$Z$100,"ERRO",0))))</f>
        <v>0</v>
      </c>
      <c r="BU366" s="174">
        <f>IF(AA366&lt;1,0,IF(Z366=$Z$85,AA366*AG366,IF(Z366=$Z$93,"ERRO",IF(Z366=$Z$100,"ERRO",0))))</f>
        <v>0</v>
      </c>
      <c r="BV366" s="174">
        <f>IF(Z366=$Z$92,AA366*AG366,0)</f>
        <v>0</v>
      </c>
      <c r="BW366" s="174">
        <f>IF(Z366=$Z$91,AA366*AG366,0)</f>
        <v>0</v>
      </c>
      <c r="BX366" s="174">
        <f>IF(Z366=$Z$86,AA366*AG366,0)</f>
        <v>0</v>
      </c>
      <c r="BY366" s="174">
        <f>IF(Z366=$Z$87,AA366*AG366,0)</f>
        <v>0</v>
      </c>
      <c r="BZ366" s="174">
        <f>IF(Z366=$Z$88,AA366*AG366,0)</f>
        <v>0</v>
      </c>
      <c r="CA366" s="174">
        <f>IF(Z366=$Z$89,AA366*AG366,0)</f>
        <v>0</v>
      </c>
      <c r="CB366" s="174">
        <f>IF(Z366=$Z$90,AA366*AG366,0)</f>
        <v>0</v>
      </c>
      <c r="CC366" s="175">
        <f>IFERROR(IF(L366=$L$49,AG366*AH366*(1+AI366)*(1-AK366)*(1-AL366),0),0)</f>
        <v>122867.397144</v>
      </c>
      <c r="CD366" s="203">
        <f>IF(I366=$CD$97,1,IF(I366=$CD$100,2,IF(K366=$K$66,1,IF(K366=$K$69,1,3))))</f>
        <v>1</v>
      </c>
      <c r="CE366" s="203">
        <f t="shared" si="14"/>
        <v>1.07</v>
      </c>
      <c r="CF366" s="204">
        <f t="shared" si="75"/>
        <v>1.2353999999999998</v>
      </c>
      <c r="CG366" s="203">
        <f t="shared" si="15"/>
        <v>1.42</v>
      </c>
      <c r="CH366" s="204">
        <f t="shared" si="76"/>
        <v>1.5478000000000001</v>
      </c>
      <c r="CI366" s="203">
        <f t="shared" si="16"/>
        <v>1.7</v>
      </c>
      <c r="CJ366" s="205">
        <f t="shared" si="77"/>
        <v>1.0486</v>
      </c>
      <c r="CK366" s="205">
        <f t="shared" si="78"/>
        <v>1.148922</v>
      </c>
      <c r="CL366" s="205">
        <f t="shared" si="79"/>
        <v>1.3915999999999999</v>
      </c>
      <c r="CM366" s="205">
        <f t="shared" si="80"/>
        <v>1.501366</v>
      </c>
      <c r="CN366" s="206">
        <f t="shared" si="81"/>
        <v>1.6319999999999999</v>
      </c>
      <c r="CO366" s="204">
        <f t="shared" si="82"/>
        <v>1.006656</v>
      </c>
      <c r="CP366" s="207">
        <f t="shared" si="83"/>
        <v>0</v>
      </c>
      <c r="CQ366" s="208">
        <f t="shared" si="84"/>
        <v>0</v>
      </c>
      <c r="CR366" s="209">
        <f t="shared" si="93"/>
        <v>0</v>
      </c>
      <c r="CS366" s="49"/>
      <c r="CT366" s="49"/>
      <c r="CU366" s="49"/>
      <c r="CV366" s="49"/>
      <c r="CW366" s="49"/>
      <c r="CX366" s="49"/>
      <c r="CY366" s="49"/>
      <c r="CZ366" s="49"/>
      <c r="DA366" s="49"/>
      <c r="DB366" s="49"/>
      <c r="DC366" s="49"/>
      <c r="DD366" s="49"/>
      <c r="DE366" s="49"/>
      <c r="DF366" s="49"/>
      <c r="DG366" s="49"/>
      <c r="DH366" s="49"/>
      <c r="DI366" s="49"/>
      <c r="DJ366" s="49"/>
      <c r="DK366" s="49"/>
      <c r="DL366" s="49"/>
      <c r="DM366" s="49"/>
      <c r="DN366" s="49"/>
      <c r="DO366" s="49"/>
      <c r="DP366" s="49"/>
      <c r="DQ366" s="49"/>
      <c r="DR366" s="49"/>
      <c r="DS366" s="49"/>
      <c r="DT366" s="49"/>
      <c r="DU366" s="49"/>
      <c r="DV366" s="49"/>
      <c r="DW366" s="49"/>
      <c r="DX366" s="49"/>
      <c r="DY366" s="49"/>
      <c r="DZ366" s="49"/>
      <c r="EA366" s="49"/>
      <c r="EB366" s="49"/>
      <c r="EC366" s="49"/>
      <c r="ED366" s="49"/>
      <c r="EE366" s="49"/>
      <c r="EF366" s="49"/>
      <c r="EG366" s="49"/>
      <c r="EH366" s="49"/>
      <c r="EI366" s="49"/>
      <c r="EJ366" s="49"/>
      <c r="EK366" s="49"/>
      <c r="EL366" s="49"/>
      <c r="EM366" s="49"/>
      <c r="EN366" s="49"/>
      <c r="EO366" s="49"/>
      <c r="EP366" s="49"/>
      <c r="EQ366" s="49"/>
      <c r="ER366" s="49"/>
      <c r="ES366" s="49"/>
      <c r="ET366" s="49"/>
      <c r="EU366" s="49"/>
      <c r="EV366" s="49"/>
      <c r="EW366" s="49"/>
      <c r="EX366" s="49"/>
      <c r="EY366" s="49"/>
      <c r="EZ366" s="49"/>
      <c r="FA366" s="49"/>
    </row>
    <row r="367" spans="1:157" s="210" customFormat="1" ht="51" x14ac:dyDescent="0.25">
      <c r="A367" s="113">
        <f>IF(AND('[1]Cockpit Retorno'!$E$67=Sim,Mestre!M367=Mestre!$M$98),0,1)</f>
        <v>1</v>
      </c>
      <c r="B367" s="113">
        <f>IF(AND('[1]Cockpit Retorno'!$E$67=Sim,Mestre!L367=Mestre!$L$48),0,1)</f>
        <v>1</v>
      </c>
      <c r="C367" s="113">
        <f>IF(AND('[1]Cockpit Retorno'!$E$67=Sim,Mestre!M367=Mestre!$M$97),0,1)</f>
        <v>1</v>
      </c>
      <c r="D367" s="148" t="s">
        <v>7</v>
      </c>
      <c r="E367" s="115"/>
      <c r="F367" s="116" t="s">
        <v>107</v>
      </c>
      <c r="G367" s="149">
        <v>28</v>
      </c>
      <c r="H367" s="150" t="s">
        <v>7</v>
      </c>
      <c r="I367" s="151" t="str">
        <f t="shared" si="86"/>
        <v>Mercadorias</v>
      </c>
      <c r="J367" s="150" t="s">
        <v>15</v>
      </c>
      <c r="K367" s="152" t="s">
        <v>7</v>
      </c>
      <c r="L367" s="153" t="s">
        <v>21</v>
      </c>
      <c r="M367" s="154" t="s">
        <v>513</v>
      </c>
      <c r="N367" s="155" t="s">
        <v>494</v>
      </c>
      <c r="O367" s="155" t="s">
        <v>516</v>
      </c>
      <c r="P367" s="155" t="s">
        <v>43</v>
      </c>
      <c r="Q367" s="155" t="s">
        <v>43</v>
      </c>
      <c r="R367" s="155" t="s">
        <v>43</v>
      </c>
      <c r="S367" s="156" t="s">
        <v>43</v>
      </c>
      <c r="T367" s="156" t="s">
        <v>43</v>
      </c>
      <c r="U367" s="150" t="s">
        <v>43</v>
      </c>
      <c r="V367" s="150" t="s">
        <v>43</v>
      </c>
      <c r="W367" s="150" t="s">
        <v>43</v>
      </c>
      <c r="X367" s="157" t="s">
        <v>533</v>
      </c>
      <c r="Y367" s="150">
        <f>1670*3</f>
        <v>5010</v>
      </c>
      <c r="Z367" s="150"/>
      <c r="AA367" s="158"/>
      <c r="AB367" s="155"/>
      <c r="AC367" s="150"/>
      <c r="AD367" s="155"/>
      <c r="AE367" s="155"/>
      <c r="AF367" s="150"/>
      <c r="AG367" s="159">
        <f>Y367</f>
        <v>5010</v>
      </c>
      <c r="AH367" s="211">
        <v>37.1721</v>
      </c>
      <c r="AI367" s="202">
        <v>0</v>
      </c>
      <c r="AJ367" s="161">
        <v>7.0000000000000007E-2</v>
      </c>
      <c r="AK367" s="162">
        <v>4.2000000000000003E-2</v>
      </c>
      <c r="AL367" s="163"/>
      <c r="AM367" s="164">
        <f>(((IF(L367=$L$101,1,IF(L367=$L$47,1,0))*(AH367*(1-AK367)))*AG367)*(1-AL367))</f>
        <v>0</v>
      </c>
      <c r="AN367" s="165">
        <f>IF(K367=$K$50,AM367,IF(K367=$K$53,AM367,IF(K367=$K$54,AM367,IF(K367=$K$55,AM367,IF(K367=$K$56,AM367,IF(K367=$K$57,AM367,IF(K367=$K$58,AM367,IF(K367=$K$65,AM367,IF(K367=$K$66,AM367,IF(K367=$K$67,AM367,IF(K367=$K$68,AM367,IF(K367=$K$69,AM367,IF(K367=$K$51,AM367,(AM367*(1+AI367)))))))))))))))</f>
        <v>0</v>
      </c>
      <c r="AO367" s="166">
        <v>1.4</v>
      </c>
      <c r="AP367" s="160">
        <f t="shared" si="87"/>
        <v>0</v>
      </c>
      <c r="AQ367" s="167">
        <f t="shared" si="85"/>
        <v>0</v>
      </c>
      <c r="AR367" s="160">
        <f t="shared" si="88"/>
        <v>0</v>
      </c>
      <c r="AS367" s="168">
        <f t="shared" si="89"/>
        <v>0</v>
      </c>
      <c r="AT367" s="169" t="str">
        <f>K367</f>
        <v>MI</v>
      </c>
      <c r="AU367" s="169" t="str">
        <f>I367</f>
        <v>Mercadorias</v>
      </c>
      <c r="AV367" s="170"/>
      <c r="AW367" s="171">
        <f>IF(K367=$K$50,0,IF(K367=$K$53,0,IF(K367=$K$54,0,IF(K367=$K$55,0,IF(K367=$K$56,0,IF(K367=$K$57,0,IF(K367=$K$58,0,IF(K367=$K$65,0,IF(K367=$K$66,0,IF(K367=$K$67,0,IF(K367=$K$68,0,IF(K367=$K$69,0,IF(K367=$K$51,0,1))))))))))))*AM367*AI367)</f>
        <v>0</v>
      </c>
      <c r="AX367" s="172">
        <f>IF(K367=$K$50,0,IF(K367=$K$53,0,IF(K367=$K$54,0,IF(K367=$K$55,0,IF(K367=$K$56,0,IF(K367=$K$57,0,IF(K367=$K$58,0,IF(K367=$K$65,0,IF(K367=$K$66,0,IF(K367=$K$67,0,IF(K367=$K$68,0,IF(K367=$K$69,0,IF(K367=$K$51,0,1))))))))))))*AM367*AJ367*$AX$94)</f>
        <v>0</v>
      </c>
      <c r="AY367" s="172">
        <f>IF(K367=$K$53,0,IF(K367=$K$54,0,IF(K367=$K$55,0,IF(K367=$K$56,0,IF(K367=$K$58,0,IF(K367=$K$50,0,IF(K367=$K$65,0,IF(K367=$K$57,0,IF(K367=$K$51,0,AM367*$AY$102)))))))))</f>
        <v>0</v>
      </c>
      <c r="AZ367" s="172">
        <f>IF(K367=$K$53,0,IF(K367=$K$54,0,IF(K367=$K$55,0,IF(K367=$K$56,0,IF(K367=$K$58,0,IF(K367=$K$50,0,IF(K367=$K$65,0,IF(K367=$K$57,0,IF(K367=$K$51,0,AM367*$AZ$102)))))))))</f>
        <v>0</v>
      </c>
      <c r="BA367" s="172">
        <f t="shared" si="90"/>
        <v>0</v>
      </c>
      <c r="BB367" s="173">
        <f>IF($BA$97=1,AQ367*$BB$102,IF(K367=$K$50,0,IF(K367=$K$53,0,IF(K367=$K$54,0,IF(K367=$K$55,0,IF(K367=$K$56,0,IF(K367=$K$57,0,IF(K367=$K$58,0,IF(K367=$K$65,0,IF(K367=$K$66,0,IF(K367=$K$67,0,IF(K367=$K$68,0,IF(K367=$K$69,0,IF(K367=$K$51,0,1)))))))))))*AQ367*$BB$102)))</f>
        <v>0</v>
      </c>
      <c r="BC367" s="172">
        <f t="shared" si="91"/>
        <v>0</v>
      </c>
      <c r="BD367" s="172">
        <f t="shared" si="92"/>
        <v>0</v>
      </c>
      <c r="BE367" s="172">
        <f>IF($BE$95=I367,$BE$97,IF(I367=$BE$96,$BE$97,1))*($BE$102*AQ367)*$AZ$97</f>
        <v>0</v>
      </c>
      <c r="BF367" s="172">
        <f>IF('[1]Cockpit Retorno'!$C$65=Sim,Mestre!BA367,SUM(BB367:BE367)+(IF(K367=$K$56,AQ367*MOE_IRRF_LR,0)))</f>
        <v>0</v>
      </c>
      <c r="BG367" s="174">
        <f>IF(AA367&gt;0,0,IF(Z367=$Z$82,AG367*1,(IF(Z367=$Z$81,AG367*1,0))))</f>
        <v>0</v>
      </c>
      <c r="BH367" s="174">
        <f>IF(AA367&gt;0,0,IF(Z367=$Z$83,AG367*1,IF(Z367=$Z$81,AG367*1,0)))</f>
        <v>0</v>
      </c>
      <c r="BI367" s="174">
        <f>IF(AA367&gt;0,0,IF(Z367=$Z$84,AG367*1,IF(Z367=$Z$93,AG367*2,IF(Z367=$Z$100,AG367,IF(Z367=$Z$81,AG367*2,IF(Z367=$Z$80,AG367*1,IF(Z367=$Z$79,AG367*3,IF(Z367=$Z$78,AG367*2,0))))))))</f>
        <v>0</v>
      </c>
      <c r="BJ367" s="174">
        <f>IF(AA367&gt;0,0,IF(Z367=$Z$85,AG367,IF(Z367=$Z$93,AG367,IF(Z367=$Z$100,AG367,IF(Z367=$Z$81,AG367*1,IF(Z367=$Z$80,AG367*2,IF(Z367=$Z$79,AG367*2,IF(Z367=$Z$78,AG367*2,0))))))))</f>
        <v>0</v>
      </c>
      <c r="BK367" s="174">
        <f>IF(AA367&gt;0,0,IF(Z367=$Z$92,AG367,0))</f>
        <v>0</v>
      </c>
      <c r="BL367" s="174">
        <f>IF(AA367&gt;0,0,IF(Z367=$Z$91,AG367,0))</f>
        <v>0</v>
      </c>
      <c r="BM367" s="174">
        <f>IF(AA367&gt;0,0,IF(Z367=$Z$86,AG367,0))</f>
        <v>0</v>
      </c>
      <c r="BN367" s="174">
        <f>IF(AA367&gt;0,0,IF(Z367=$Z$87,AG367,0))</f>
        <v>0</v>
      </c>
      <c r="BO367" s="174">
        <f>IF(AA367&gt;0,0,IF(Z367=$Z$88,AG367,0))</f>
        <v>0</v>
      </c>
      <c r="BP367" s="174">
        <f>IF(AA367&gt;0,0,IF(Z367=$Z$89,AG367,0))</f>
        <v>0</v>
      </c>
      <c r="BQ367" s="174">
        <f>IF(AA367&gt;0,0,IF(Z367=$Z$90,AG367,0))</f>
        <v>0</v>
      </c>
      <c r="BR367" s="174">
        <f>IF(Z367=$Z$82,AA367*AG367,0)</f>
        <v>0</v>
      </c>
      <c r="BS367" s="174">
        <f>IF(Z367=$Z$83,AA367*AG367,0)</f>
        <v>0</v>
      </c>
      <c r="BT367" s="174">
        <f>IF(AA367&lt;1,0,IF(Z367=$Z$84,AA367*AG367,IF(Z367=$Z$93,"ERRO",IF(Z367=$Z$100,"ERRO",0))))</f>
        <v>0</v>
      </c>
      <c r="BU367" s="174">
        <f>IF(AA367&lt;1,0,IF(Z367=$Z$85,AA367*AG367,IF(Z367=$Z$93,"ERRO",IF(Z367=$Z$100,"ERRO",0))))</f>
        <v>0</v>
      </c>
      <c r="BV367" s="174">
        <f>IF(Z367=$Z$92,AA367*AG367,0)</f>
        <v>0</v>
      </c>
      <c r="BW367" s="174">
        <f>IF(Z367=$Z$91,AA367*AG367,0)</f>
        <v>0</v>
      </c>
      <c r="BX367" s="174">
        <f>IF(Z367=$Z$86,AA367*AG367,0)</f>
        <v>0</v>
      </c>
      <c r="BY367" s="174">
        <f>IF(Z367=$Z$87,AA367*AG367,0)</f>
        <v>0</v>
      </c>
      <c r="BZ367" s="174">
        <f>IF(Z367=$Z$88,AA367*AG367,0)</f>
        <v>0</v>
      </c>
      <c r="CA367" s="174">
        <f>IF(Z367=$Z$89,AA367*AG367,0)</f>
        <v>0</v>
      </c>
      <c r="CB367" s="174">
        <f>IF(Z367=$Z$90,AA367*AG367,0)</f>
        <v>0</v>
      </c>
      <c r="CC367" s="175">
        <f>IFERROR(IF(L367=$L$49,AG367*AH367*(1+AI367)*(1-AK367)*(1-AL367),0),0)</f>
        <v>178410.46771799997</v>
      </c>
      <c r="CD367" s="203">
        <f>IF(I367=$CD$97,1,IF(I367=$CD$100,2,IF(K367=$K$66,1,IF(K367=$K$69,1,3))))</f>
        <v>1</v>
      </c>
      <c r="CE367" s="203">
        <f t="shared" si="14"/>
        <v>1.07</v>
      </c>
      <c r="CF367" s="204">
        <f t="shared" si="75"/>
        <v>1.2353999999999998</v>
      </c>
      <c r="CG367" s="203">
        <f t="shared" si="15"/>
        <v>1.42</v>
      </c>
      <c r="CH367" s="204">
        <f t="shared" si="76"/>
        <v>1.5478000000000001</v>
      </c>
      <c r="CI367" s="203">
        <f t="shared" si="16"/>
        <v>1.7</v>
      </c>
      <c r="CJ367" s="205">
        <f t="shared" si="77"/>
        <v>1.0486</v>
      </c>
      <c r="CK367" s="205">
        <f t="shared" si="78"/>
        <v>1.148922</v>
      </c>
      <c r="CL367" s="205">
        <f t="shared" si="79"/>
        <v>1.3915999999999999</v>
      </c>
      <c r="CM367" s="205">
        <f t="shared" si="80"/>
        <v>1.501366</v>
      </c>
      <c r="CN367" s="206">
        <f t="shared" si="81"/>
        <v>1.6319999999999999</v>
      </c>
      <c r="CO367" s="204">
        <f t="shared" si="82"/>
        <v>1.006656</v>
      </c>
      <c r="CP367" s="207">
        <f t="shared" si="83"/>
        <v>0</v>
      </c>
      <c r="CQ367" s="208">
        <f t="shared" si="84"/>
        <v>0</v>
      </c>
      <c r="CR367" s="209">
        <f t="shared" si="93"/>
        <v>0</v>
      </c>
      <c r="CS367" s="49"/>
      <c r="CT367" s="49"/>
      <c r="CU367" s="49"/>
      <c r="CV367" s="49"/>
      <c r="CW367" s="49"/>
      <c r="CX367" s="49"/>
      <c r="CY367" s="49"/>
      <c r="CZ367" s="49"/>
      <c r="DA367" s="49"/>
      <c r="DB367" s="49"/>
      <c r="DC367" s="49"/>
      <c r="DD367" s="49"/>
      <c r="DE367" s="49"/>
      <c r="DF367" s="49"/>
      <c r="DG367" s="49"/>
      <c r="DH367" s="49"/>
      <c r="DI367" s="49"/>
      <c r="DJ367" s="49"/>
      <c r="DK367" s="49"/>
      <c r="DL367" s="49"/>
      <c r="DM367" s="49"/>
      <c r="DN367" s="49"/>
      <c r="DO367" s="49"/>
      <c r="DP367" s="49"/>
      <c r="DQ367" s="49"/>
      <c r="DR367" s="49"/>
      <c r="DS367" s="49"/>
      <c r="DT367" s="49"/>
      <c r="DU367" s="49"/>
      <c r="DV367" s="49"/>
      <c r="DW367" s="49"/>
      <c r="DX367" s="49"/>
      <c r="DY367" s="49"/>
      <c r="DZ367" s="49"/>
      <c r="EA367" s="49"/>
      <c r="EB367" s="49"/>
      <c r="EC367" s="49"/>
      <c r="ED367" s="49"/>
      <c r="EE367" s="49"/>
      <c r="EF367" s="49"/>
      <c r="EG367" s="49"/>
      <c r="EH367" s="49"/>
      <c r="EI367" s="49"/>
      <c r="EJ367" s="49"/>
      <c r="EK367" s="49"/>
      <c r="EL367" s="49"/>
      <c r="EM367" s="49"/>
      <c r="EN367" s="49"/>
      <c r="EO367" s="49"/>
      <c r="EP367" s="49"/>
      <c r="EQ367" s="49"/>
      <c r="ER367" s="49"/>
      <c r="ES367" s="49"/>
      <c r="ET367" s="49"/>
      <c r="EU367" s="49"/>
      <c r="EV367" s="49"/>
      <c r="EW367" s="49"/>
      <c r="EX367" s="49"/>
      <c r="EY367" s="49"/>
      <c r="EZ367" s="49"/>
      <c r="FA367" s="49"/>
    </row>
    <row r="368" spans="1:157" s="210" customFormat="1" ht="51" x14ac:dyDescent="0.25">
      <c r="A368" s="113">
        <f>IF(AND('[1]Cockpit Retorno'!$E$67=Sim,Mestre!M368=Mestre!$M$98),0,1)</f>
        <v>1</v>
      </c>
      <c r="B368" s="113">
        <f>IF(AND('[1]Cockpit Retorno'!$E$67=Sim,Mestre!L368=Mestre!$L$48),0,1)</f>
        <v>1</v>
      </c>
      <c r="C368" s="113">
        <f>IF(AND('[1]Cockpit Retorno'!$E$67=Sim,Mestre!M368=Mestre!$M$97),0,1)</f>
        <v>1</v>
      </c>
      <c r="D368" s="148" t="s">
        <v>7</v>
      </c>
      <c r="E368" s="115"/>
      <c r="F368" s="116" t="s">
        <v>107</v>
      </c>
      <c r="G368" s="149">
        <v>28</v>
      </c>
      <c r="H368" s="150" t="s">
        <v>7</v>
      </c>
      <c r="I368" s="151" t="str">
        <f t="shared" si="86"/>
        <v>Mercadorias</v>
      </c>
      <c r="J368" s="150" t="s">
        <v>15</v>
      </c>
      <c r="K368" s="152" t="s">
        <v>7</v>
      </c>
      <c r="L368" s="153" t="s">
        <v>21</v>
      </c>
      <c r="M368" s="154" t="s">
        <v>513</v>
      </c>
      <c r="N368" s="155" t="s">
        <v>494</v>
      </c>
      <c r="O368" s="155" t="s">
        <v>516</v>
      </c>
      <c r="P368" s="155" t="s">
        <v>43</v>
      </c>
      <c r="Q368" s="155" t="s">
        <v>43</v>
      </c>
      <c r="R368" s="155" t="s">
        <v>43</v>
      </c>
      <c r="S368" s="156" t="s">
        <v>43</v>
      </c>
      <c r="T368" s="156" t="s">
        <v>43</v>
      </c>
      <c r="U368" s="150" t="s">
        <v>43</v>
      </c>
      <c r="V368" s="150" t="s">
        <v>43</v>
      </c>
      <c r="W368" s="150" t="s">
        <v>43</v>
      </c>
      <c r="X368" s="157" t="s">
        <v>534</v>
      </c>
      <c r="Y368" s="150">
        <f>1570*3</f>
        <v>4710</v>
      </c>
      <c r="Z368" s="150"/>
      <c r="AA368" s="158"/>
      <c r="AB368" s="155"/>
      <c r="AC368" s="150"/>
      <c r="AD368" s="155"/>
      <c r="AE368" s="155"/>
      <c r="AF368" s="150"/>
      <c r="AG368" s="159">
        <f>Y368</f>
        <v>4710</v>
      </c>
      <c r="AH368" s="211">
        <v>25.807500000000001</v>
      </c>
      <c r="AI368" s="202">
        <v>0</v>
      </c>
      <c r="AJ368" s="161">
        <v>7.0000000000000007E-2</v>
      </c>
      <c r="AK368" s="162">
        <v>4.2000000000000003E-2</v>
      </c>
      <c r="AL368" s="163"/>
      <c r="AM368" s="164">
        <f>(((IF(L368=$L$101,1,IF(L368=$L$47,1,0))*(AH368*(1-AK368)))*AG368)*(1-AL368))</f>
        <v>0</v>
      </c>
      <c r="AN368" s="165">
        <f>IF(K368=$K$50,AM368,IF(K368=$K$53,AM368,IF(K368=$K$54,AM368,IF(K368=$K$55,AM368,IF(K368=$K$56,AM368,IF(K368=$K$57,AM368,IF(K368=$K$58,AM368,IF(K368=$K$65,AM368,IF(K368=$K$66,AM368,IF(K368=$K$67,AM368,IF(K368=$K$68,AM368,IF(K368=$K$69,AM368,IF(K368=$K$51,AM368,(AM368*(1+AI368)))))))))))))))</f>
        <v>0</v>
      </c>
      <c r="AO368" s="166">
        <v>1.4</v>
      </c>
      <c r="AP368" s="160">
        <f t="shared" si="87"/>
        <v>0</v>
      </c>
      <c r="AQ368" s="167">
        <f t="shared" si="85"/>
        <v>0</v>
      </c>
      <c r="AR368" s="160">
        <f t="shared" si="88"/>
        <v>0</v>
      </c>
      <c r="AS368" s="168">
        <f t="shared" si="89"/>
        <v>0</v>
      </c>
      <c r="AT368" s="169" t="str">
        <f>K368</f>
        <v>MI</v>
      </c>
      <c r="AU368" s="169" t="str">
        <f>I368</f>
        <v>Mercadorias</v>
      </c>
      <c r="AV368" s="170"/>
      <c r="AW368" s="171">
        <f>IF(K368=$K$50,0,IF(K368=$K$53,0,IF(K368=$K$54,0,IF(K368=$K$55,0,IF(K368=$K$56,0,IF(K368=$K$57,0,IF(K368=$K$58,0,IF(K368=$K$65,0,IF(K368=$K$66,0,IF(K368=$K$67,0,IF(K368=$K$68,0,IF(K368=$K$69,0,IF(K368=$K$51,0,1))))))))))))*AM368*AI368)</f>
        <v>0</v>
      </c>
      <c r="AX368" s="172">
        <f>IF(K368=$K$50,0,IF(K368=$K$53,0,IF(K368=$K$54,0,IF(K368=$K$55,0,IF(K368=$K$56,0,IF(K368=$K$57,0,IF(K368=$K$58,0,IF(K368=$K$65,0,IF(K368=$K$66,0,IF(K368=$K$67,0,IF(K368=$K$68,0,IF(K368=$K$69,0,IF(K368=$K$51,0,1))))))))))))*AM368*AJ368*$AX$94)</f>
        <v>0</v>
      </c>
      <c r="AY368" s="172">
        <f>IF(K368=$K$53,0,IF(K368=$K$54,0,IF(K368=$K$55,0,IF(K368=$K$56,0,IF(K368=$K$58,0,IF(K368=$K$50,0,IF(K368=$K$65,0,IF(K368=$K$57,0,IF(K368=$K$51,0,AM368*$AY$102)))))))))</f>
        <v>0</v>
      </c>
      <c r="AZ368" s="172">
        <f>IF(K368=$K$53,0,IF(K368=$K$54,0,IF(K368=$K$55,0,IF(K368=$K$56,0,IF(K368=$K$58,0,IF(K368=$K$50,0,IF(K368=$K$65,0,IF(K368=$K$57,0,IF(K368=$K$51,0,AM368*$AZ$102)))))))))</f>
        <v>0</v>
      </c>
      <c r="BA368" s="172">
        <f t="shared" si="90"/>
        <v>0</v>
      </c>
      <c r="BB368" s="173">
        <f>IF($BA$97=1,AQ368*$BB$102,IF(K368=$K$50,0,IF(K368=$K$53,0,IF(K368=$K$54,0,IF(K368=$K$55,0,IF(K368=$K$56,0,IF(K368=$K$57,0,IF(K368=$K$58,0,IF(K368=$K$65,0,IF(K368=$K$66,0,IF(K368=$K$67,0,IF(K368=$K$68,0,IF(K368=$K$69,0,IF(K368=$K$51,0,1)))))))))))*AQ368*$BB$102)))</f>
        <v>0</v>
      </c>
      <c r="BC368" s="172">
        <f t="shared" si="91"/>
        <v>0</v>
      </c>
      <c r="BD368" s="172">
        <f t="shared" si="92"/>
        <v>0</v>
      </c>
      <c r="BE368" s="172">
        <f>IF($BE$95=I368,$BE$97,IF(I368=$BE$96,$BE$97,1))*($BE$102*AQ368)*$AZ$97</f>
        <v>0</v>
      </c>
      <c r="BF368" s="172">
        <f>IF('[1]Cockpit Retorno'!$C$65=Sim,Mestre!BA368,SUM(BB368:BE368)+(IF(K368=$K$56,AQ368*MOE_IRRF_LR,0)))</f>
        <v>0</v>
      </c>
      <c r="BG368" s="174">
        <f>IF(AA368&gt;0,0,IF(Z368=$Z$82,AG368*1,(IF(Z368=$Z$81,AG368*1,0))))</f>
        <v>0</v>
      </c>
      <c r="BH368" s="174">
        <f>IF(AA368&gt;0,0,IF(Z368=$Z$83,AG368*1,IF(Z368=$Z$81,AG368*1,0)))</f>
        <v>0</v>
      </c>
      <c r="BI368" s="174">
        <f>IF(AA368&gt;0,0,IF(Z368=$Z$84,AG368*1,IF(Z368=$Z$93,AG368*2,IF(Z368=$Z$100,AG368,IF(Z368=$Z$81,AG368*2,IF(Z368=$Z$80,AG368*1,IF(Z368=$Z$79,AG368*3,IF(Z368=$Z$78,AG368*2,0))))))))</f>
        <v>0</v>
      </c>
      <c r="BJ368" s="174">
        <f>IF(AA368&gt;0,0,IF(Z368=$Z$85,AG368,IF(Z368=$Z$93,AG368,IF(Z368=$Z$100,AG368,IF(Z368=$Z$81,AG368*1,IF(Z368=$Z$80,AG368*2,IF(Z368=$Z$79,AG368*2,IF(Z368=$Z$78,AG368*2,0))))))))</f>
        <v>0</v>
      </c>
      <c r="BK368" s="174">
        <f>IF(AA368&gt;0,0,IF(Z368=$Z$92,AG368,0))</f>
        <v>0</v>
      </c>
      <c r="BL368" s="174">
        <f>IF(AA368&gt;0,0,IF(Z368=$Z$91,AG368,0))</f>
        <v>0</v>
      </c>
      <c r="BM368" s="174">
        <f>IF(AA368&gt;0,0,IF(Z368=$Z$86,AG368,0))</f>
        <v>0</v>
      </c>
      <c r="BN368" s="174">
        <f>IF(AA368&gt;0,0,IF(Z368=$Z$87,AG368,0))</f>
        <v>0</v>
      </c>
      <c r="BO368" s="174">
        <f>IF(AA368&gt;0,0,IF(Z368=$Z$88,AG368,0))</f>
        <v>0</v>
      </c>
      <c r="BP368" s="174">
        <f>IF(AA368&gt;0,0,IF(Z368=$Z$89,AG368,0))</f>
        <v>0</v>
      </c>
      <c r="BQ368" s="174">
        <f>IF(AA368&gt;0,0,IF(Z368=$Z$90,AG368,0))</f>
        <v>0</v>
      </c>
      <c r="BR368" s="174">
        <f>IF(Z368=$Z$82,AA368*AG368,0)</f>
        <v>0</v>
      </c>
      <c r="BS368" s="174">
        <f>IF(Z368=$Z$83,AA368*AG368,0)</f>
        <v>0</v>
      </c>
      <c r="BT368" s="174">
        <f>IF(AA368&lt;1,0,IF(Z368=$Z$84,AA368*AG368,IF(Z368=$Z$93,"ERRO",IF(Z368=$Z$100,"ERRO",0))))</f>
        <v>0</v>
      </c>
      <c r="BU368" s="174">
        <f>IF(AA368&lt;1,0,IF(Z368=$Z$85,AA368*AG368,IF(Z368=$Z$93,"ERRO",IF(Z368=$Z$100,"ERRO",0))))</f>
        <v>0</v>
      </c>
      <c r="BV368" s="174">
        <f>IF(Z368=$Z$92,AA368*AG368,0)</f>
        <v>0</v>
      </c>
      <c r="BW368" s="174">
        <f>IF(Z368=$Z$91,AA368*AG368,0)</f>
        <v>0</v>
      </c>
      <c r="BX368" s="174">
        <f>IF(Z368=$Z$86,AA368*AG368,0)</f>
        <v>0</v>
      </c>
      <c r="BY368" s="174">
        <f>IF(Z368=$Z$87,AA368*AG368,0)</f>
        <v>0</v>
      </c>
      <c r="BZ368" s="174">
        <f>IF(Z368=$Z$88,AA368*AG368,0)</f>
        <v>0</v>
      </c>
      <c r="CA368" s="174">
        <f>IF(Z368=$Z$89,AA368*AG368,0)</f>
        <v>0</v>
      </c>
      <c r="CB368" s="174">
        <f>IF(Z368=$Z$90,AA368*AG368,0)</f>
        <v>0</v>
      </c>
      <c r="CC368" s="175">
        <f>IFERROR(IF(L368=$L$49,AG368*AH368*(1+AI368)*(1-AK368)*(1-AL368),0),0)</f>
        <v>116448.08535000001</v>
      </c>
      <c r="CD368" s="203">
        <f>IF(I368=$CD$97,1,IF(I368=$CD$100,2,IF(K368=$K$66,1,IF(K368=$K$69,1,3))))</f>
        <v>1</v>
      </c>
      <c r="CE368" s="203">
        <f t="shared" si="14"/>
        <v>1.07</v>
      </c>
      <c r="CF368" s="204">
        <f t="shared" si="75"/>
        <v>1.2353999999999998</v>
      </c>
      <c r="CG368" s="203">
        <f t="shared" si="15"/>
        <v>1.42</v>
      </c>
      <c r="CH368" s="204">
        <f t="shared" si="76"/>
        <v>1.5478000000000001</v>
      </c>
      <c r="CI368" s="203">
        <f t="shared" si="16"/>
        <v>1.7</v>
      </c>
      <c r="CJ368" s="205">
        <f t="shared" si="77"/>
        <v>1.0486</v>
      </c>
      <c r="CK368" s="205">
        <f t="shared" si="78"/>
        <v>1.148922</v>
      </c>
      <c r="CL368" s="205">
        <f t="shared" si="79"/>
        <v>1.3915999999999999</v>
      </c>
      <c r="CM368" s="205">
        <f t="shared" si="80"/>
        <v>1.501366</v>
      </c>
      <c r="CN368" s="206">
        <f t="shared" si="81"/>
        <v>1.6319999999999999</v>
      </c>
      <c r="CO368" s="204">
        <f t="shared" si="82"/>
        <v>1.006656</v>
      </c>
      <c r="CP368" s="207">
        <f t="shared" si="83"/>
        <v>0</v>
      </c>
      <c r="CQ368" s="208">
        <f t="shared" si="84"/>
        <v>0</v>
      </c>
      <c r="CR368" s="209">
        <f t="shared" si="93"/>
        <v>0</v>
      </c>
      <c r="CS368" s="49"/>
      <c r="CT368" s="49"/>
      <c r="CU368" s="49"/>
      <c r="CV368" s="49"/>
      <c r="CW368" s="49"/>
      <c r="CX368" s="49"/>
      <c r="CY368" s="49"/>
      <c r="CZ368" s="49"/>
      <c r="DA368" s="49"/>
      <c r="DB368" s="49"/>
      <c r="DC368" s="49"/>
      <c r="DD368" s="49"/>
      <c r="DE368" s="49"/>
      <c r="DF368" s="49"/>
      <c r="DG368" s="49"/>
      <c r="DH368" s="49"/>
      <c r="DI368" s="49"/>
      <c r="DJ368" s="49"/>
      <c r="DK368" s="49"/>
      <c r="DL368" s="49"/>
      <c r="DM368" s="49"/>
      <c r="DN368" s="49"/>
      <c r="DO368" s="49"/>
      <c r="DP368" s="49"/>
      <c r="DQ368" s="49"/>
      <c r="DR368" s="49"/>
      <c r="DS368" s="49"/>
      <c r="DT368" s="49"/>
      <c r="DU368" s="49"/>
      <c r="DV368" s="49"/>
      <c r="DW368" s="49"/>
      <c r="DX368" s="49"/>
      <c r="DY368" s="49"/>
      <c r="DZ368" s="49"/>
      <c r="EA368" s="49"/>
      <c r="EB368" s="49"/>
      <c r="EC368" s="49"/>
      <c r="ED368" s="49"/>
      <c r="EE368" s="49"/>
      <c r="EF368" s="49"/>
      <c r="EG368" s="49"/>
      <c r="EH368" s="49"/>
      <c r="EI368" s="49"/>
      <c r="EJ368" s="49"/>
      <c r="EK368" s="49"/>
      <c r="EL368" s="49"/>
      <c r="EM368" s="49"/>
      <c r="EN368" s="49"/>
      <c r="EO368" s="49"/>
      <c r="EP368" s="49"/>
      <c r="EQ368" s="49"/>
      <c r="ER368" s="49"/>
      <c r="ES368" s="49"/>
      <c r="ET368" s="49"/>
      <c r="EU368" s="49"/>
      <c r="EV368" s="49"/>
      <c r="EW368" s="49"/>
      <c r="EX368" s="49"/>
      <c r="EY368" s="49"/>
      <c r="EZ368" s="49"/>
      <c r="FA368" s="49"/>
    </row>
    <row r="369" spans="1:157" s="210" customFormat="1" ht="63.75" x14ac:dyDescent="0.25">
      <c r="A369" s="113">
        <f>IF(AND('[1]Cockpit Retorno'!$E$67=Sim,Mestre!M369=Mestre!$M$98),0,1)</f>
        <v>1</v>
      </c>
      <c r="B369" s="113">
        <f>IF(AND('[1]Cockpit Retorno'!$E$67=Sim,Mestre!L369=Mestre!$L$48),0,1)</f>
        <v>1</v>
      </c>
      <c r="C369" s="113">
        <f>IF(AND('[1]Cockpit Retorno'!$E$67=Sim,Mestre!M369=Mestre!$M$97),0,1)</f>
        <v>1</v>
      </c>
      <c r="D369" s="148" t="s">
        <v>7</v>
      </c>
      <c r="E369" s="115"/>
      <c r="F369" s="116" t="s">
        <v>107</v>
      </c>
      <c r="G369" s="149">
        <v>29</v>
      </c>
      <c r="H369" s="150" t="s">
        <v>7</v>
      </c>
      <c r="I369" s="151" t="str">
        <f t="shared" si="86"/>
        <v>Mercadorias</v>
      </c>
      <c r="J369" s="150" t="s">
        <v>15</v>
      </c>
      <c r="K369" s="152" t="s">
        <v>7</v>
      </c>
      <c r="L369" s="153" t="s">
        <v>21</v>
      </c>
      <c r="M369" s="154" t="s">
        <v>437</v>
      </c>
      <c r="N369" s="155" t="s">
        <v>494</v>
      </c>
      <c r="O369" s="155" t="s">
        <v>516</v>
      </c>
      <c r="P369" s="155" t="s">
        <v>43</v>
      </c>
      <c r="Q369" s="155" t="s">
        <v>43</v>
      </c>
      <c r="R369" s="155" t="s">
        <v>43</v>
      </c>
      <c r="S369" s="156" t="s">
        <v>43</v>
      </c>
      <c r="T369" s="156" t="s">
        <v>43</v>
      </c>
      <c r="U369" s="150" t="s">
        <v>43</v>
      </c>
      <c r="V369" s="150" t="s">
        <v>43</v>
      </c>
      <c r="W369" s="150" t="s">
        <v>43</v>
      </c>
      <c r="X369" s="157" t="s">
        <v>535</v>
      </c>
      <c r="Y369" s="150">
        <v>1665</v>
      </c>
      <c r="Z369" s="150"/>
      <c r="AA369" s="158"/>
      <c r="AB369" s="155"/>
      <c r="AC369" s="150"/>
      <c r="AD369" s="155"/>
      <c r="AE369" s="155"/>
      <c r="AF369" s="150"/>
      <c r="AG369" s="159">
        <f>Y369</f>
        <v>1665</v>
      </c>
      <c r="AH369" s="211">
        <v>80.435699999999997</v>
      </c>
      <c r="AI369" s="202">
        <v>0</v>
      </c>
      <c r="AJ369" s="161">
        <v>7.0000000000000007E-2</v>
      </c>
      <c r="AK369" s="162">
        <v>4.2000000000000003E-2</v>
      </c>
      <c r="AL369" s="163"/>
      <c r="AM369" s="164">
        <f>(((IF(L369=$L$101,1,IF(L369=$L$47,1,0))*(AH369*(1-AK369)))*AG369)*(1-AL369))</f>
        <v>0</v>
      </c>
      <c r="AN369" s="165">
        <f>IF(K369=$K$50,AM369,IF(K369=$K$53,AM369,IF(K369=$K$54,AM369,IF(K369=$K$55,AM369,IF(K369=$K$56,AM369,IF(K369=$K$57,AM369,IF(K369=$K$58,AM369,IF(K369=$K$65,AM369,IF(K369=$K$66,AM369,IF(K369=$K$67,AM369,IF(K369=$K$68,AM369,IF(K369=$K$69,AM369,IF(K369=$K$51,AM369,(AM369*(1+AI369)))))))))))))))</f>
        <v>0</v>
      </c>
      <c r="AO369" s="166">
        <v>1.4</v>
      </c>
      <c r="AP369" s="160">
        <f t="shared" si="87"/>
        <v>0</v>
      </c>
      <c r="AQ369" s="167">
        <f t="shared" ref="AQ369:AQ375" si="94">AP369*Fator_Venda</f>
        <v>0</v>
      </c>
      <c r="AR369" s="160">
        <f t="shared" si="88"/>
        <v>0</v>
      </c>
      <c r="AS369" s="168">
        <f t="shared" si="89"/>
        <v>0</v>
      </c>
      <c r="AT369" s="169" t="str">
        <f>K369</f>
        <v>MI</v>
      </c>
      <c r="AU369" s="169" t="str">
        <f>I369</f>
        <v>Mercadorias</v>
      </c>
      <c r="AV369" s="170"/>
      <c r="AW369" s="171">
        <f>IF(K369=$K$50,0,IF(K369=$K$53,0,IF(K369=$K$54,0,IF(K369=$K$55,0,IF(K369=$K$56,0,IF(K369=$K$57,0,IF(K369=$K$58,0,IF(K369=$K$65,0,IF(K369=$K$66,0,IF(K369=$K$67,0,IF(K369=$K$68,0,IF(K369=$K$69,0,IF(K369=$K$51,0,1))))))))))))*AM369*AI369)</f>
        <v>0</v>
      </c>
      <c r="AX369" s="172">
        <f>IF(K369=$K$50,0,IF(K369=$K$53,0,IF(K369=$K$54,0,IF(K369=$K$55,0,IF(K369=$K$56,0,IF(K369=$K$57,0,IF(K369=$K$58,0,IF(K369=$K$65,0,IF(K369=$K$66,0,IF(K369=$K$67,0,IF(K369=$K$68,0,IF(K369=$K$69,0,IF(K369=$K$51,0,1))))))))))))*AM369*AJ369*$AX$94)</f>
        <v>0</v>
      </c>
      <c r="AY369" s="172">
        <f>IF(K369=$K$53,0,IF(K369=$K$54,0,IF(K369=$K$55,0,IF(K369=$K$56,0,IF(K369=$K$58,0,IF(K369=$K$50,0,IF(K369=$K$65,0,IF(K369=$K$57,0,IF(K369=$K$51,0,AM369*$AY$102)))))))))</f>
        <v>0</v>
      </c>
      <c r="AZ369" s="172">
        <f>IF(K369=$K$53,0,IF(K369=$K$54,0,IF(K369=$K$55,0,IF(K369=$K$56,0,IF(K369=$K$58,0,IF(K369=$K$50,0,IF(K369=$K$65,0,IF(K369=$K$57,0,IF(K369=$K$51,0,AM369*$AZ$102)))))))))</f>
        <v>0</v>
      </c>
      <c r="BA369" s="172">
        <f t="shared" si="90"/>
        <v>0</v>
      </c>
      <c r="BB369" s="173">
        <f>IF($BA$97=1,AQ369*$BB$102,IF(K369=$K$50,0,IF(K369=$K$53,0,IF(K369=$K$54,0,IF(K369=$K$55,0,IF(K369=$K$56,0,IF(K369=$K$57,0,IF(K369=$K$58,0,IF(K369=$K$65,0,IF(K369=$K$66,0,IF(K369=$K$67,0,IF(K369=$K$68,0,IF(K369=$K$69,0,IF(K369=$K$51,0,1)))))))))))*AQ369*$BB$102)))</f>
        <v>0</v>
      </c>
      <c r="BC369" s="172">
        <f t="shared" si="91"/>
        <v>0</v>
      </c>
      <c r="BD369" s="172">
        <f t="shared" si="92"/>
        <v>0</v>
      </c>
      <c r="BE369" s="172">
        <f>IF($BE$95=I369,$BE$97,IF(I369=$BE$96,$BE$97,1))*($BE$102*AQ369)*$AZ$97</f>
        <v>0</v>
      </c>
      <c r="BF369" s="172">
        <f>IF('[1]Cockpit Retorno'!$C$65=Sim,Mestre!BA369,SUM(BB369:BE369)+(IF(K369=$K$56,AQ369*MOE_IRRF_LR,0)))</f>
        <v>0</v>
      </c>
      <c r="BG369" s="174">
        <f>IF(AA369&gt;0,0,IF(Z369=$Z$82,AG369*1,(IF(Z369=$Z$81,AG369*1,0))))</f>
        <v>0</v>
      </c>
      <c r="BH369" s="174">
        <f>IF(AA369&gt;0,0,IF(Z369=$Z$83,AG369*1,IF(Z369=$Z$81,AG369*1,0)))</f>
        <v>0</v>
      </c>
      <c r="BI369" s="174">
        <f>IF(AA369&gt;0,0,IF(Z369=$Z$84,AG369*1,IF(Z369=$Z$93,AG369*2,IF(Z369=$Z$100,AG369,IF(Z369=$Z$81,AG369*2,IF(Z369=$Z$80,AG369*1,IF(Z369=$Z$79,AG369*3,IF(Z369=$Z$78,AG369*2,0))))))))</f>
        <v>0</v>
      </c>
      <c r="BJ369" s="174">
        <f>IF(AA369&gt;0,0,IF(Z369=$Z$85,AG369,IF(Z369=$Z$93,AG369,IF(Z369=$Z$100,AG369,IF(Z369=$Z$81,AG369*1,IF(Z369=$Z$80,AG369*2,IF(Z369=$Z$79,AG369*2,IF(Z369=$Z$78,AG369*2,0))))))))</f>
        <v>0</v>
      </c>
      <c r="BK369" s="174">
        <f>IF(AA369&gt;0,0,IF(Z369=$Z$92,AG369,0))</f>
        <v>0</v>
      </c>
      <c r="BL369" s="174">
        <f>IF(AA369&gt;0,0,IF(Z369=$Z$91,AG369,0))</f>
        <v>0</v>
      </c>
      <c r="BM369" s="174">
        <f>IF(AA369&gt;0,0,IF(Z369=$Z$86,AG369,0))</f>
        <v>0</v>
      </c>
      <c r="BN369" s="174">
        <f>IF(AA369&gt;0,0,IF(Z369=$Z$87,AG369,0))</f>
        <v>0</v>
      </c>
      <c r="BO369" s="174">
        <f>IF(AA369&gt;0,0,IF(Z369=$Z$88,AG369,0))</f>
        <v>0</v>
      </c>
      <c r="BP369" s="174">
        <f>IF(AA369&gt;0,0,IF(Z369=$Z$89,AG369,0))</f>
        <v>0</v>
      </c>
      <c r="BQ369" s="174">
        <f>IF(AA369&gt;0,0,IF(Z369=$Z$90,AG369,0))</f>
        <v>0</v>
      </c>
      <c r="BR369" s="174">
        <f>IF(Z369=$Z$82,AA369*AG369,0)</f>
        <v>0</v>
      </c>
      <c r="BS369" s="174">
        <f>IF(Z369=$Z$83,AA369*AG369,0)</f>
        <v>0</v>
      </c>
      <c r="BT369" s="174">
        <f>IF(AA369&lt;1,0,IF(Z369=$Z$84,AA369*AG369,IF(Z369=$Z$93,"ERRO",IF(Z369=$Z$100,"ERRO",0))))</f>
        <v>0</v>
      </c>
      <c r="BU369" s="174">
        <f>IF(AA369&lt;1,0,IF(Z369=$Z$85,AA369*AG369,IF(Z369=$Z$93,"ERRO",IF(Z369=$Z$100,"ERRO",0))))</f>
        <v>0</v>
      </c>
      <c r="BV369" s="174">
        <f>IF(Z369=$Z$92,AA369*AG369,0)</f>
        <v>0</v>
      </c>
      <c r="BW369" s="174">
        <f>IF(Z369=$Z$91,AA369*AG369,0)</f>
        <v>0</v>
      </c>
      <c r="BX369" s="174">
        <f>IF(Z369=$Z$86,AA369*AG369,0)</f>
        <v>0</v>
      </c>
      <c r="BY369" s="174">
        <f>IF(Z369=$Z$87,AA369*AG369,0)</f>
        <v>0</v>
      </c>
      <c r="BZ369" s="174">
        <f>IF(Z369=$Z$88,AA369*AG369,0)</f>
        <v>0</v>
      </c>
      <c r="CA369" s="174">
        <f>IF(Z369=$Z$89,AA369*AG369,0)</f>
        <v>0</v>
      </c>
      <c r="CB369" s="174">
        <f>IF(Z369=$Z$90,AA369*AG369,0)</f>
        <v>0</v>
      </c>
      <c r="CC369" s="175">
        <f>IFERROR(IF(L369=$L$49,AG369*AH369*(1+AI369)*(1-AK369)*(1-AL369),0),0)</f>
        <v>128300.57199899999</v>
      </c>
      <c r="CD369" s="203">
        <f>IF(I369=$CD$97,1,IF(I369=$CD$100,2,IF(K369=$K$66,1,IF(K369=$K$69,1,3))))</f>
        <v>1</v>
      </c>
      <c r="CE369" s="203">
        <f t="shared" si="14"/>
        <v>1.07</v>
      </c>
      <c r="CF369" s="204">
        <f t="shared" si="75"/>
        <v>1.2353999999999998</v>
      </c>
      <c r="CG369" s="203">
        <f t="shared" si="15"/>
        <v>1.42</v>
      </c>
      <c r="CH369" s="204">
        <f t="shared" si="76"/>
        <v>1.5478000000000001</v>
      </c>
      <c r="CI369" s="203">
        <f t="shared" si="16"/>
        <v>1.7</v>
      </c>
      <c r="CJ369" s="205">
        <f t="shared" si="77"/>
        <v>1.0486</v>
      </c>
      <c r="CK369" s="205">
        <f t="shared" si="78"/>
        <v>1.148922</v>
      </c>
      <c r="CL369" s="205">
        <f t="shared" si="79"/>
        <v>1.3915999999999999</v>
      </c>
      <c r="CM369" s="205">
        <f t="shared" si="80"/>
        <v>1.501366</v>
      </c>
      <c r="CN369" s="206">
        <f t="shared" si="81"/>
        <v>1.6319999999999999</v>
      </c>
      <c r="CO369" s="204">
        <f t="shared" si="82"/>
        <v>1.006656</v>
      </c>
      <c r="CP369" s="207">
        <f t="shared" si="83"/>
        <v>0</v>
      </c>
      <c r="CQ369" s="208">
        <f t="shared" si="84"/>
        <v>0</v>
      </c>
      <c r="CR369" s="209">
        <f t="shared" si="93"/>
        <v>0</v>
      </c>
      <c r="CS369" s="49"/>
      <c r="CT369" s="49"/>
      <c r="CU369" s="49"/>
      <c r="CV369" s="49"/>
      <c r="CW369" s="49"/>
      <c r="CX369" s="49"/>
      <c r="CY369" s="49"/>
      <c r="CZ369" s="49"/>
      <c r="DA369" s="49"/>
      <c r="DB369" s="49"/>
      <c r="DC369" s="49"/>
      <c r="DD369" s="49"/>
      <c r="DE369" s="49"/>
      <c r="DF369" s="49"/>
      <c r="DG369" s="49"/>
      <c r="DH369" s="49"/>
      <c r="DI369" s="49"/>
      <c r="DJ369" s="49"/>
      <c r="DK369" s="49"/>
      <c r="DL369" s="49"/>
      <c r="DM369" s="49"/>
      <c r="DN369" s="49"/>
      <c r="DO369" s="49"/>
      <c r="DP369" s="49"/>
      <c r="DQ369" s="49"/>
      <c r="DR369" s="49"/>
      <c r="DS369" s="49"/>
      <c r="DT369" s="49"/>
      <c r="DU369" s="49"/>
      <c r="DV369" s="49"/>
      <c r="DW369" s="49"/>
      <c r="DX369" s="49"/>
      <c r="DY369" s="49"/>
      <c r="DZ369" s="49"/>
      <c r="EA369" s="49"/>
      <c r="EB369" s="49"/>
      <c r="EC369" s="49"/>
      <c r="ED369" s="49"/>
      <c r="EE369" s="49"/>
      <c r="EF369" s="49"/>
      <c r="EG369" s="49"/>
      <c r="EH369" s="49"/>
      <c r="EI369" s="49"/>
      <c r="EJ369" s="49"/>
      <c r="EK369" s="49"/>
      <c r="EL369" s="49"/>
      <c r="EM369" s="49"/>
      <c r="EN369" s="49"/>
      <c r="EO369" s="49"/>
      <c r="EP369" s="49"/>
      <c r="EQ369" s="49"/>
      <c r="ER369" s="49"/>
      <c r="ES369" s="49"/>
      <c r="ET369" s="49"/>
      <c r="EU369" s="49"/>
      <c r="EV369" s="49"/>
      <c r="EW369" s="49"/>
      <c r="EX369" s="49"/>
      <c r="EY369" s="49"/>
      <c r="EZ369" s="49"/>
      <c r="FA369" s="49"/>
    </row>
    <row r="370" spans="1:157" s="210" customFormat="1" ht="63.75" x14ac:dyDescent="0.25">
      <c r="A370" s="113">
        <f>IF(AND('[1]Cockpit Retorno'!$E$67=Sim,Mestre!M370=Mestre!$M$98),0,1)</f>
        <v>1</v>
      </c>
      <c r="B370" s="113">
        <f>IF(AND('[1]Cockpit Retorno'!$E$67=Sim,Mestre!L370=Mestre!$L$48),0,1)</f>
        <v>1</v>
      </c>
      <c r="C370" s="113">
        <f>IF(AND('[1]Cockpit Retorno'!$E$67=Sim,Mestre!M370=Mestre!$M$97),0,1)</f>
        <v>1</v>
      </c>
      <c r="D370" s="148" t="s">
        <v>7</v>
      </c>
      <c r="E370" s="115"/>
      <c r="F370" s="116" t="s">
        <v>107</v>
      </c>
      <c r="G370" s="149">
        <v>28</v>
      </c>
      <c r="H370" s="150" t="s">
        <v>7</v>
      </c>
      <c r="I370" s="151" t="str">
        <f t="shared" si="86"/>
        <v>Mercadorias</v>
      </c>
      <c r="J370" s="150" t="s">
        <v>15</v>
      </c>
      <c r="K370" s="152" t="s">
        <v>7</v>
      </c>
      <c r="L370" s="153" t="s">
        <v>21</v>
      </c>
      <c r="M370" s="154" t="s">
        <v>437</v>
      </c>
      <c r="N370" s="155" t="s">
        <v>494</v>
      </c>
      <c r="O370" s="155" t="s">
        <v>516</v>
      </c>
      <c r="P370" s="155" t="s">
        <v>43</v>
      </c>
      <c r="Q370" s="155" t="s">
        <v>43</v>
      </c>
      <c r="R370" s="155" t="s">
        <v>43</v>
      </c>
      <c r="S370" s="156" t="s">
        <v>43</v>
      </c>
      <c r="T370" s="156" t="s">
        <v>43</v>
      </c>
      <c r="U370" s="150" t="s">
        <v>43</v>
      </c>
      <c r="V370" s="150" t="s">
        <v>43</v>
      </c>
      <c r="W370" s="150" t="s">
        <v>43</v>
      </c>
      <c r="X370" s="157" t="s">
        <v>536</v>
      </c>
      <c r="Y370" s="150">
        <v>2545</v>
      </c>
      <c r="Z370" s="150"/>
      <c r="AA370" s="158"/>
      <c r="AB370" s="155"/>
      <c r="AC370" s="150"/>
      <c r="AD370" s="155"/>
      <c r="AE370" s="155"/>
      <c r="AF370" s="150"/>
      <c r="AG370" s="159">
        <f>Y370</f>
        <v>2545</v>
      </c>
      <c r="AH370" s="211">
        <v>50.582700000000003</v>
      </c>
      <c r="AI370" s="202">
        <v>0</v>
      </c>
      <c r="AJ370" s="161">
        <v>7.0000000000000007E-2</v>
      </c>
      <c r="AK370" s="162">
        <v>4.2000000000000003E-2</v>
      </c>
      <c r="AL370" s="163"/>
      <c r="AM370" s="164">
        <f>(((IF(L370=$L$101,1,IF(L370=$L$47,1,0))*(AH370*(1-AK370)))*AG370)*(1-AL370))</f>
        <v>0</v>
      </c>
      <c r="AN370" s="165">
        <f>IF(K370=$K$50,AM370,IF(K370=$K$53,AM370,IF(K370=$K$54,AM370,IF(K370=$K$55,AM370,IF(K370=$K$56,AM370,IF(K370=$K$57,AM370,IF(K370=$K$58,AM370,IF(K370=$K$65,AM370,IF(K370=$K$66,AM370,IF(K370=$K$67,AM370,IF(K370=$K$68,AM370,IF(K370=$K$69,AM370,IF(K370=$K$51,AM370,(AM370*(1+AI370)))))))))))))))</f>
        <v>0</v>
      </c>
      <c r="AO370" s="166">
        <v>1.4</v>
      </c>
      <c r="AP370" s="160">
        <f t="shared" si="87"/>
        <v>0</v>
      </c>
      <c r="AQ370" s="167">
        <f t="shared" si="94"/>
        <v>0</v>
      </c>
      <c r="AR370" s="160">
        <f t="shared" si="88"/>
        <v>0</v>
      </c>
      <c r="AS370" s="168">
        <f t="shared" si="89"/>
        <v>0</v>
      </c>
      <c r="AT370" s="169" t="str">
        <f>K370</f>
        <v>MI</v>
      </c>
      <c r="AU370" s="169" t="str">
        <f>I370</f>
        <v>Mercadorias</v>
      </c>
      <c r="AV370" s="170"/>
      <c r="AW370" s="171">
        <f>IF(K370=$K$50,0,IF(K370=$K$53,0,IF(K370=$K$54,0,IF(K370=$K$55,0,IF(K370=$K$56,0,IF(K370=$K$57,0,IF(K370=$K$58,0,IF(K370=$K$65,0,IF(K370=$K$66,0,IF(K370=$K$67,0,IF(K370=$K$68,0,IF(K370=$K$69,0,IF(K370=$K$51,0,1))))))))))))*AM370*AI370)</f>
        <v>0</v>
      </c>
      <c r="AX370" s="172">
        <f>IF(K370=$K$50,0,IF(K370=$K$53,0,IF(K370=$K$54,0,IF(K370=$K$55,0,IF(K370=$K$56,0,IF(K370=$K$57,0,IF(K370=$K$58,0,IF(K370=$K$65,0,IF(K370=$K$66,0,IF(K370=$K$67,0,IF(K370=$K$68,0,IF(K370=$K$69,0,IF(K370=$K$51,0,1))))))))))))*AM370*AJ370*$AX$94)</f>
        <v>0</v>
      </c>
      <c r="AY370" s="172">
        <f>IF(K370=$K$53,0,IF(K370=$K$54,0,IF(K370=$K$55,0,IF(K370=$K$56,0,IF(K370=$K$58,0,IF(K370=$K$50,0,IF(K370=$K$65,0,IF(K370=$K$57,0,IF(K370=$K$51,0,AM370*$AY$102)))))))))</f>
        <v>0</v>
      </c>
      <c r="AZ370" s="172">
        <f>IF(K370=$K$53,0,IF(K370=$K$54,0,IF(K370=$K$55,0,IF(K370=$K$56,0,IF(K370=$K$58,0,IF(K370=$K$50,0,IF(K370=$K$65,0,IF(K370=$K$57,0,IF(K370=$K$51,0,AM370*$AZ$102)))))))))</f>
        <v>0</v>
      </c>
      <c r="BA370" s="172">
        <f t="shared" si="90"/>
        <v>0</v>
      </c>
      <c r="BB370" s="173">
        <f>IF($BA$97=1,AQ370*$BB$102,IF(K370=$K$50,0,IF(K370=$K$53,0,IF(K370=$K$54,0,IF(K370=$K$55,0,IF(K370=$K$56,0,IF(K370=$K$57,0,IF(K370=$K$58,0,IF(K370=$K$65,0,IF(K370=$K$66,0,IF(K370=$K$67,0,IF(K370=$K$68,0,IF(K370=$K$69,0,IF(K370=$K$51,0,1)))))))))))*AQ370*$BB$102)))</f>
        <v>0</v>
      </c>
      <c r="BC370" s="172">
        <f t="shared" si="91"/>
        <v>0</v>
      </c>
      <c r="BD370" s="172">
        <f t="shared" si="92"/>
        <v>0</v>
      </c>
      <c r="BE370" s="172">
        <f>IF($BE$95=I370,$BE$97,IF(I370=$BE$96,$BE$97,1))*($BE$102*AQ370)*$AZ$97</f>
        <v>0</v>
      </c>
      <c r="BF370" s="172">
        <f>IF('[1]Cockpit Retorno'!$C$65=Sim,Mestre!BA370,SUM(BB370:BE370)+(IF(K370=$K$56,AQ370*MOE_IRRF_LR,0)))</f>
        <v>0</v>
      </c>
      <c r="BG370" s="174">
        <f>IF(AA370&gt;0,0,IF(Z370=$Z$82,AG370*1,(IF(Z370=$Z$81,AG370*1,0))))</f>
        <v>0</v>
      </c>
      <c r="BH370" s="174">
        <f>IF(AA370&gt;0,0,IF(Z370=$Z$83,AG370*1,IF(Z370=$Z$81,AG370*1,0)))</f>
        <v>0</v>
      </c>
      <c r="BI370" s="174">
        <f>IF(AA370&gt;0,0,IF(Z370=$Z$84,AG370*1,IF(Z370=$Z$93,AG370*2,IF(Z370=$Z$100,AG370,IF(Z370=$Z$81,AG370*2,IF(Z370=$Z$80,AG370*1,IF(Z370=$Z$79,AG370*3,IF(Z370=$Z$78,AG370*2,0))))))))</f>
        <v>0</v>
      </c>
      <c r="BJ370" s="174">
        <f>IF(AA370&gt;0,0,IF(Z370=$Z$85,AG370,IF(Z370=$Z$93,AG370,IF(Z370=$Z$100,AG370,IF(Z370=$Z$81,AG370*1,IF(Z370=$Z$80,AG370*2,IF(Z370=$Z$79,AG370*2,IF(Z370=$Z$78,AG370*2,0))))))))</f>
        <v>0</v>
      </c>
      <c r="BK370" s="174">
        <f>IF(AA370&gt;0,0,IF(Z370=$Z$92,AG370,0))</f>
        <v>0</v>
      </c>
      <c r="BL370" s="174">
        <f>IF(AA370&gt;0,0,IF(Z370=$Z$91,AG370,0))</f>
        <v>0</v>
      </c>
      <c r="BM370" s="174">
        <f>IF(AA370&gt;0,0,IF(Z370=$Z$86,AG370,0))</f>
        <v>0</v>
      </c>
      <c r="BN370" s="174">
        <f>IF(AA370&gt;0,0,IF(Z370=$Z$87,AG370,0))</f>
        <v>0</v>
      </c>
      <c r="BO370" s="174">
        <f>IF(AA370&gt;0,0,IF(Z370=$Z$88,AG370,0))</f>
        <v>0</v>
      </c>
      <c r="BP370" s="174">
        <f>IF(AA370&gt;0,0,IF(Z370=$Z$89,AG370,0))</f>
        <v>0</v>
      </c>
      <c r="BQ370" s="174">
        <f>IF(AA370&gt;0,0,IF(Z370=$Z$90,AG370,0))</f>
        <v>0</v>
      </c>
      <c r="BR370" s="174">
        <f>IF(Z370=$Z$82,AA370*AG370,0)</f>
        <v>0</v>
      </c>
      <c r="BS370" s="174">
        <f>IF(Z370=$Z$83,AA370*AG370,0)</f>
        <v>0</v>
      </c>
      <c r="BT370" s="174">
        <f>IF(AA370&lt;1,0,IF(Z370=$Z$84,AA370*AG370,IF(Z370=$Z$93,"ERRO",IF(Z370=$Z$100,"ERRO",0))))</f>
        <v>0</v>
      </c>
      <c r="BU370" s="174">
        <f>IF(AA370&lt;1,0,IF(Z370=$Z$85,AA370*AG370,IF(Z370=$Z$93,"ERRO",IF(Z370=$Z$100,"ERRO",0))))</f>
        <v>0</v>
      </c>
      <c r="BV370" s="174">
        <f>IF(Z370=$Z$92,AA370*AG370,0)</f>
        <v>0</v>
      </c>
      <c r="BW370" s="174">
        <f>IF(Z370=$Z$91,AA370*AG370,0)</f>
        <v>0</v>
      </c>
      <c r="BX370" s="174">
        <f>IF(Z370=$Z$86,AA370*AG370,0)</f>
        <v>0</v>
      </c>
      <c r="BY370" s="174">
        <f>IF(Z370=$Z$87,AA370*AG370,0)</f>
        <v>0</v>
      </c>
      <c r="BZ370" s="174">
        <f>IF(Z370=$Z$88,AA370*AG370,0)</f>
        <v>0</v>
      </c>
      <c r="CA370" s="174">
        <f>IF(Z370=$Z$89,AA370*AG370,0)</f>
        <v>0</v>
      </c>
      <c r="CB370" s="174">
        <f>IF(Z370=$Z$90,AA370*AG370,0)</f>
        <v>0</v>
      </c>
      <c r="CC370" s="175">
        <f>IFERROR(IF(L370=$L$49,AG370*AH370*(1+AI370)*(1-AK370)*(1-AL370),0),0)</f>
        <v>123326.186697</v>
      </c>
      <c r="CD370" s="203">
        <f>IF(I370=$CD$97,1,IF(I370=$CD$100,2,IF(K370=$K$66,1,IF(K370=$K$69,1,3))))</f>
        <v>1</v>
      </c>
      <c r="CE370" s="203">
        <f t="shared" si="14"/>
        <v>1.07</v>
      </c>
      <c r="CF370" s="204">
        <f t="shared" si="75"/>
        <v>1.2353999999999998</v>
      </c>
      <c r="CG370" s="203">
        <f t="shared" si="15"/>
        <v>1.42</v>
      </c>
      <c r="CH370" s="204">
        <f t="shared" si="76"/>
        <v>1.5478000000000001</v>
      </c>
      <c r="CI370" s="203">
        <f t="shared" si="16"/>
        <v>1.7</v>
      </c>
      <c r="CJ370" s="205">
        <f t="shared" si="77"/>
        <v>1.0486</v>
      </c>
      <c r="CK370" s="205">
        <f t="shared" si="78"/>
        <v>1.148922</v>
      </c>
      <c r="CL370" s="205">
        <f t="shared" si="79"/>
        <v>1.3915999999999999</v>
      </c>
      <c r="CM370" s="205">
        <f t="shared" si="80"/>
        <v>1.501366</v>
      </c>
      <c r="CN370" s="206">
        <f t="shared" si="81"/>
        <v>1.6319999999999999</v>
      </c>
      <c r="CO370" s="204">
        <f t="shared" si="82"/>
        <v>1.006656</v>
      </c>
      <c r="CP370" s="207">
        <f t="shared" si="83"/>
        <v>0</v>
      </c>
      <c r="CQ370" s="208">
        <f t="shared" si="84"/>
        <v>0</v>
      </c>
      <c r="CR370" s="209">
        <f t="shared" si="93"/>
        <v>0</v>
      </c>
      <c r="CS370" s="49"/>
      <c r="CT370" s="49"/>
      <c r="CU370" s="49"/>
      <c r="CV370" s="49"/>
      <c r="CW370" s="49"/>
      <c r="CX370" s="49"/>
      <c r="CY370" s="49"/>
      <c r="CZ370" s="49"/>
      <c r="DA370" s="49"/>
      <c r="DB370" s="49"/>
      <c r="DC370" s="49"/>
      <c r="DD370" s="49"/>
      <c r="DE370" s="49"/>
      <c r="DF370" s="49"/>
      <c r="DG370" s="49"/>
      <c r="DH370" s="49"/>
      <c r="DI370" s="49"/>
      <c r="DJ370" s="49"/>
      <c r="DK370" s="49"/>
      <c r="DL370" s="49"/>
      <c r="DM370" s="49"/>
      <c r="DN370" s="49"/>
      <c r="DO370" s="49"/>
      <c r="DP370" s="49"/>
      <c r="DQ370" s="49"/>
      <c r="DR370" s="49"/>
      <c r="DS370" s="49"/>
      <c r="DT370" s="49"/>
      <c r="DU370" s="49"/>
      <c r="DV370" s="49"/>
      <c r="DW370" s="49"/>
      <c r="DX370" s="49"/>
      <c r="DY370" s="49"/>
      <c r="DZ370" s="49"/>
      <c r="EA370" s="49"/>
      <c r="EB370" s="49"/>
      <c r="EC370" s="49"/>
      <c r="ED370" s="49"/>
      <c r="EE370" s="49"/>
      <c r="EF370" s="49"/>
      <c r="EG370" s="49"/>
      <c r="EH370" s="49"/>
      <c r="EI370" s="49"/>
      <c r="EJ370" s="49"/>
      <c r="EK370" s="49"/>
      <c r="EL370" s="49"/>
      <c r="EM370" s="49"/>
      <c r="EN370" s="49"/>
      <c r="EO370" s="49"/>
      <c r="EP370" s="49"/>
      <c r="EQ370" s="49"/>
      <c r="ER370" s="49"/>
      <c r="ES370" s="49"/>
      <c r="ET370" s="49"/>
      <c r="EU370" s="49"/>
      <c r="EV370" s="49"/>
      <c r="EW370" s="49"/>
      <c r="EX370" s="49"/>
      <c r="EY370" s="49"/>
      <c r="EZ370" s="49"/>
      <c r="FA370" s="49"/>
    </row>
    <row r="371" spans="1:157" s="210" customFormat="1" ht="63.75" x14ac:dyDescent="0.25">
      <c r="A371" s="113">
        <f>IF(AND('[1]Cockpit Retorno'!$E$67=Sim,Mestre!M371=Mestre!$M$98),0,1)</f>
        <v>1</v>
      </c>
      <c r="B371" s="113">
        <f>IF(AND('[1]Cockpit Retorno'!$E$67=Sim,Mestre!L371=Mestre!$L$48),0,1)</f>
        <v>1</v>
      </c>
      <c r="C371" s="113">
        <f>IF(AND('[1]Cockpit Retorno'!$E$67=Sim,Mestre!M371=Mestre!$M$97),0,1)</f>
        <v>1</v>
      </c>
      <c r="D371" s="148" t="s">
        <v>7</v>
      </c>
      <c r="E371" s="115"/>
      <c r="F371" s="116" t="s">
        <v>107</v>
      </c>
      <c r="G371" s="149">
        <v>28</v>
      </c>
      <c r="H371" s="150" t="s">
        <v>7</v>
      </c>
      <c r="I371" s="151" t="str">
        <f t="shared" si="86"/>
        <v>Mercadorias</v>
      </c>
      <c r="J371" s="150" t="s">
        <v>15</v>
      </c>
      <c r="K371" s="152" t="s">
        <v>7</v>
      </c>
      <c r="L371" s="153" t="s">
        <v>21</v>
      </c>
      <c r="M371" s="154" t="s">
        <v>437</v>
      </c>
      <c r="N371" s="155" t="s">
        <v>494</v>
      </c>
      <c r="O371" s="155" t="s">
        <v>516</v>
      </c>
      <c r="P371" s="155" t="s">
        <v>43</v>
      </c>
      <c r="Q371" s="155" t="s">
        <v>43</v>
      </c>
      <c r="R371" s="155" t="s">
        <v>43</v>
      </c>
      <c r="S371" s="156" t="s">
        <v>43</v>
      </c>
      <c r="T371" s="156" t="s">
        <v>43</v>
      </c>
      <c r="U371" s="150" t="s">
        <v>43</v>
      </c>
      <c r="V371" s="150" t="s">
        <v>43</v>
      </c>
      <c r="W371" s="150" t="s">
        <v>43</v>
      </c>
      <c r="X371" s="157" t="s">
        <v>537</v>
      </c>
      <c r="Y371" s="150">
        <v>6470</v>
      </c>
      <c r="Z371" s="150"/>
      <c r="AA371" s="158"/>
      <c r="AB371" s="155"/>
      <c r="AC371" s="150"/>
      <c r="AD371" s="155"/>
      <c r="AE371" s="155"/>
      <c r="AF371" s="150"/>
      <c r="AG371" s="159">
        <f>Y371</f>
        <v>6470</v>
      </c>
      <c r="AH371" s="211">
        <v>30.736499999999999</v>
      </c>
      <c r="AI371" s="202">
        <v>0</v>
      </c>
      <c r="AJ371" s="161">
        <v>7.0000000000000007E-2</v>
      </c>
      <c r="AK371" s="162">
        <v>4.2000000000000003E-2</v>
      </c>
      <c r="AL371" s="163"/>
      <c r="AM371" s="164">
        <f>(((IF(L371=$L$101,1,IF(L371=$L$47,1,0))*(AH371*(1-AK371)))*AG371)*(1-AL371))</f>
        <v>0</v>
      </c>
      <c r="AN371" s="165">
        <f>IF(K371=$K$50,AM371,IF(K371=$K$53,AM371,IF(K371=$K$54,AM371,IF(K371=$K$55,AM371,IF(K371=$K$56,AM371,IF(K371=$K$57,AM371,IF(K371=$K$58,AM371,IF(K371=$K$65,AM371,IF(K371=$K$66,AM371,IF(K371=$K$67,AM371,IF(K371=$K$68,AM371,IF(K371=$K$69,AM371,IF(K371=$K$51,AM371,(AM371*(1+AI371)))))))))))))))</f>
        <v>0</v>
      </c>
      <c r="AO371" s="166">
        <v>1.4</v>
      </c>
      <c r="AP371" s="160">
        <f t="shared" si="87"/>
        <v>0</v>
      </c>
      <c r="AQ371" s="167">
        <f t="shared" si="94"/>
        <v>0</v>
      </c>
      <c r="AR371" s="160">
        <f t="shared" si="88"/>
        <v>0</v>
      </c>
      <c r="AS371" s="168">
        <f t="shared" si="89"/>
        <v>0</v>
      </c>
      <c r="AT371" s="169" t="str">
        <f>K371</f>
        <v>MI</v>
      </c>
      <c r="AU371" s="169" t="str">
        <f>I371</f>
        <v>Mercadorias</v>
      </c>
      <c r="AV371" s="170"/>
      <c r="AW371" s="171">
        <f>IF(K371=$K$50,0,IF(K371=$K$53,0,IF(K371=$K$54,0,IF(K371=$K$55,0,IF(K371=$K$56,0,IF(K371=$K$57,0,IF(K371=$K$58,0,IF(K371=$K$65,0,IF(K371=$K$66,0,IF(K371=$K$67,0,IF(K371=$K$68,0,IF(K371=$K$69,0,IF(K371=$K$51,0,1))))))))))))*AM371*AI371)</f>
        <v>0</v>
      </c>
      <c r="AX371" s="172">
        <f>IF(K371=$K$50,0,IF(K371=$K$53,0,IF(K371=$K$54,0,IF(K371=$K$55,0,IF(K371=$K$56,0,IF(K371=$K$57,0,IF(K371=$K$58,0,IF(K371=$K$65,0,IF(K371=$K$66,0,IF(K371=$K$67,0,IF(K371=$K$68,0,IF(K371=$K$69,0,IF(K371=$K$51,0,1))))))))))))*AM371*AJ371*$AX$94)</f>
        <v>0</v>
      </c>
      <c r="AY371" s="172">
        <f>IF(K371=$K$53,0,IF(K371=$K$54,0,IF(K371=$K$55,0,IF(K371=$K$56,0,IF(K371=$K$58,0,IF(K371=$K$50,0,IF(K371=$K$65,0,IF(K371=$K$57,0,IF(K371=$K$51,0,AM371*$AY$102)))))))))</f>
        <v>0</v>
      </c>
      <c r="AZ371" s="172">
        <f>IF(K371=$K$53,0,IF(K371=$K$54,0,IF(K371=$K$55,0,IF(K371=$K$56,0,IF(K371=$K$58,0,IF(K371=$K$50,0,IF(K371=$K$65,0,IF(K371=$K$57,0,IF(K371=$K$51,0,AM371*$AZ$102)))))))))</f>
        <v>0</v>
      </c>
      <c r="BA371" s="172">
        <f t="shared" si="90"/>
        <v>0</v>
      </c>
      <c r="BB371" s="173">
        <f>IF($BA$97=1,AQ371*$BB$102,IF(K371=$K$50,0,IF(K371=$K$53,0,IF(K371=$K$54,0,IF(K371=$K$55,0,IF(K371=$K$56,0,IF(K371=$K$57,0,IF(K371=$K$58,0,IF(K371=$K$65,0,IF(K371=$K$66,0,IF(K371=$K$67,0,IF(K371=$K$68,0,IF(K371=$K$69,0,IF(K371=$K$51,0,1)))))))))))*AQ371*$BB$102)))</f>
        <v>0</v>
      </c>
      <c r="BC371" s="172">
        <f t="shared" si="91"/>
        <v>0</v>
      </c>
      <c r="BD371" s="172">
        <f t="shared" si="92"/>
        <v>0</v>
      </c>
      <c r="BE371" s="172">
        <f>IF($BE$95=I371,$BE$97,IF(I371=$BE$96,$BE$97,1))*($BE$102*AQ371)*$AZ$97</f>
        <v>0</v>
      </c>
      <c r="BF371" s="172">
        <f>IF('[1]Cockpit Retorno'!$C$65=Sim,Mestre!BA371,SUM(BB371:BE371)+(IF(K371=$K$56,AQ371*MOE_IRRF_LR,0)))</f>
        <v>0</v>
      </c>
      <c r="BG371" s="174">
        <f>IF(AA371&gt;0,0,IF(Z371=$Z$82,AG371*1,(IF(Z371=$Z$81,AG371*1,0))))</f>
        <v>0</v>
      </c>
      <c r="BH371" s="174">
        <f>IF(AA371&gt;0,0,IF(Z371=$Z$83,AG371*1,IF(Z371=$Z$81,AG371*1,0)))</f>
        <v>0</v>
      </c>
      <c r="BI371" s="174">
        <f>IF(AA371&gt;0,0,IF(Z371=$Z$84,AG371*1,IF(Z371=$Z$93,AG371*2,IF(Z371=$Z$100,AG371,IF(Z371=$Z$81,AG371*2,IF(Z371=$Z$80,AG371*1,IF(Z371=$Z$79,AG371*3,IF(Z371=$Z$78,AG371*2,0))))))))</f>
        <v>0</v>
      </c>
      <c r="BJ371" s="174">
        <f>IF(AA371&gt;0,0,IF(Z371=$Z$85,AG371,IF(Z371=$Z$93,AG371,IF(Z371=$Z$100,AG371,IF(Z371=$Z$81,AG371*1,IF(Z371=$Z$80,AG371*2,IF(Z371=$Z$79,AG371*2,IF(Z371=$Z$78,AG371*2,0))))))))</f>
        <v>0</v>
      </c>
      <c r="BK371" s="174">
        <f>IF(AA371&gt;0,0,IF(Z371=$Z$92,AG371,0))</f>
        <v>0</v>
      </c>
      <c r="BL371" s="174">
        <f>IF(AA371&gt;0,0,IF(Z371=$Z$91,AG371,0))</f>
        <v>0</v>
      </c>
      <c r="BM371" s="174">
        <f>IF(AA371&gt;0,0,IF(Z371=$Z$86,AG371,0))</f>
        <v>0</v>
      </c>
      <c r="BN371" s="174">
        <f>IF(AA371&gt;0,0,IF(Z371=$Z$87,AG371,0))</f>
        <v>0</v>
      </c>
      <c r="BO371" s="174">
        <f>IF(AA371&gt;0,0,IF(Z371=$Z$88,AG371,0))</f>
        <v>0</v>
      </c>
      <c r="BP371" s="174">
        <f>IF(AA371&gt;0,0,IF(Z371=$Z$89,AG371,0))</f>
        <v>0</v>
      </c>
      <c r="BQ371" s="174">
        <f>IF(AA371&gt;0,0,IF(Z371=$Z$90,AG371,0))</f>
        <v>0</v>
      </c>
      <c r="BR371" s="174">
        <f>IF(Z371=$Z$82,AA371*AG371,0)</f>
        <v>0</v>
      </c>
      <c r="BS371" s="174">
        <f>IF(Z371=$Z$83,AA371*AG371,0)</f>
        <v>0</v>
      </c>
      <c r="BT371" s="174">
        <f>IF(AA371&lt;1,0,IF(Z371=$Z$84,AA371*AG371,IF(Z371=$Z$93,"ERRO",IF(Z371=$Z$100,"ERRO",0))))</f>
        <v>0</v>
      </c>
      <c r="BU371" s="174">
        <f>IF(AA371&lt;1,0,IF(Z371=$Z$85,AA371*AG371,IF(Z371=$Z$93,"ERRO",IF(Z371=$Z$100,"ERRO",0))))</f>
        <v>0</v>
      </c>
      <c r="BV371" s="174">
        <f>IF(Z371=$Z$92,AA371*AG371,0)</f>
        <v>0</v>
      </c>
      <c r="BW371" s="174">
        <f>IF(Z371=$Z$91,AA371*AG371,0)</f>
        <v>0</v>
      </c>
      <c r="BX371" s="174">
        <f>IF(Z371=$Z$86,AA371*AG371,0)</f>
        <v>0</v>
      </c>
      <c r="BY371" s="174">
        <f>IF(Z371=$Z$87,AA371*AG371,0)</f>
        <v>0</v>
      </c>
      <c r="BZ371" s="174">
        <f>IF(Z371=$Z$88,AA371*AG371,0)</f>
        <v>0</v>
      </c>
      <c r="CA371" s="174">
        <f>IF(Z371=$Z$89,AA371*AG371,0)</f>
        <v>0</v>
      </c>
      <c r="CB371" s="174">
        <f>IF(Z371=$Z$90,AA371*AG371,0)</f>
        <v>0</v>
      </c>
      <c r="CC371" s="175">
        <f>IFERROR(IF(L371=$L$49,AG371*AH371*(1+AI371)*(1-AK371)*(1-AL371),0),0)</f>
        <v>190512.81849000001</v>
      </c>
      <c r="CD371" s="203">
        <f>IF(I371=$CD$97,1,IF(I371=$CD$100,2,IF(K371=$K$66,1,IF(K371=$K$69,1,3))))</f>
        <v>1</v>
      </c>
      <c r="CE371" s="203">
        <f t="shared" si="14"/>
        <v>1.07</v>
      </c>
      <c r="CF371" s="204">
        <f t="shared" si="75"/>
        <v>1.2353999999999998</v>
      </c>
      <c r="CG371" s="203">
        <f t="shared" si="15"/>
        <v>1.42</v>
      </c>
      <c r="CH371" s="204">
        <f t="shared" si="76"/>
        <v>1.5478000000000001</v>
      </c>
      <c r="CI371" s="203">
        <f t="shared" si="16"/>
        <v>1.7</v>
      </c>
      <c r="CJ371" s="205">
        <f t="shared" si="77"/>
        <v>1.0486</v>
      </c>
      <c r="CK371" s="205">
        <f t="shared" si="78"/>
        <v>1.148922</v>
      </c>
      <c r="CL371" s="205">
        <f t="shared" si="79"/>
        <v>1.3915999999999999</v>
      </c>
      <c r="CM371" s="205">
        <f t="shared" si="80"/>
        <v>1.501366</v>
      </c>
      <c r="CN371" s="206">
        <f t="shared" si="81"/>
        <v>1.6319999999999999</v>
      </c>
      <c r="CO371" s="204">
        <f t="shared" si="82"/>
        <v>1.006656</v>
      </c>
      <c r="CP371" s="207">
        <f t="shared" si="83"/>
        <v>0</v>
      </c>
      <c r="CQ371" s="208">
        <f t="shared" si="84"/>
        <v>0</v>
      </c>
      <c r="CR371" s="209">
        <f t="shared" si="93"/>
        <v>0</v>
      </c>
      <c r="CS371" s="49"/>
      <c r="CT371" s="49"/>
      <c r="CU371" s="49"/>
      <c r="CV371" s="49"/>
      <c r="CW371" s="49"/>
      <c r="CX371" s="49"/>
      <c r="CY371" s="49"/>
      <c r="CZ371" s="49"/>
      <c r="DA371" s="49"/>
      <c r="DB371" s="49"/>
      <c r="DC371" s="49"/>
      <c r="DD371" s="49"/>
      <c r="DE371" s="49"/>
      <c r="DF371" s="49"/>
      <c r="DG371" s="49"/>
      <c r="DH371" s="49"/>
      <c r="DI371" s="49"/>
      <c r="DJ371" s="49"/>
      <c r="DK371" s="49"/>
      <c r="DL371" s="49"/>
      <c r="DM371" s="49"/>
      <c r="DN371" s="49"/>
      <c r="DO371" s="49"/>
      <c r="DP371" s="49"/>
      <c r="DQ371" s="49"/>
      <c r="DR371" s="49"/>
      <c r="DS371" s="49"/>
      <c r="DT371" s="49"/>
      <c r="DU371" s="49"/>
      <c r="DV371" s="49"/>
      <c r="DW371" s="49"/>
      <c r="DX371" s="49"/>
      <c r="DY371" s="49"/>
      <c r="DZ371" s="49"/>
      <c r="EA371" s="49"/>
      <c r="EB371" s="49"/>
      <c r="EC371" s="49"/>
      <c r="ED371" s="49"/>
      <c r="EE371" s="49"/>
      <c r="EF371" s="49"/>
      <c r="EG371" s="49"/>
      <c r="EH371" s="49"/>
      <c r="EI371" s="49"/>
      <c r="EJ371" s="49"/>
      <c r="EK371" s="49"/>
      <c r="EL371" s="49"/>
      <c r="EM371" s="49"/>
      <c r="EN371" s="49"/>
      <c r="EO371" s="49"/>
      <c r="EP371" s="49"/>
      <c r="EQ371" s="49"/>
      <c r="ER371" s="49"/>
      <c r="ES371" s="49"/>
      <c r="ET371" s="49"/>
      <c r="EU371" s="49"/>
      <c r="EV371" s="49"/>
      <c r="EW371" s="49"/>
      <c r="EX371" s="49"/>
      <c r="EY371" s="49"/>
      <c r="EZ371" s="49"/>
      <c r="FA371" s="49"/>
    </row>
    <row r="372" spans="1:157" s="210" customFormat="1" ht="63.75" x14ac:dyDescent="0.25">
      <c r="A372" s="113">
        <f>IF(AND('[1]Cockpit Retorno'!$E$67=Sim,Mestre!M372=Mestre!$M$98),0,1)</f>
        <v>1</v>
      </c>
      <c r="B372" s="113">
        <f>IF(AND('[1]Cockpit Retorno'!$E$67=Sim,Mestre!L372=Mestre!$L$48),0,1)</f>
        <v>1</v>
      </c>
      <c r="C372" s="113">
        <f>IF(AND('[1]Cockpit Retorno'!$E$67=Sim,Mestre!M372=Mestre!$M$97),0,1)</f>
        <v>1</v>
      </c>
      <c r="D372" s="148" t="s">
        <v>7</v>
      </c>
      <c r="E372" s="115"/>
      <c r="F372" s="116" t="s">
        <v>107</v>
      </c>
      <c r="G372" s="149">
        <v>28</v>
      </c>
      <c r="H372" s="150" t="s">
        <v>7</v>
      </c>
      <c r="I372" s="151" t="str">
        <f t="shared" si="86"/>
        <v>Mercadorias</v>
      </c>
      <c r="J372" s="150" t="s">
        <v>15</v>
      </c>
      <c r="K372" s="152" t="s">
        <v>7</v>
      </c>
      <c r="L372" s="153" t="s">
        <v>21</v>
      </c>
      <c r="M372" s="154" t="s">
        <v>437</v>
      </c>
      <c r="N372" s="155" t="s">
        <v>494</v>
      </c>
      <c r="O372" s="155" t="s">
        <v>516</v>
      </c>
      <c r="P372" s="155" t="s">
        <v>43</v>
      </c>
      <c r="Q372" s="155" t="s">
        <v>43</v>
      </c>
      <c r="R372" s="155" t="s">
        <v>43</v>
      </c>
      <c r="S372" s="156" t="s">
        <v>43</v>
      </c>
      <c r="T372" s="156" t="s">
        <v>43</v>
      </c>
      <c r="U372" s="150" t="s">
        <v>43</v>
      </c>
      <c r="V372" s="150" t="s">
        <v>43</v>
      </c>
      <c r="W372" s="150" t="s">
        <v>43</v>
      </c>
      <c r="X372" s="157" t="s">
        <v>538</v>
      </c>
      <c r="Y372" s="150">
        <v>4365</v>
      </c>
      <c r="Z372" s="150"/>
      <c r="AA372" s="158"/>
      <c r="AB372" s="155"/>
      <c r="AC372" s="150"/>
      <c r="AD372" s="155"/>
      <c r="AE372" s="155"/>
      <c r="AF372" s="150"/>
      <c r="AG372" s="159">
        <f>Y372</f>
        <v>4365</v>
      </c>
      <c r="AH372" s="211">
        <v>18.488399999999999</v>
      </c>
      <c r="AI372" s="202">
        <v>0</v>
      </c>
      <c r="AJ372" s="161">
        <v>7.0000000000000007E-2</v>
      </c>
      <c r="AK372" s="162">
        <v>4.2000000000000003E-2</v>
      </c>
      <c r="AL372" s="163"/>
      <c r="AM372" s="164">
        <f>(((IF(L372=$L$101,1,IF(L372=$L$47,1,0))*(AH372*(1-AK372)))*AG372)*(1-AL372))</f>
        <v>0</v>
      </c>
      <c r="AN372" s="165">
        <f>IF(K372=$K$50,AM372,IF(K372=$K$53,AM372,IF(K372=$K$54,AM372,IF(K372=$K$55,AM372,IF(K372=$K$56,AM372,IF(K372=$K$57,AM372,IF(K372=$K$58,AM372,IF(K372=$K$65,AM372,IF(K372=$K$66,AM372,IF(K372=$K$67,AM372,IF(K372=$K$68,AM372,IF(K372=$K$69,AM372,IF(K372=$K$51,AM372,(AM372*(1+AI372)))))))))))))))</f>
        <v>0</v>
      </c>
      <c r="AO372" s="166">
        <v>1.4</v>
      </c>
      <c r="AP372" s="160">
        <f t="shared" si="87"/>
        <v>0</v>
      </c>
      <c r="AQ372" s="167">
        <f t="shared" si="94"/>
        <v>0</v>
      </c>
      <c r="AR372" s="160">
        <f t="shared" si="88"/>
        <v>0</v>
      </c>
      <c r="AS372" s="168">
        <f t="shared" si="89"/>
        <v>0</v>
      </c>
      <c r="AT372" s="169" t="str">
        <f>K372</f>
        <v>MI</v>
      </c>
      <c r="AU372" s="169" t="str">
        <f>I372</f>
        <v>Mercadorias</v>
      </c>
      <c r="AV372" s="170"/>
      <c r="AW372" s="171">
        <f>IF(K372=$K$50,0,IF(K372=$K$53,0,IF(K372=$K$54,0,IF(K372=$K$55,0,IF(K372=$K$56,0,IF(K372=$K$57,0,IF(K372=$K$58,0,IF(K372=$K$65,0,IF(K372=$K$66,0,IF(K372=$K$67,0,IF(K372=$K$68,0,IF(K372=$K$69,0,IF(K372=$K$51,0,1))))))))))))*AM372*AI372)</f>
        <v>0</v>
      </c>
      <c r="AX372" s="172">
        <f>IF(K372=$K$50,0,IF(K372=$K$53,0,IF(K372=$K$54,0,IF(K372=$K$55,0,IF(K372=$K$56,0,IF(K372=$K$57,0,IF(K372=$K$58,0,IF(K372=$K$65,0,IF(K372=$K$66,0,IF(K372=$K$67,0,IF(K372=$K$68,0,IF(K372=$K$69,0,IF(K372=$K$51,0,1))))))))))))*AM372*AJ372*$AX$94)</f>
        <v>0</v>
      </c>
      <c r="AY372" s="172">
        <f>IF(K372=$K$53,0,IF(K372=$K$54,0,IF(K372=$K$55,0,IF(K372=$K$56,0,IF(K372=$K$58,0,IF(K372=$K$50,0,IF(K372=$K$65,0,IF(K372=$K$57,0,IF(K372=$K$51,0,AM372*$AY$102)))))))))</f>
        <v>0</v>
      </c>
      <c r="AZ372" s="172">
        <f>IF(K372=$K$53,0,IF(K372=$K$54,0,IF(K372=$K$55,0,IF(K372=$K$56,0,IF(K372=$K$58,0,IF(K372=$K$50,0,IF(K372=$K$65,0,IF(K372=$K$57,0,IF(K372=$K$51,0,AM372*$AZ$102)))))))))</f>
        <v>0</v>
      </c>
      <c r="BA372" s="172">
        <f t="shared" si="90"/>
        <v>0</v>
      </c>
      <c r="BB372" s="173">
        <f>IF($BA$97=1,AQ372*$BB$102,IF(K372=$K$50,0,IF(K372=$K$53,0,IF(K372=$K$54,0,IF(K372=$K$55,0,IF(K372=$K$56,0,IF(K372=$K$57,0,IF(K372=$K$58,0,IF(K372=$K$65,0,IF(K372=$K$66,0,IF(K372=$K$67,0,IF(K372=$K$68,0,IF(K372=$K$69,0,IF(K372=$K$51,0,1)))))))))))*AQ372*$BB$102)))</f>
        <v>0</v>
      </c>
      <c r="BC372" s="172">
        <f t="shared" si="91"/>
        <v>0</v>
      </c>
      <c r="BD372" s="172">
        <f t="shared" si="92"/>
        <v>0</v>
      </c>
      <c r="BE372" s="172">
        <f>IF($BE$95=I372,$BE$97,IF(I372=$BE$96,$BE$97,1))*($BE$102*AQ372)*$AZ$97</f>
        <v>0</v>
      </c>
      <c r="BF372" s="172">
        <f>IF('[1]Cockpit Retorno'!$C$65=Sim,Mestre!BA372,SUM(BB372:BE372)+(IF(K372=$K$56,AQ372*MOE_IRRF_LR,0)))</f>
        <v>0</v>
      </c>
      <c r="BG372" s="174">
        <f>IF(AA372&gt;0,0,IF(Z372=$Z$82,AG372*1,(IF(Z372=$Z$81,AG372*1,0))))</f>
        <v>0</v>
      </c>
      <c r="BH372" s="174">
        <f>IF(AA372&gt;0,0,IF(Z372=$Z$83,AG372*1,IF(Z372=$Z$81,AG372*1,0)))</f>
        <v>0</v>
      </c>
      <c r="BI372" s="174">
        <f>IF(AA372&gt;0,0,IF(Z372=$Z$84,AG372*1,IF(Z372=$Z$93,AG372*2,IF(Z372=$Z$100,AG372,IF(Z372=$Z$81,AG372*2,IF(Z372=$Z$80,AG372*1,IF(Z372=$Z$79,AG372*3,IF(Z372=$Z$78,AG372*2,0))))))))</f>
        <v>0</v>
      </c>
      <c r="BJ372" s="174">
        <f>IF(AA372&gt;0,0,IF(Z372=$Z$85,AG372,IF(Z372=$Z$93,AG372,IF(Z372=$Z$100,AG372,IF(Z372=$Z$81,AG372*1,IF(Z372=$Z$80,AG372*2,IF(Z372=$Z$79,AG372*2,IF(Z372=$Z$78,AG372*2,0))))))))</f>
        <v>0</v>
      </c>
      <c r="BK372" s="174">
        <f>IF(AA372&gt;0,0,IF(Z372=$Z$92,AG372,0))</f>
        <v>0</v>
      </c>
      <c r="BL372" s="174">
        <f>IF(AA372&gt;0,0,IF(Z372=$Z$91,AG372,0))</f>
        <v>0</v>
      </c>
      <c r="BM372" s="174">
        <f>IF(AA372&gt;0,0,IF(Z372=$Z$86,AG372,0))</f>
        <v>0</v>
      </c>
      <c r="BN372" s="174">
        <f>IF(AA372&gt;0,0,IF(Z372=$Z$87,AG372,0))</f>
        <v>0</v>
      </c>
      <c r="BO372" s="174">
        <f>IF(AA372&gt;0,0,IF(Z372=$Z$88,AG372,0))</f>
        <v>0</v>
      </c>
      <c r="BP372" s="174">
        <f>IF(AA372&gt;0,0,IF(Z372=$Z$89,AG372,0))</f>
        <v>0</v>
      </c>
      <c r="BQ372" s="174">
        <f>IF(AA372&gt;0,0,IF(Z372=$Z$90,AG372,0))</f>
        <v>0</v>
      </c>
      <c r="BR372" s="174">
        <f>IF(Z372=$Z$82,AA372*AG372,0)</f>
        <v>0</v>
      </c>
      <c r="BS372" s="174">
        <f>IF(Z372=$Z$83,AA372*AG372,0)</f>
        <v>0</v>
      </c>
      <c r="BT372" s="174">
        <f>IF(AA372&lt;1,0,IF(Z372=$Z$84,AA372*AG372,IF(Z372=$Z$93,"ERRO",IF(Z372=$Z$100,"ERRO",0))))</f>
        <v>0</v>
      </c>
      <c r="BU372" s="174">
        <f>IF(AA372&lt;1,0,IF(Z372=$Z$85,AA372*AG372,IF(Z372=$Z$93,"ERRO",IF(Z372=$Z$100,"ERRO",0))))</f>
        <v>0</v>
      </c>
      <c r="BV372" s="174">
        <f>IF(Z372=$Z$92,AA372*AG372,0)</f>
        <v>0</v>
      </c>
      <c r="BW372" s="174">
        <f>IF(Z372=$Z$91,AA372*AG372,0)</f>
        <v>0</v>
      </c>
      <c r="BX372" s="174">
        <f>IF(Z372=$Z$86,AA372*AG372,0)</f>
        <v>0</v>
      </c>
      <c r="BY372" s="174">
        <f>IF(Z372=$Z$87,AA372*AG372,0)</f>
        <v>0</v>
      </c>
      <c r="BZ372" s="174">
        <f>IF(Z372=$Z$88,AA372*AG372,0)</f>
        <v>0</v>
      </c>
      <c r="CA372" s="174">
        <f>IF(Z372=$Z$89,AA372*AG372,0)</f>
        <v>0</v>
      </c>
      <c r="CB372" s="174">
        <f>IF(Z372=$Z$90,AA372*AG372,0)</f>
        <v>0</v>
      </c>
      <c r="CC372" s="175">
        <f>IFERROR(IF(L372=$L$49,AG372*AH372*(1+AI372)*(1-AK372)*(1-AL372),0),0)</f>
        <v>77312.387627999997</v>
      </c>
      <c r="CD372" s="203">
        <f>IF(I372=$CD$97,1,IF(I372=$CD$100,2,IF(K372=$K$66,1,IF(K372=$K$69,1,3))))</f>
        <v>1</v>
      </c>
      <c r="CE372" s="203">
        <f t="shared" si="14"/>
        <v>1.07</v>
      </c>
      <c r="CF372" s="204">
        <f t="shared" si="75"/>
        <v>1.2353999999999998</v>
      </c>
      <c r="CG372" s="203">
        <f t="shared" si="15"/>
        <v>1.42</v>
      </c>
      <c r="CH372" s="204">
        <f t="shared" si="76"/>
        <v>1.5478000000000001</v>
      </c>
      <c r="CI372" s="203">
        <f t="shared" si="16"/>
        <v>1.7</v>
      </c>
      <c r="CJ372" s="205">
        <f t="shared" si="77"/>
        <v>1.0486</v>
      </c>
      <c r="CK372" s="205">
        <f t="shared" si="78"/>
        <v>1.148922</v>
      </c>
      <c r="CL372" s="205">
        <f t="shared" si="79"/>
        <v>1.3915999999999999</v>
      </c>
      <c r="CM372" s="205">
        <f t="shared" si="80"/>
        <v>1.501366</v>
      </c>
      <c r="CN372" s="206">
        <f t="shared" si="81"/>
        <v>1.6319999999999999</v>
      </c>
      <c r="CO372" s="204">
        <f t="shared" si="82"/>
        <v>1.006656</v>
      </c>
      <c r="CP372" s="207">
        <f t="shared" si="83"/>
        <v>0</v>
      </c>
      <c r="CQ372" s="208">
        <f t="shared" si="84"/>
        <v>0</v>
      </c>
      <c r="CR372" s="209">
        <f t="shared" si="93"/>
        <v>0</v>
      </c>
      <c r="CS372" s="49"/>
      <c r="CT372" s="49"/>
      <c r="CU372" s="49"/>
      <c r="CV372" s="49"/>
      <c r="CW372" s="49"/>
      <c r="CX372" s="49"/>
      <c r="CY372" s="49"/>
      <c r="CZ372" s="49"/>
      <c r="DA372" s="49"/>
      <c r="DB372" s="49"/>
      <c r="DC372" s="49"/>
      <c r="DD372" s="49"/>
      <c r="DE372" s="49"/>
      <c r="DF372" s="49"/>
      <c r="DG372" s="49"/>
      <c r="DH372" s="49"/>
      <c r="DI372" s="49"/>
      <c r="DJ372" s="49"/>
      <c r="DK372" s="49"/>
      <c r="DL372" s="49"/>
      <c r="DM372" s="49"/>
      <c r="DN372" s="49"/>
      <c r="DO372" s="49"/>
      <c r="DP372" s="49"/>
      <c r="DQ372" s="49"/>
      <c r="DR372" s="49"/>
      <c r="DS372" s="49"/>
      <c r="DT372" s="49"/>
      <c r="DU372" s="49"/>
      <c r="DV372" s="49"/>
      <c r="DW372" s="49"/>
      <c r="DX372" s="49"/>
      <c r="DY372" s="49"/>
      <c r="DZ372" s="49"/>
      <c r="EA372" s="49"/>
      <c r="EB372" s="49"/>
      <c r="EC372" s="49"/>
      <c r="ED372" s="49"/>
      <c r="EE372" s="49"/>
      <c r="EF372" s="49"/>
      <c r="EG372" s="49"/>
      <c r="EH372" s="49"/>
      <c r="EI372" s="49"/>
      <c r="EJ372" s="49"/>
      <c r="EK372" s="49"/>
      <c r="EL372" s="49"/>
      <c r="EM372" s="49"/>
      <c r="EN372" s="49"/>
      <c r="EO372" s="49"/>
      <c r="EP372" s="49"/>
      <c r="EQ372" s="49"/>
      <c r="ER372" s="49"/>
      <c r="ES372" s="49"/>
      <c r="ET372" s="49"/>
      <c r="EU372" s="49"/>
      <c r="EV372" s="49"/>
      <c r="EW372" s="49"/>
      <c r="EX372" s="49"/>
      <c r="EY372" s="49"/>
      <c r="EZ372" s="49"/>
      <c r="FA372" s="49"/>
    </row>
    <row r="373" spans="1:157" s="210" customFormat="1" ht="63.75" x14ac:dyDescent="0.25">
      <c r="A373" s="113">
        <f>IF(AND('[1]Cockpit Retorno'!$E$67=Sim,Mestre!M373=Mestre!$M$98),0,1)</f>
        <v>1</v>
      </c>
      <c r="B373" s="113">
        <f>IF(AND('[1]Cockpit Retorno'!$E$67=Sim,Mestre!L373=Mestre!$L$48),0,1)</f>
        <v>1</v>
      </c>
      <c r="C373" s="113">
        <f>IF(AND('[1]Cockpit Retorno'!$E$67=Sim,Mestre!M373=Mestre!$M$97),0,1)</f>
        <v>1</v>
      </c>
      <c r="D373" s="148" t="s">
        <v>7</v>
      </c>
      <c r="E373" s="115"/>
      <c r="F373" s="116" t="s">
        <v>107</v>
      </c>
      <c r="G373" s="149">
        <v>28</v>
      </c>
      <c r="H373" s="150" t="s">
        <v>7</v>
      </c>
      <c r="I373" s="151" t="str">
        <f t="shared" si="86"/>
        <v>Mercadorias</v>
      </c>
      <c r="J373" s="150" t="s">
        <v>15</v>
      </c>
      <c r="K373" s="152" t="s">
        <v>7</v>
      </c>
      <c r="L373" s="153" t="s">
        <v>21</v>
      </c>
      <c r="M373" s="154" t="s">
        <v>437</v>
      </c>
      <c r="N373" s="155" t="s">
        <v>494</v>
      </c>
      <c r="O373" s="155" t="s">
        <v>516</v>
      </c>
      <c r="P373" s="155" t="s">
        <v>43</v>
      </c>
      <c r="Q373" s="155" t="s">
        <v>43</v>
      </c>
      <c r="R373" s="155" t="s">
        <v>43</v>
      </c>
      <c r="S373" s="156" t="s">
        <v>43</v>
      </c>
      <c r="T373" s="156" t="s">
        <v>43</v>
      </c>
      <c r="U373" s="150" t="s">
        <v>43</v>
      </c>
      <c r="V373" s="150" t="s">
        <v>43</v>
      </c>
      <c r="W373" s="150" t="s">
        <v>43</v>
      </c>
      <c r="X373" s="157" t="s">
        <v>539</v>
      </c>
      <c r="Y373" s="150">
        <v>2160</v>
      </c>
      <c r="Z373" s="150"/>
      <c r="AA373" s="158"/>
      <c r="AB373" s="155"/>
      <c r="AC373" s="150"/>
      <c r="AD373" s="155"/>
      <c r="AE373" s="155"/>
      <c r="AF373" s="150"/>
      <c r="AG373" s="159">
        <f>Y373</f>
        <v>2160</v>
      </c>
      <c r="AH373" s="211">
        <v>13.010700000000002</v>
      </c>
      <c r="AI373" s="202">
        <v>0</v>
      </c>
      <c r="AJ373" s="161">
        <v>7.0000000000000007E-2</v>
      </c>
      <c r="AK373" s="162">
        <v>4.2000000000000003E-2</v>
      </c>
      <c r="AL373" s="163"/>
      <c r="AM373" s="164">
        <f>(((IF(L373=$L$101,1,IF(L373=$L$47,1,0))*(AH373*(1-AK373)))*AG373)*(1-AL373))</f>
        <v>0</v>
      </c>
      <c r="AN373" s="165">
        <f>IF(K373=$K$50,AM373,IF(K373=$K$53,AM373,IF(K373=$K$54,AM373,IF(K373=$K$55,AM373,IF(K373=$K$56,AM373,IF(K373=$K$57,AM373,IF(K373=$K$58,AM373,IF(K373=$K$65,AM373,IF(K373=$K$66,AM373,IF(K373=$K$67,AM373,IF(K373=$K$68,AM373,IF(K373=$K$69,AM373,IF(K373=$K$51,AM373,(AM373*(1+AI373)))))))))))))))</f>
        <v>0</v>
      </c>
      <c r="AO373" s="166">
        <v>1.4</v>
      </c>
      <c r="AP373" s="160">
        <f t="shared" si="87"/>
        <v>0</v>
      </c>
      <c r="AQ373" s="167">
        <f t="shared" si="94"/>
        <v>0</v>
      </c>
      <c r="AR373" s="160">
        <f t="shared" si="88"/>
        <v>0</v>
      </c>
      <c r="AS373" s="168">
        <f t="shared" si="89"/>
        <v>0</v>
      </c>
      <c r="AT373" s="169" t="str">
        <f>K373</f>
        <v>MI</v>
      </c>
      <c r="AU373" s="169" t="str">
        <f>I373</f>
        <v>Mercadorias</v>
      </c>
      <c r="AV373" s="170"/>
      <c r="AW373" s="171">
        <f>IF(K373=$K$50,0,IF(K373=$K$53,0,IF(K373=$K$54,0,IF(K373=$K$55,0,IF(K373=$K$56,0,IF(K373=$K$57,0,IF(K373=$K$58,0,IF(K373=$K$65,0,IF(K373=$K$66,0,IF(K373=$K$67,0,IF(K373=$K$68,0,IF(K373=$K$69,0,IF(K373=$K$51,0,1))))))))))))*AM373*AI373)</f>
        <v>0</v>
      </c>
      <c r="AX373" s="172">
        <f>IF(K373=$K$50,0,IF(K373=$K$53,0,IF(K373=$K$54,0,IF(K373=$K$55,0,IF(K373=$K$56,0,IF(K373=$K$57,0,IF(K373=$K$58,0,IF(K373=$K$65,0,IF(K373=$K$66,0,IF(K373=$K$67,0,IF(K373=$K$68,0,IF(K373=$K$69,0,IF(K373=$K$51,0,1))))))))))))*AM373*AJ373*$AX$94)</f>
        <v>0</v>
      </c>
      <c r="AY373" s="172">
        <f>IF(K373=$K$53,0,IF(K373=$K$54,0,IF(K373=$K$55,0,IF(K373=$K$56,0,IF(K373=$K$58,0,IF(K373=$K$50,0,IF(K373=$K$65,0,IF(K373=$K$57,0,IF(K373=$K$51,0,AM373*$AY$102)))))))))</f>
        <v>0</v>
      </c>
      <c r="AZ373" s="172">
        <f>IF(K373=$K$53,0,IF(K373=$K$54,0,IF(K373=$K$55,0,IF(K373=$K$56,0,IF(K373=$K$58,0,IF(K373=$K$50,0,IF(K373=$K$65,0,IF(K373=$K$57,0,IF(K373=$K$51,0,AM373*$AZ$102)))))))))</f>
        <v>0</v>
      </c>
      <c r="BA373" s="172">
        <f t="shared" si="90"/>
        <v>0</v>
      </c>
      <c r="BB373" s="173">
        <f>IF($BA$97=1,AQ373*$BB$102,IF(K373=$K$50,0,IF(K373=$K$53,0,IF(K373=$K$54,0,IF(K373=$K$55,0,IF(K373=$K$56,0,IF(K373=$K$57,0,IF(K373=$K$58,0,IF(K373=$K$65,0,IF(K373=$K$66,0,IF(K373=$K$67,0,IF(K373=$K$68,0,IF(K373=$K$69,0,IF(K373=$K$51,0,1)))))))))))*AQ373*$BB$102)))</f>
        <v>0</v>
      </c>
      <c r="BC373" s="172">
        <f t="shared" si="91"/>
        <v>0</v>
      </c>
      <c r="BD373" s="172">
        <f t="shared" si="92"/>
        <v>0</v>
      </c>
      <c r="BE373" s="172">
        <f>IF($BE$95=I373,$BE$97,IF(I373=$BE$96,$BE$97,1))*($BE$102*AQ373)*$AZ$97</f>
        <v>0</v>
      </c>
      <c r="BF373" s="172">
        <f>IF('[1]Cockpit Retorno'!$C$65=Sim,Mestre!BA373,SUM(BB373:BE373)+(IF(K373=$K$56,AQ373*MOE_IRRF_LR,0)))</f>
        <v>0</v>
      </c>
      <c r="BG373" s="174">
        <f>IF(AA373&gt;0,0,IF(Z373=$Z$82,AG373*1,(IF(Z373=$Z$81,AG373*1,0))))</f>
        <v>0</v>
      </c>
      <c r="BH373" s="174">
        <f>IF(AA373&gt;0,0,IF(Z373=$Z$83,AG373*1,IF(Z373=$Z$81,AG373*1,0)))</f>
        <v>0</v>
      </c>
      <c r="BI373" s="174">
        <f>IF(AA373&gt;0,0,IF(Z373=$Z$84,AG373*1,IF(Z373=$Z$93,AG373*2,IF(Z373=$Z$100,AG373,IF(Z373=$Z$81,AG373*2,IF(Z373=$Z$80,AG373*1,IF(Z373=$Z$79,AG373*3,IF(Z373=$Z$78,AG373*2,0))))))))</f>
        <v>0</v>
      </c>
      <c r="BJ373" s="174">
        <f>IF(AA373&gt;0,0,IF(Z373=$Z$85,AG373,IF(Z373=$Z$93,AG373,IF(Z373=$Z$100,AG373,IF(Z373=$Z$81,AG373*1,IF(Z373=$Z$80,AG373*2,IF(Z373=$Z$79,AG373*2,IF(Z373=$Z$78,AG373*2,0))))))))</f>
        <v>0</v>
      </c>
      <c r="BK373" s="174">
        <f>IF(AA373&gt;0,0,IF(Z373=$Z$92,AG373,0))</f>
        <v>0</v>
      </c>
      <c r="BL373" s="174">
        <f>IF(AA373&gt;0,0,IF(Z373=$Z$91,AG373,0))</f>
        <v>0</v>
      </c>
      <c r="BM373" s="174">
        <f>IF(AA373&gt;0,0,IF(Z373=$Z$86,AG373,0))</f>
        <v>0</v>
      </c>
      <c r="BN373" s="174">
        <f>IF(AA373&gt;0,0,IF(Z373=$Z$87,AG373,0))</f>
        <v>0</v>
      </c>
      <c r="BO373" s="174">
        <f>IF(AA373&gt;0,0,IF(Z373=$Z$88,AG373,0))</f>
        <v>0</v>
      </c>
      <c r="BP373" s="174">
        <f>IF(AA373&gt;0,0,IF(Z373=$Z$89,AG373,0))</f>
        <v>0</v>
      </c>
      <c r="BQ373" s="174">
        <f>IF(AA373&gt;0,0,IF(Z373=$Z$90,AG373,0))</f>
        <v>0</v>
      </c>
      <c r="BR373" s="174">
        <f>IF(Z373=$Z$82,AA373*AG373,0)</f>
        <v>0</v>
      </c>
      <c r="BS373" s="174">
        <f>IF(Z373=$Z$83,AA373*AG373,0)</f>
        <v>0</v>
      </c>
      <c r="BT373" s="174">
        <f>IF(AA373&lt;1,0,IF(Z373=$Z$84,AA373*AG373,IF(Z373=$Z$93,"ERRO",IF(Z373=$Z$100,"ERRO",0))))</f>
        <v>0</v>
      </c>
      <c r="BU373" s="174">
        <f>IF(AA373&lt;1,0,IF(Z373=$Z$85,AA373*AG373,IF(Z373=$Z$93,"ERRO",IF(Z373=$Z$100,"ERRO",0))))</f>
        <v>0</v>
      </c>
      <c r="BV373" s="174">
        <f>IF(Z373=$Z$92,AA373*AG373,0)</f>
        <v>0</v>
      </c>
      <c r="BW373" s="174">
        <f>IF(Z373=$Z$91,AA373*AG373,0)</f>
        <v>0</v>
      </c>
      <c r="BX373" s="174">
        <f>IF(Z373=$Z$86,AA373*AG373,0)</f>
        <v>0</v>
      </c>
      <c r="BY373" s="174">
        <f>IF(Z373=$Z$87,AA373*AG373,0)</f>
        <v>0</v>
      </c>
      <c r="BZ373" s="174">
        <f>IF(Z373=$Z$88,AA373*AG373,0)</f>
        <v>0</v>
      </c>
      <c r="CA373" s="174">
        <f>IF(Z373=$Z$89,AA373*AG373,0)</f>
        <v>0</v>
      </c>
      <c r="CB373" s="174">
        <f>IF(Z373=$Z$90,AA373*AG373,0)</f>
        <v>0</v>
      </c>
      <c r="CC373" s="175">
        <f>IFERROR(IF(L373=$L$49,AG373*AH373*(1+AI373)*(1-AK373)*(1-AL373),0),0)</f>
        <v>26922.781296000005</v>
      </c>
      <c r="CD373" s="203">
        <f>IF(I373=$CD$97,1,IF(I373=$CD$100,2,IF(K373=$K$66,1,IF(K373=$K$69,1,3))))</f>
        <v>1</v>
      </c>
      <c r="CE373" s="203">
        <f t="shared" si="14"/>
        <v>1.07</v>
      </c>
      <c r="CF373" s="204">
        <f t="shared" si="75"/>
        <v>1.2353999999999998</v>
      </c>
      <c r="CG373" s="203">
        <f t="shared" si="15"/>
        <v>1.42</v>
      </c>
      <c r="CH373" s="204">
        <f t="shared" si="76"/>
        <v>1.5478000000000001</v>
      </c>
      <c r="CI373" s="203">
        <f t="shared" si="16"/>
        <v>1.7</v>
      </c>
      <c r="CJ373" s="205">
        <f t="shared" si="77"/>
        <v>1.0486</v>
      </c>
      <c r="CK373" s="205">
        <f t="shared" si="78"/>
        <v>1.148922</v>
      </c>
      <c r="CL373" s="205">
        <f t="shared" si="79"/>
        <v>1.3915999999999999</v>
      </c>
      <c r="CM373" s="205">
        <f t="shared" si="80"/>
        <v>1.501366</v>
      </c>
      <c r="CN373" s="206">
        <f t="shared" si="81"/>
        <v>1.6319999999999999</v>
      </c>
      <c r="CO373" s="204">
        <f t="shared" si="82"/>
        <v>1.006656</v>
      </c>
      <c r="CP373" s="207">
        <f t="shared" si="83"/>
        <v>0</v>
      </c>
      <c r="CQ373" s="208">
        <f t="shared" si="84"/>
        <v>0</v>
      </c>
      <c r="CR373" s="209">
        <f t="shared" si="93"/>
        <v>0</v>
      </c>
      <c r="CS373" s="49"/>
      <c r="CT373" s="49"/>
      <c r="CU373" s="49"/>
      <c r="CV373" s="49"/>
      <c r="CW373" s="49"/>
      <c r="CX373" s="49"/>
      <c r="CY373" s="49"/>
      <c r="CZ373" s="49"/>
      <c r="DA373" s="49"/>
      <c r="DB373" s="49"/>
      <c r="DC373" s="49"/>
      <c r="DD373" s="49"/>
      <c r="DE373" s="49"/>
      <c r="DF373" s="49"/>
      <c r="DG373" s="49"/>
      <c r="DH373" s="49"/>
      <c r="DI373" s="49"/>
      <c r="DJ373" s="49"/>
      <c r="DK373" s="49"/>
      <c r="DL373" s="49"/>
      <c r="DM373" s="49"/>
      <c r="DN373" s="49"/>
      <c r="DO373" s="49"/>
      <c r="DP373" s="49"/>
      <c r="DQ373" s="49"/>
      <c r="DR373" s="49"/>
      <c r="DS373" s="49"/>
      <c r="DT373" s="49"/>
      <c r="DU373" s="49"/>
      <c r="DV373" s="49"/>
      <c r="DW373" s="49"/>
      <c r="DX373" s="49"/>
      <c r="DY373" s="49"/>
      <c r="DZ373" s="49"/>
      <c r="EA373" s="49"/>
      <c r="EB373" s="49"/>
      <c r="EC373" s="49"/>
      <c r="ED373" s="49"/>
      <c r="EE373" s="49"/>
      <c r="EF373" s="49"/>
      <c r="EG373" s="49"/>
      <c r="EH373" s="49"/>
      <c r="EI373" s="49"/>
      <c r="EJ373" s="49"/>
      <c r="EK373" s="49"/>
      <c r="EL373" s="49"/>
      <c r="EM373" s="49"/>
      <c r="EN373" s="49"/>
      <c r="EO373" s="49"/>
      <c r="EP373" s="49"/>
      <c r="EQ373" s="49"/>
      <c r="ER373" s="49"/>
      <c r="ES373" s="49"/>
      <c r="ET373" s="49"/>
      <c r="EU373" s="49"/>
      <c r="EV373" s="49"/>
      <c r="EW373" s="49"/>
      <c r="EX373" s="49"/>
      <c r="EY373" s="49"/>
      <c r="EZ373" s="49"/>
      <c r="FA373" s="49"/>
    </row>
    <row r="374" spans="1:157" s="210" customFormat="1" ht="63.75" x14ac:dyDescent="0.25">
      <c r="A374" s="113">
        <f>IF(AND('[1]Cockpit Retorno'!$E$67=Sim,Mestre!M374=Mestre!$M$98),0,1)</f>
        <v>1</v>
      </c>
      <c r="B374" s="113">
        <f>IF(AND('[1]Cockpit Retorno'!$E$67=Sim,Mestre!L374=Mestre!$L$48),0,1)</f>
        <v>1</v>
      </c>
      <c r="C374" s="113">
        <f>IF(AND('[1]Cockpit Retorno'!$E$67=Sim,Mestre!M374=Mestre!$M$97),0,1)</f>
        <v>1</v>
      </c>
      <c r="D374" s="148" t="s">
        <v>7</v>
      </c>
      <c r="E374" s="115"/>
      <c r="F374" s="116" t="s">
        <v>107</v>
      </c>
      <c r="G374" s="149">
        <v>28</v>
      </c>
      <c r="H374" s="150" t="s">
        <v>7</v>
      </c>
      <c r="I374" s="151" t="str">
        <f t="shared" si="86"/>
        <v>Mercadorias</v>
      </c>
      <c r="J374" s="150" t="s">
        <v>15</v>
      </c>
      <c r="K374" s="152" t="s">
        <v>7</v>
      </c>
      <c r="L374" s="153" t="s">
        <v>21</v>
      </c>
      <c r="M374" s="154" t="s">
        <v>513</v>
      </c>
      <c r="N374" s="155" t="s">
        <v>494</v>
      </c>
      <c r="O374" s="155" t="s">
        <v>516</v>
      </c>
      <c r="P374" s="155" t="s">
        <v>43</v>
      </c>
      <c r="Q374" s="155" t="s">
        <v>43</v>
      </c>
      <c r="R374" s="155" t="s">
        <v>43</v>
      </c>
      <c r="S374" s="156" t="s">
        <v>43</v>
      </c>
      <c r="T374" s="156" t="s">
        <v>43</v>
      </c>
      <c r="U374" s="150" t="s">
        <v>43</v>
      </c>
      <c r="V374" s="150" t="s">
        <v>43</v>
      </c>
      <c r="W374" s="150" t="s">
        <v>43</v>
      </c>
      <c r="X374" s="157" t="s">
        <v>540</v>
      </c>
      <c r="Y374" s="150">
        <v>19375</v>
      </c>
      <c r="Z374" s="150"/>
      <c r="AA374" s="158"/>
      <c r="AB374" s="155"/>
      <c r="AC374" s="150"/>
      <c r="AD374" s="155"/>
      <c r="AE374" s="155"/>
      <c r="AF374" s="150"/>
      <c r="AG374" s="159">
        <f>Y374</f>
        <v>19375</v>
      </c>
      <c r="AH374" s="211">
        <v>8.2584000000000017</v>
      </c>
      <c r="AI374" s="202">
        <v>0</v>
      </c>
      <c r="AJ374" s="161">
        <v>7.0000000000000007E-2</v>
      </c>
      <c r="AK374" s="162">
        <v>4.2000000000000003E-2</v>
      </c>
      <c r="AL374" s="163"/>
      <c r="AM374" s="164">
        <f>(((IF(L374=$L$101,1,IF(L374=$L$47,1,0))*(AH374*(1-AK374)))*AG374)*(1-AL374))</f>
        <v>0</v>
      </c>
      <c r="AN374" s="165">
        <f>IF(K374=$K$50,AM374,IF(K374=$K$53,AM374,IF(K374=$K$54,AM374,IF(K374=$K$55,AM374,IF(K374=$K$56,AM374,IF(K374=$K$57,AM374,IF(K374=$K$58,AM374,IF(K374=$K$65,AM374,IF(K374=$K$66,AM374,IF(K374=$K$67,AM374,IF(K374=$K$68,AM374,IF(K374=$K$69,AM374,IF(K374=$K$51,AM374,(AM374*(1+AI374)))))))))))))))</f>
        <v>0</v>
      </c>
      <c r="AO374" s="166">
        <v>1.4</v>
      </c>
      <c r="AP374" s="160">
        <f t="shared" si="87"/>
        <v>0</v>
      </c>
      <c r="AQ374" s="167">
        <f t="shared" si="94"/>
        <v>0</v>
      </c>
      <c r="AR374" s="160">
        <f t="shared" si="88"/>
        <v>0</v>
      </c>
      <c r="AS374" s="168">
        <f t="shared" si="89"/>
        <v>0</v>
      </c>
      <c r="AT374" s="169" t="str">
        <f>K374</f>
        <v>MI</v>
      </c>
      <c r="AU374" s="169" t="str">
        <f>I374</f>
        <v>Mercadorias</v>
      </c>
      <c r="AV374" s="170"/>
      <c r="AW374" s="171">
        <f>IF(K374=$K$50,0,IF(K374=$K$53,0,IF(K374=$K$54,0,IF(K374=$K$55,0,IF(K374=$K$56,0,IF(K374=$K$57,0,IF(K374=$K$58,0,IF(K374=$K$65,0,IF(K374=$K$66,0,IF(K374=$K$67,0,IF(K374=$K$68,0,IF(K374=$K$69,0,IF(K374=$K$51,0,1))))))))))))*AM374*AI374)</f>
        <v>0</v>
      </c>
      <c r="AX374" s="172">
        <f>IF(K374=$K$50,0,IF(K374=$K$53,0,IF(K374=$K$54,0,IF(K374=$K$55,0,IF(K374=$K$56,0,IF(K374=$K$57,0,IF(K374=$K$58,0,IF(K374=$K$65,0,IF(K374=$K$66,0,IF(K374=$K$67,0,IF(K374=$K$68,0,IF(K374=$K$69,0,IF(K374=$K$51,0,1))))))))))))*AM374*AJ374*$AX$94)</f>
        <v>0</v>
      </c>
      <c r="AY374" s="172">
        <f>IF(K374=$K$53,0,IF(K374=$K$54,0,IF(K374=$K$55,0,IF(K374=$K$56,0,IF(K374=$K$58,0,IF(K374=$K$50,0,IF(K374=$K$65,0,IF(K374=$K$57,0,IF(K374=$K$51,0,AM374*$AY$102)))))))))</f>
        <v>0</v>
      </c>
      <c r="AZ374" s="172">
        <f>IF(K374=$K$53,0,IF(K374=$K$54,0,IF(K374=$K$55,0,IF(K374=$K$56,0,IF(K374=$K$58,0,IF(K374=$K$50,0,IF(K374=$K$65,0,IF(K374=$K$57,0,IF(K374=$K$51,0,AM374*$AZ$102)))))))))</f>
        <v>0</v>
      </c>
      <c r="BA374" s="172">
        <f t="shared" si="90"/>
        <v>0</v>
      </c>
      <c r="BB374" s="173">
        <f>IF($BA$97=1,AQ374*$BB$102,IF(K374=$K$50,0,IF(K374=$K$53,0,IF(K374=$K$54,0,IF(K374=$K$55,0,IF(K374=$K$56,0,IF(K374=$K$57,0,IF(K374=$K$58,0,IF(K374=$K$65,0,IF(K374=$K$66,0,IF(K374=$K$67,0,IF(K374=$K$68,0,IF(K374=$K$69,0,IF(K374=$K$51,0,1)))))))))))*AQ374*$BB$102)))</f>
        <v>0</v>
      </c>
      <c r="BC374" s="172">
        <f t="shared" si="91"/>
        <v>0</v>
      </c>
      <c r="BD374" s="172">
        <f t="shared" si="92"/>
        <v>0</v>
      </c>
      <c r="BE374" s="172">
        <f>IF($BE$95=I374,$BE$97,IF(I374=$BE$96,$BE$97,1))*($BE$102*AQ374)*$AZ$97</f>
        <v>0</v>
      </c>
      <c r="BF374" s="172">
        <f>IF('[1]Cockpit Retorno'!$C$65=Sim,Mestre!BA374,SUM(BB374:BE374)+(IF(K374=$K$56,AQ374*MOE_IRRF_LR,0)))</f>
        <v>0</v>
      </c>
      <c r="BG374" s="174">
        <f>IF(AA374&gt;0,0,IF(Z374=$Z$82,AG374*1,(IF(Z374=$Z$81,AG374*1,0))))</f>
        <v>0</v>
      </c>
      <c r="BH374" s="174">
        <f>IF(AA374&gt;0,0,IF(Z374=$Z$83,AG374*1,IF(Z374=$Z$81,AG374*1,0)))</f>
        <v>0</v>
      </c>
      <c r="BI374" s="174">
        <f>IF(AA374&gt;0,0,IF(Z374=$Z$84,AG374*1,IF(Z374=$Z$93,AG374*2,IF(Z374=$Z$100,AG374,IF(Z374=$Z$81,AG374*2,IF(Z374=$Z$80,AG374*1,IF(Z374=$Z$79,AG374*3,IF(Z374=$Z$78,AG374*2,0))))))))</f>
        <v>0</v>
      </c>
      <c r="BJ374" s="174">
        <f>IF(AA374&gt;0,0,IF(Z374=$Z$85,AG374,IF(Z374=$Z$93,AG374,IF(Z374=$Z$100,AG374,IF(Z374=$Z$81,AG374*1,IF(Z374=$Z$80,AG374*2,IF(Z374=$Z$79,AG374*2,IF(Z374=$Z$78,AG374*2,0))))))))</f>
        <v>0</v>
      </c>
      <c r="BK374" s="174">
        <f>IF(AA374&gt;0,0,IF(Z374=$Z$92,AG374,0))</f>
        <v>0</v>
      </c>
      <c r="BL374" s="174">
        <f>IF(AA374&gt;0,0,IF(Z374=$Z$91,AG374,0))</f>
        <v>0</v>
      </c>
      <c r="BM374" s="174">
        <f>IF(AA374&gt;0,0,IF(Z374=$Z$86,AG374,0))</f>
        <v>0</v>
      </c>
      <c r="BN374" s="174">
        <f>IF(AA374&gt;0,0,IF(Z374=$Z$87,AG374,0))</f>
        <v>0</v>
      </c>
      <c r="BO374" s="174">
        <f>IF(AA374&gt;0,0,IF(Z374=$Z$88,AG374,0))</f>
        <v>0</v>
      </c>
      <c r="BP374" s="174">
        <f>IF(AA374&gt;0,0,IF(Z374=$Z$89,AG374,0))</f>
        <v>0</v>
      </c>
      <c r="BQ374" s="174">
        <f>IF(AA374&gt;0,0,IF(Z374=$Z$90,AG374,0))</f>
        <v>0</v>
      </c>
      <c r="BR374" s="174">
        <f>IF(Z374=$Z$82,AA374*AG374,0)</f>
        <v>0</v>
      </c>
      <c r="BS374" s="174">
        <f>IF(Z374=$Z$83,AA374*AG374,0)</f>
        <v>0</v>
      </c>
      <c r="BT374" s="174">
        <f>IF(AA374&lt;1,0,IF(Z374=$Z$84,AA374*AG374,IF(Z374=$Z$93,"ERRO",IF(Z374=$Z$100,"ERRO",0))))</f>
        <v>0</v>
      </c>
      <c r="BU374" s="174">
        <f>IF(AA374&lt;1,0,IF(Z374=$Z$85,AA374*AG374,IF(Z374=$Z$93,"ERRO",IF(Z374=$Z$100,"ERRO",0))))</f>
        <v>0</v>
      </c>
      <c r="BV374" s="174">
        <f>IF(Z374=$Z$92,AA374*AG374,0)</f>
        <v>0</v>
      </c>
      <c r="BW374" s="174">
        <f>IF(Z374=$Z$91,AA374*AG374,0)</f>
        <v>0</v>
      </c>
      <c r="BX374" s="174">
        <f>IF(Z374=$Z$86,AA374*AG374,0)</f>
        <v>0</v>
      </c>
      <c r="BY374" s="174">
        <f>IF(Z374=$Z$87,AA374*AG374,0)</f>
        <v>0</v>
      </c>
      <c r="BZ374" s="174">
        <f>IF(Z374=$Z$88,AA374*AG374,0)</f>
        <v>0</v>
      </c>
      <c r="CA374" s="174">
        <f>IF(Z374=$Z$89,AA374*AG374,0)</f>
        <v>0</v>
      </c>
      <c r="CB374" s="174">
        <f>IF(Z374=$Z$90,AA374*AG374,0)</f>
        <v>0</v>
      </c>
      <c r="CC374" s="175">
        <f>IFERROR(IF(L374=$L$49,AG374*AH374*(1+AI374)*(1-AK374)*(1-AL374),0),0)</f>
        <v>153286.22700000001</v>
      </c>
      <c r="CD374" s="203">
        <f>IF(I374=$CD$97,1,IF(I374=$CD$100,2,IF(K374=$K$66,1,IF(K374=$K$69,1,3))))</f>
        <v>1</v>
      </c>
      <c r="CE374" s="203">
        <f t="shared" si="14"/>
        <v>1.07</v>
      </c>
      <c r="CF374" s="204">
        <f t="shared" si="75"/>
        <v>1.2353999999999998</v>
      </c>
      <c r="CG374" s="203">
        <f t="shared" si="15"/>
        <v>1.42</v>
      </c>
      <c r="CH374" s="204">
        <f t="shared" si="76"/>
        <v>1.5478000000000001</v>
      </c>
      <c r="CI374" s="203">
        <f t="shared" si="16"/>
        <v>1.7</v>
      </c>
      <c r="CJ374" s="205">
        <f t="shared" si="77"/>
        <v>1.0486</v>
      </c>
      <c r="CK374" s="205">
        <f t="shared" si="78"/>
        <v>1.148922</v>
      </c>
      <c r="CL374" s="205">
        <f t="shared" si="79"/>
        <v>1.3915999999999999</v>
      </c>
      <c r="CM374" s="205">
        <f t="shared" si="80"/>
        <v>1.501366</v>
      </c>
      <c r="CN374" s="206">
        <f t="shared" si="81"/>
        <v>1.6319999999999999</v>
      </c>
      <c r="CO374" s="204">
        <f t="shared" si="82"/>
        <v>1.006656</v>
      </c>
      <c r="CP374" s="207">
        <f t="shared" si="83"/>
        <v>0</v>
      </c>
      <c r="CQ374" s="208">
        <f t="shared" si="84"/>
        <v>0</v>
      </c>
      <c r="CR374" s="209">
        <f t="shared" si="93"/>
        <v>0</v>
      </c>
      <c r="CS374" s="49"/>
      <c r="CT374" s="49"/>
      <c r="CU374" s="49"/>
      <c r="CV374" s="49"/>
      <c r="CW374" s="49"/>
      <c r="CX374" s="49"/>
      <c r="CY374" s="49"/>
      <c r="CZ374" s="49"/>
      <c r="DA374" s="49"/>
      <c r="DB374" s="49"/>
      <c r="DC374" s="49"/>
      <c r="DD374" s="49"/>
      <c r="DE374" s="49"/>
      <c r="DF374" s="49"/>
      <c r="DG374" s="49"/>
      <c r="DH374" s="49"/>
      <c r="DI374" s="49"/>
      <c r="DJ374" s="49"/>
      <c r="DK374" s="49"/>
      <c r="DL374" s="49"/>
      <c r="DM374" s="49"/>
      <c r="DN374" s="49"/>
      <c r="DO374" s="49"/>
      <c r="DP374" s="49"/>
      <c r="DQ374" s="49"/>
      <c r="DR374" s="49"/>
      <c r="DS374" s="49"/>
      <c r="DT374" s="49"/>
      <c r="DU374" s="49"/>
      <c r="DV374" s="49"/>
      <c r="DW374" s="49"/>
      <c r="DX374" s="49"/>
      <c r="DY374" s="49"/>
      <c r="DZ374" s="49"/>
      <c r="EA374" s="49"/>
      <c r="EB374" s="49"/>
      <c r="EC374" s="49"/>
      <c r="ED374" s="49"/>
      <c r="EE374" s="49"/>
      <c r="EF374" s="49"/>
      <c r="EG374" s="49"/>
      <c r="EH374" s="49"/>
      <c r="EI374" s="49"/>
      <c r="EJ374" s="49"/>
      <c r="EK374" s="49"/>
      <c r="EL374" s="49"/>
      <c r="EM374" s="49"/>
      <c r="EN374" s="49"/>
      <c r="EO374" s="49"/>
      <c r="EP374" s="49"/>
      <c r="EQ374" s="49"/>
      <c r="ER374" s="49"/>
      <c r="ES374" s="49"/>
      <c r="ET374" s="49"/>
      <c r="EU374" s="49"/>
      <c r="EV374" s="49"/>
      <c r="EW374" s="49"/>
      <c r="EX374" s="49"/>
      <c r="EY374" s="49"/>
      <c r="EZ374" s="49"/>
      <c r="FA374" s="49"/>
    </row>
    <row r="375" spans="1:157" s="210" customFormat="1" ht="63.75" x14ac:dyDescent="0.25">
      <c r="A375" s="113">
        <f>IF(AND('[1]Cockpit Retorno'!$E$67=Sim,Mestre!M375=Mestre!$M$98),0,1)</f>
        <v>1</v>
      </c>
      <c r="B375" s="113">
        <f>IF(AND('[1]Cockpit Retorno'!$E$67=Sim,Mestre!L375=Mestre!$L$48),0,1)</f>
        <v>1</v>
      </c>
      <c r="C375" s="113">
        <f>IF(AND('[1]Cockpit Retorno'!$E$67=Sim,Mestre!M375=Mestre!$M$97),0,1)</f>
        <v>1</v>
      </c>
      <c r="D375" s="148" t="s">
        <v>7</v>
      </c>
      <c r="E375" s="115"/>
      <c r="F375" s="116" t="s">
        <v>107</v>
      </c>
      <c r="G375" s="149">
        <v>23</v>
      </c>
      <c r="H375" s="150" t="s">
        <v>7</v>
      </c>
      <c r="I375" s="151" t="str">
        <f t="shared" si="86"/>
        <v>Mercadorias</v>
      </c>
      <c r="J375" s="150" t="s">
        <v>15</v>
      </c>
      <c r="K375" s="152" t="s">
        <v>7</v>
      </c>
      <c r="L375" s="153" t="s">
        <v>21</v>
      </c>
      <c r="M375" s="154" t="s">
        <v>439</v>
      </c>
      <c r="N375" s="155" t="s">
        <v>494</v>
      </c>
      <c r="O375" s="155" t="s">
        <v>541</v>
      </c>
      <c r="P375" s="155" t="s">
        <v>43</v>
      </c>
      <c r="Q375" s="155" t="s">
        <v>43</v>
      </c>
      <c r="R375" s="155" t="s">
        <v>43</v>
      </c>
      <c r="S375" s="156" t="s">
        <v>43</v>
      </c>
      <c r="T375" s="156" t="s">
        <v>43</v>
      </c>
      <c r="U375" s="150" t="s">
        <v>43</v>
      </c>
      <c r="V375" s="150" t="s">
        <v>43</v>
      </c>
      <c r="W375" s="150" t="s">
        <v>43</v>
      </c>
      <c r="X375" s="157" t="s">
        <v>542</v>
      </c>
      <c r="Y375" s="150">
        <v>44395</v>
      </c>
      <c r="Z375" s="150"/>
      <c r="AA375" s="158"/>
      <c r="AB375" s="155"/>
      <c r="AC375" s="150"/>
      <c r="AD375" s="155"/>
      <c r="AE375" s="155"/>
      <c r="AF375" s="150"/>
      <c r="AG375" s="159">
        <f>Y375</f>
        <v>44395</v>
      </c>
      <c r="AH375" s="211">
        <v>3.6828000000000003</v>
      </c>
      <c r="AI375" s="202">
        <v>0</v>
      </c>
      <c r="AJ375" s="161">
        <v>7.0000000000000007E-2</v>
      </c>
      <c r="AK375" s="162"/>
      <c r="AL375" s="163"/>
      <c r="AM375" s="164">
        <f>(((IF(L375=$L$101,1,IF(L375=$L$47,1,0))*(AH375*(1-AK375)))*AG375)*(1-AL375))</f>
        <v>0</v>
      </c>
      <c r="AN375" s="165">
        <f>IF(K375=$K$50,AM375,IF(K375=$K$53,AM375,IF(K375=$K$54,AM375,IF(K375=$K$55,AM375,IF(K375=$K$56,AM375,IF(K375=$K$57,AM375,IF(K375=$K$58,AM375,IF(K375=$K$65,AM375,IF(K375=$K$66,AM375,IF(K375=$K$67,AM375,IF(K375=$K$68,AM375,IF(K375=$K$69,AM375,IF(K375=$K$51,AM375,(AM375*(1+AI375)))))))))))))))</f>
        <v>0</v>
      </c>
      <c r="AO375" s="166">
        <v>1.4</v>
      </c>
      <c r="AP375" s="160">
        <f t="shared" si="87"/>
        <v>0</v>
      </c>
      <c r="AQ375" s="167">
        <f t="shared" si="94"/>
        <v>0</v>
      </c>
      <c r="AR375" s="160">
        <f t="shared" si="88"/>
        <v>0</v>
      </c>
      <c r="AS375" s="168">
        <f t="shared" si="89"/>
        <v>0</v>
      </c>
      <c r="AT375" s="169" t="str">
        <f>K375</f>
        <v>MI</v>
      </c>
      <c r="AU375" s="169" t="str">
        <f>I375</f>
        <v>Mercadorias</v>
      </c>
      <c r="AV375" s="170"/>
      <c r="AW375" s="171">
        <f>IF(K375=$K$50,0,IF(K375=$K$53,0,IF(K375=$K$54,0,IF(K375=$K$55,0,IF(K375=$K$56,0,IF(K375=$K$57,0,IF(K375=$K$58,0,IF(K375=$K$65,0,IF(K375=$K$66,0,IF(K375=$K$67,0,IF(K375=$K$68,0,IF(K375=$K$69,0,IF(K375=$K$51,0,1))))))))))))*AM375*AI375)</f>
        <v>0</v>
      </c>
      <c r="AX375" s="172">
        <f>IF(K375=$K$50,0,IF(K375=$K$53,0,IF(K375=$K$54,0,IF(K375=$K$55,0,IF(K375=$K$56,0,IF(K375=$K$57,0,IF(K375=$K$58,0,IF(K375=$K$65,0,IF(K375=$K$66,0,IF(K375=$K$67,0,IF(K375=$K$68,0,IF(K375=$K$69,0,IF(K375=$K$51,0,1))))))))))))*AM375*AJ375*$AX$94)</f>
        <v>0</v>
      </c>
      <c r="AY375" s="172">
        <f>IF(K375=$K$53,0,IF(K375=$K$54,0,IF(K375=$K$55,0,IF(K375=$K$56,0,IF(K375=$K$58,0,IF(K375=$K$50,0,IF(K375=$K$65,0,IF(K375=$K$57,0,IF(K375=$K$51,0,AM375*$AY$102)))))))))</f>
        <v>0</v>
      </c>
      <c r="AZ375" s="172">
        <f>IF(K375=$K$53,0,IF(K375=$K$54,0,IF(K375=$K$55,0,IF(K375=$K$56,0,IF(K375=$K$58,0,IF(K375=$K$50,0,IF(K375=$K$65,0,IF(K375=$K$57,0,IF(K375=$K$51,0,AM375*$AZ$102)))))))))</f>
        <v>0</v>
      </c>
      <c r="BA375" s="172">
        <f t="shared" si="90"/>
        <v>0</v>
      </c>
      <c r="BB375" s="173">
        <f>IF($BA$97=1,AQ375*$BB$102,IF(K375=$K$50,0,IF(K375=$K$53,0,IF(K375=$K$54,0,IF(K375=$K$55,0,IF(K375=$K$56,0,IF(K375=$K$57,0,IF(K375=$K$58,0,IF(K375=$K$65,0,IF(K375=$K$66,0,IF(K375=$K$67,0,IF(K375=$K$68,0,IF(K375=$K$69,0,IF(K375=$K$51,0,1)))))))))))*AQ375*$BB$102)))</f>
        <v>0</v>
      </c>
      <c r="BC375" s="172">
        <f t="shared" si="91"/>
        <v>0</v>
      </c>
      <c r="BD375" s="172">
        <f t="shared" si="92"/>
        <v>0</v>
      </c>
      <c r="BE375" s="172">
        <f>IF($BE$95=I375,$BE$97,IF(I375=$BE$96,$BE$97,1))*($BE$102*AQ375)*$AZ$97</f>
        <v>0</v>
      </c>
      <c r="BF375" s="172">
        <f>IF('[1]Cockpit Retorno'!$C$65=Sim,Mestre!BA375,SUM(BB375:BE375)+(IF(K375=$K$56,AQ375*MOE_IRRF_LR,0)))</f>
        <v>0</v>
      </c>
      <c r="BG375" s="174">
        <f>IF(AA375&gt;0,0,IF(Z375=$Z$82,AG375*1,(IF(Z375=$Z$81,AG375*1,0))))</f>
        <v>0</v>
      </c>
      <c r="BH375" s="174">
        <f>IF(AA375&gt;0,0,IF(Z375=$Z$83,AG375*1,IF(Z375=$Z$81,AG375*1,0)))</f>
        <v>0</v>
      </c>
      <c r="BI375" s="174">
        <f>IF(AA375&gt;0,0,IF(Z375=$Z$84,AG375*1,IF(Z375=$Z$93,AG375*2,IF(Z375=$Z$100,AG375,IF(Z375=$Z$81,AG375*2,IF(Z375=$Z$80,AG375*1,IF(Z375=$Z$79,AG375*3,IF(Z375=$Z$78,AG375*2,0))))))))</f>
        <v>0</v>
      </c>
      <c r="BJ375" s="174">
        <f>IF(AA375&gt;0,0,IF(Z375=$Z$85,AG375,IF(Z375=$Z$93,AG375,IF(Z375=$Z$100,AG375,IF(Z375=$Z$81,AG375*1,IF(Z375=$Z$80,AG375*2,IF(Z375=$Z$79,AG375*2,IF(Z375=$Z$78,AG375*2,0))))))))</f>
        <v>0</v>
      </c>
      <c r="BK375" s="174">
        <f>IF(AA375&gt;0,0,IF(Z375=$Z$92,AG375,0))</f>
        <v>0</v>
      </c>
      <c r="BL375" s="174">
        <f>IF(AA375&gt;0,0,IF(Z375=$Z$91,AG375,0))</f>
        <v>0</v>
      </c>
      <c r="BM375" s="174">
        <f>IF(AA375&gt;0,0,IF(Z375=$Z$86,AG375,0))</f>
        <v>0</v>
      </c>
      <c r="BN375" s="174">
        <f>IF(AA375&gt;0,0,IF(Z375=$Z$87,AG375,0))</f>
        <v>0</v>
      </c>
      <c r="BO375" s="174">
        <f>IF(AA375&gt;0,0,IF(Z375=$Z$88,AG375,0))</f>
        <v>0</v>
      </c>
      <c r="BP375" s="174">
        <f>IF(AA375&gt;0,0,IF(Z375=$Z$89,AG375,0))</f>
        <v>0</v>
      </c>
      <c r="BQ375" s="174">
        <f>IF(AA375&gt;0,0,IF(Z375=$Z$90,AG375,0))</f>
        <v>0</v>
      </c>
      <c r="BR375" s="174">
        <f>IF(Z375=$Z$82,AA375*AG375,0)</f>
        <v>0</v>
      </c>
      <c r="BS375" s="174">
        <f>IF(Z375=$Z$83,AA375*AG375,0)</f>
        <v>0</v>
      </c>
      <c r="BT375" s="174">
        <f>IF(AA375&lt;1,0,IF(Z375=$Z$84,AA375*AG375,IF(Z375=$Z$93,"ERRO",IF(Z375=$Z$100,"ERRO",0))))</f>
        <v>0</v>
      </c>
      <c r="BU375" s="174">
        <f>IF(AA375&lt;1,0,IF(Z375=$Z$85,AA375*AG375,IF(Z375=$Z$93,"ERRO",IF(Z375=$Z$100,"ERRO",0))))</f>
        <v>0</v>
      </c>
      <c r="BV375" s="174">
        <f>IF(Z375=$Z$92,AA375*AG375,0)</f>
        <v>0</v>
      </c>
      <c r="BW375" s="174">
        <f>IF(Z375=$Z$91,AA375*AG375,0)</f>
        <v>0</v>
      </c>
      <c r="BX375" s="174">
        <f>IF(Z375=$Z$86,AA375*AG375,0)</f>
        <v>0</v>
      </c>
      <c r="BY375" s="174">
        <f>IF(Z375=$Z$87,AA375*AG375,0)</f>
        <v>0</v>
      </c>
      <c r="BZ375" s="174">
        <f>IF(Z375=$Z$88,AA375*AG375,0)</f>
        <v>0</v>
      </c>
      <c r="CA375" s="174">
        <f>IF(Z375=$Z$89,AA375*AG375,0)</f>
        <v>0</v>
      </c>
      <c r="CB375" s="174">
        <f>IF(Z375=$Z$90,AA375*AG375,0)</f>
        <v>0</v>
      </c>
      <c r="CC375" s="175">
        <f>IFERROR(IF(L375=$L$49,AG375*AH375*(1+AI375)*(1-AK375)*(1-AL375),0),0)</f>
        <v>163497.90600000002</v>
      </c>
      <c r="CD375" s="203">
        <f>IF(I375=$CD$97,1,IF(I375=$CD$100,2,IF(K375=$K$66,1,IF(K375=$K$69,1,3))))</f>
        <v>1</v>
      </c>
      <c r="CE375" s="203">
        <f t="shared" si="14"/>
        <v>1.07</v>
      </c>
      <c r="CF375" s="204">
        <f t="shared" si="75"/>
        <v>1.2353999999999998</v>
      </c>
      <c r="CG375" s="203">
        <f t="shared" si="15"/>
        <v>1.42</v>
      </c>
      <c r="CH375" s="204">
        <f t="shared" si="76"/>
        <v>1.5478000000000001</v>
      </c>
      <c r="CI375" s="203">
        <f t="shared" si="16"/>
        <v>1.7</v>
      </c>
      <c r="CJ375" s="205">
        <f t="shared" si="77"/>
        <v>1.0486</v>
      </c>
      <c r="CK375" s="205">
        <f t="shared" si="78"/>
        <v>1.148922</v>
      </c>
      <c r="CL375" s="205">
        <f t="shared" si="79"/>
        <v>1.3915999999999999</v>
      </c>
      <c r="CM375" s="205">
        <f t="shared" si="80"/>
        <v>1.501366</v>
      </c>
      <c r="CN375" s="206">
        <f t="shared" si="81"/>
        <v>1.6319999999999999</v>
      </c>
      <c r="CO375" s="204">
        <f t="shared" si="82"/>
        <v>1.006656</v>
      </c>
      <c r="CP375" s="207">
        <f t="shared" si="83"/>
        <v>0</v>
      </c>
      <c r="CQ375" s="208">
        <f t="shared" si="84"/>
        <v>0</v>
      </c>
      <c r="CR375" s="209">
        <f t="shared" si="93"/>
        <v>0</v>
      </c>
      <c r="CS375" s="49"/>
      <c r="CT375" s="49"/>
      <c r="CU375" s="49"/>
      <c r="CV375" s="49"/>
      <c r="CW375" s="49"/>
      <c r="CX375" s="49"/>
      <c r="CY375" s="49"/>
      <c r="CZ375" s="49"/>
      <c r="DA375" s="49"/>
      <c r="DB375" s="49"/>
      <c r="DC375" s="49"/>
      <c r="DD375" s="49"/>
      <c r="DE375" s="49"/>
      <c r="DF375" s="49"/>
      <c r="DG375" s="49"/>
      <c r="DH375" s="49"/>
      <c r="DI375" s="49"/>
      <c r="DJ375" s="49"/>
      <c r="DK375" s="49"/>
      <c r="DL375" s="49"/>
      <c r="DM375" s="49"/>
      <c r="DN375" s="49"/>
      <c r="DO375" s="49"/>
      <c r="DP375" s="49"/>
      <c r="DQ375" s="49"/>
      <c r="DR375" s="49"/>
      <c r="DS375" s="49"/>
      <c r="DT375" s="49"/>
      <c r="DU375" s="49"/>
      <c r="DV375" s="49"/>
      <c r="DW375" s="49"/>
      <c r="DX375" s="49"/>
      <c r="DY375" s="49"/>
      <c r="DZ375" s="49"/>
      <c r="EA375" s="49"/>
      <c r="EB375" s="49"/>
      <c r="EC375" s="49"/>
      <c r="ED375" s="49"/>
      <c r="EE375" s="49"/>
      <c r="EF375" s="49"/>
      <c r="EG375" s="49"/>
      <c r="EH375" s="49"/>
      <c r="EI375" s="49"/>
      <c r="EJ375" s="49"/>
      <c r="EK375" s="49"/>
      <c r="EL375" s="49"/>
      <c r="EM375" s="49"/>
      <c r="EN375" s="49"/>
      <c r="EO375" s="49"/>
      <c r="EP375" s="49"/>
      <c r="EQ375" s="49"/>
      <c r="ER375" s="49"/>
      <c r="ES375" s="49"/>
      <c r="ET375" s="49"/>
      <c r="EU375" s="49"/>
      <c r="EV375" s="49"/>
      <c r="EW375" s="49"/>
      <c r="EX375" s="49"/>
      <c r="EY375" s="49"/>
      <c r="EZ375" s="49"/>
      <c r="FA375" s="49"/>
    </row>
    <row r="376" spans="1:157" s="210" customFormat="1" x14ac:dyDescent="0.25">
      <c r="A376" s="113">
        <f>IF(AND('[1]Cockpit Retorno'!$E$67=Sim,Mestre!M376=Mestre!$M$98),0,1)</f>
        <v>1</v>
      </c>
      <c r="B376" s="113">
        <f>IF(AND('[1]Cockpit Retorno'!$E$67=Sim,Mestre!L376=Mestre!$L$48),0,1)</f>
        <v>1</v>
      </c>
      <c r="C376" s="113">
        <f>IF(AND('[1]Cockpit Retorno'!$E$67=Sim,Mestre!M376=Mestre!$M$97),0,1)</f>
        <v>1</v>
      </c>
      <c r="D376" s="148" t="s">
        <v>7</v>
      </c>
      <c r="E376" s="115"/>
      <c r="F376" s="116" t="s">
        <v>107</v>
      </c>
      <c r="G376" s="149"/>
      <c r="H376" s="150" t="s">
        <v>7</v>
      </c>
      <c r="I376" s="151" t="str">
        <f t="shared" si="86"/>
        <v>Mercadorias</v>
      </c>
      <c r="J376" s="150" t="s">
        <v>15</v>
      </c>
      <c r="K376" s="152" t="s">
        <v>7</v>
      </c>
      <c r="L376" s="153" t="s">
        <v>28</v>
      </c>
      <c r="M376" s="154" t="s">
        <v>543</v>
      </c>
      <c r="N376" s="155" t="s">
        <v>544</v>
      </c>
      <c r="O376" s="155" t="s">
        <v>545</v>
      </c>
      <c r="P376" s="155" t="s">
        <v>43</v>
      </c>
      <c r="Q376" s="155" t="s">
        <v>43</v>
      </c>
      <c r="R376" s="155" t="s">
        <v>43</v>
      </c>
      <c r="S376" s="156" t="s">
        <v>43</v>
      </c>
      <c r="T376" s="156" t="s">
        <v>43</v>
      </c>
      <c r="U376" s="150" t="s">
        <v>43</v>
      </c>
      <c r="V376" s="150" t="s">
        <v>43</v>
      </c>
      <c r="W376" s="150" t="s">
        <v>43</v>
      </c>
      <c r="X376" s="157" t="s">
        <v>546</v>
      </c>
      <c r="Y376" s="150">
        <v>20</v>
      </c>
      <c r="Z376" s="150" t="s">
        <v>43</v>
      </c>
      <c r="AA376" s="158">
        <v>0</v>
      </c>
      <c r="AB376" s="155" t="s">
        <v>43</v>
      </c>
      <c r="AC376" s="150" t="s">
        <v>43</v>
      </c>
      <c r="AD376" s="155" t="s">
        <v>43</v>
      </c>
      <c r="AE376" s="155"/>
      <c r="AF376" s="150" t="s">
        <v>43</v>
      </c>
      <c r="AG376" s="159"/>
      <c r="AH376" s="159">
        <v>148.45590000000001</v>
      </c>
      <c r="AI376" s="202">
        <v>9.7500000000000003E-2</v>
      </c>
      <c r="AJ376" s="161">
        <v>7.0000000000000007E-2</v>
      </c>
      <c r="AK376" s="162"/>
      <c r="AL376" s="163"/>
      <c r="AM376" s="164">
        <f>(((IF(L376=$L$101,1,IF(L376=$L$47,1,0))*(AH376*(1-AK376)))*AG376)*(1-AL376))</f>
        <v>0</v>
      </c>
      <c r="AN376" s="165">
        <f>IF(K376=$K$50,AM376,IF(K376=$K$53,AM376,IF(K376=$K$54,AM376,IF(K376=$K$55,AM376,IF(K376=$K$56,AM376,IF(K376=$K$57,AM376,IF(K376=$K$58,AM376,IF(K376=$K$65,AM376,IF(K376=$K$66,AM376,IF(K376=$K$67,AM376,IF(K376=$K$68,AM376,IF(K376=$K$69,AM376,IF(K376=$K$51,AM376,(AM376*(1+AI376)))))))))))))))</f>
        <v>0</v>
      </c>
      <c r="AO376" s="166">
        <v>1.4</v>
      </c>
      <c r="AP376" s="160">
        <f t="shared" si="87"/>
        <v>0</v>
      </c>
      <c r="AQ376" s="167">
        <f t="shared" ref="AQ376:AQ409" si="95">AP376*Fator_Venda</f>
        <v>0</v>
      </c>
      <c r="AR376" s="160">
        <f t="shared" si="88"/>
        <v>0</v>
      </c>
      <c r="AS376" s="168">
        <f t="shared" si="89"/>
        <v>0</v>
      </c>
      <c r="AT376" s="169" t="str">
        <f>K376</f>
        <v>MI</v>
      </c>
      <c r="AU376" s="169" t="str">
        <f>I376</f>
        <v>Mercadorias</v>
      </c>
      <c r="AV376" s="170"/>
      <c r="AW376" s="171">
        <f>IF(K376=$K$50,0,IF(K376=$K$53,0,IF(K376=$K$54,0,IF(K376=$K$55,0,IF(K376=$K$56,0,IF(K376=$K$57,0,IF(K376=$K$58,0,IF(K376=$K$65,0,IF(K376=$K$66,0,IF(K376=$K$67,0,IF(K376=$K$68,0,IF(K376=$K$69,0,IF(K376=$K$51,0,1))))))))))))*AM376*AI376)</f>
        <v>0</v>
      </c>
      <c r="AX376" s="172">
        <f>IF(K376=$K$50,0,IF(K376=$K$53,0,IF(K376=$K$54,0,IF(K376=$K$55,0,IF(K376=$K$56,0,IF(K376=$K$57,0,IF(K376=$K$58,0,IF(K376=$K$65,0,IF(K376=$K$66,0,IF(K376=$K$67,0,IF(K376=$K$68,0,IF(K376=$K$69,0,IF(K376=$K$51,0,1))))))))))))*AM376*AJ376*$AX$94)</f>
        <v>0</v>
      </c>
      <c r="AY376" s="172">
        <f>IF(K376=$K$53,0,IF(K376=$K$54,0,IF(K376=$K$55,0,IF(K376=$K$56,0,IF(K376=$K$58,0,IF(K376=$K$50,0,IF(K376=$K$65,0,IF(K376=$K$57,0,IF(K376=$K$51,0,AM376*$AY$102)))))))))</f>
        <v>0</v>
      </c>
      <c r="AZ376" s="172">
        <f>IF(K376=$K$53,0,IF(K376=$K$54,0,IF(K376=$K$55,0,IF(K376=$K$56,0,IF(K376=$K$58,0,IF(K376=$K$50,0,IF(K376=$K$65,0,IF(K376=$K$57,0,IF(K376=$K$51,0,AM376*$AZ$102)))))))))</f>
        <v>0</v>
      </c>
      <c r="BA376" s="172">
        <f t="shared" si="90"/>
        <v>0</v>
      </c>
      <c r="BB376" s="173">
        <f>IF($BA$97=1,AQ376*$BB$102,IF(K376=$K$50,0,IF(K376=$K$53,0,IF(K376=$K$54,0,IF(K376=$K$55,0,IF(K376=$K$56,0,IF(K376=$K$57,0,IF(K376=$K$58,0,IF(K376=$K$65,0,IF(K376=$K$66,0,IF(K376=$K$67,0,IF(K376=$K$68,0,IF(K376=$K$69,0,IF(K376=$K$51,0,1)))))))))))*AQ376*$BB$102)))</f>
        <v>0</v>
      </c>
      <c r="BC376" s="172">
        <f t="shared" si="91"/>
        <v>0</v>
      </c>
      <c r="BD376" s="172">
        <f t="shared" si="92"/>
        <v>0</v>
      </c>
      <c r="BE376" s="172">
        <f>IF($BE$95=I376,$BE$97,IF(I376=$BE$96,$BE$97,1))*($BE$102*AQ376)*$AZ$97</f>
        <v>0</v>
      </c>
      <c r="BF376" s="172">
        <f>IF('[1]Cockpit Retorno'!$C$65=Sim,Mestre!BA376,SUM(BB376:BE376)+(IF(K376=$K$56,AQ376*MOE_IRRF_LR,0)))</f>
        <v>0</v>
      </c>
      <c r="BG376" s="174">
        <f>IF(AA376&gt;0,0,IF(Z376=$Z$82,AG376*1,(IF(Z376=$Z$81,AG376*1,0))))</f>
        <v>0</v>
      </c>
      <c r="BH376" s="174">
        <f>IF(AA376&gt;0,0,IF(Z376=$Z$83,AG376*1,IF(Z376=$Z$81,AG376*1,0)))</f>
        <v>0</v>
      </c>
      <c r="BI376" s="174">
        <f>IF(AA376&gt;0,0,IF(Z376=$Z$84,AG376*1,IF(Z376=$Z$93,AG376*2,IF(Z376=$Z$100,AG376,IF(Z376=$Z$81,AG376*2,IF(Z376=$Z$80,AG376*1,IF(Z376=$Z$79,AG376*3,IF(Z376=$Z$78,AG376*2,0))))))))</f>
        <v>0</v>
      </c>
      <c r="BJ376" s="174">
        <f>IF(AA376&gt;0,0,IF(Z376=$Z$85,AG376,IF(Z376=$Z$93,AG376,IF(Z376=$Z$100,AG376,IF(Z376=$Z$81,AG376*1,IF(Z376=$Z$80,AG376*2,IF(Z376=$Z$79,AG376*2,IF(Z376=$Z$78,AG376*2,0))))))))</f>
        <v>0</v>
      </c>
      <c r="BK376" s="174">
        <f>IF(AA376&gt;0,0,IF(Z376=$Z$92,AG376,0))</f>
        <v>0</v>
      </c>
      <c r="BL376" s="174">
        <f>IF(AA376&gt;0,0,IF(Z376=$Z$91,AG376,0))</f>
        <v>0</v>
      </c>
      <c r="BM376" s="174">
        <f>IF(AA376&gt;0,0,IF(Z376=$Z$86,AG376,0))</f>
        <v>0</v>
      </c>
      <c r="BN376" s="174">
        <f>IF(AA376&gt;0,0,IF(Z376=$Z$87,AG376,0))</f>
        <v>0</v>
      </c>
      <c r="BO376" s="174">
        <f>IF(AA376&gt;0,0,IF(Z376=$Z$88,AG376,0))</f>
        <v>0</v>
      </c>
      <c r="BP376" s="174">
        <f>IF(AA376&gt;0,0,IF(Z376=$Z$89,AG376,0))</f>
        <v>0</v>
      </c>
      <c r="BQ376" s="174">
        <f>IF(AA376&gt;0,0,IF(Z376=$Z$90,AG376,0))</f>
        <v>0</v>
      </c>
      <c r="BR376" s="174">
        <f>IF(Z376=$Z$82,AA376*AG376,0)</f>
        <v>0</v>
      </c>
      <c r="BS376" s="174">
        <f>IF(Z376=$Z$83,AA376*AG376,0)</f>
        <v>0</v>
      </c>
      <c r="BT376" s="174">
        <f>IF(AA376&lt;1,0,IF(Z376=$Z$84,AA376*AG376,IF(Z376=$Z$93,"ERRO",IF(Z376=$Z$100,"ERRO",0))))</f>
        <v>0</v>
      </c>
      <c r="BU376" s="174">
        <f>IF(AA376&lt;1,0,IF(Z376=$Z$85,AA376*AG376,IF(Z376=$Z$93,"ERRO",IF(Z376=$Z$100,"ERRO",0))))</f>
        <v>0</v>
      </c>
      <c r="BV376" s="174">
        <f>IF(Z376=$Z$92,AA376*AG376,0)</f>
        <v>0</v>
      </c>
      <c r="BW376" s="174">
        <f>IF(Z376=$Z$91,AA376*AG376,0)</f>
        <v>0</v>
      </c>
      <c r="BX376" s="174">
        <f>IF(Z376=$Z$86,AA376*AG376,0)</f>
        <v>0</v>
      </c>
      <c r="BY376" s="174">
        <f>IF(Z376=$Z$87,AA376*AG376,0)</f>
        <v>0</v>
      </c>
      <c r="BZ376" s="174">
        <f>IF(Z376=$Z$88,AA376*AG376,0)</f>
        <v>0</v>
      </c>
      <c r="CA376" s="174">
        <f>IF(Z376=$Z$89,AA376*AG376,0)</f>
        <v>0</v>
      </c>
      <c r="CB376" s="174">
        <f>IF(Z376=$Z$90,AA376*AG376,0)</f>
        <v>0</v>
      </c>
      <c r="CC376" s="175">
        <f>IFERROR(IF(L376=$L$49,AG376*AH376*(1+AI376)*(1-AK376)*(1-AL376),0),0)</f>
        <v>0</v>
      </c>
      <c r="CD376" s="203">
        <f>IF(I376=$CD$97,1,IF(I376=$CD$100,2,IF(K376=$K$66,1,IF(K376=$K$69,1,3))))</f>
        <v>1</v>
      </c>
      <c r="CE376" s="203">
        <f t="shared" si="14"/>
        <v>1.07</v>
      </c>
      <c r="CF376" s="204">
        <f t="shared" si="75"/>
        <v>1.2353999999999998</v>
      </c>
      <c r="CG376" s="203">
        <f t="shared" si="15"/>
        <v>1.42</v>
      </c>
      <c r="CH376" s="204">
        <f t="shared" si="76"/>
        <v>1.5478000000000001</v>
      </c>
      <c r="CI376" s="203">
        <f t="shared" si="16"/>
        <v>1.7</v>
      </c>
      <c r="CJ376" s="205">
        <f t="shared" si="77"/>
        <v>1.0486</v>
      </c>
      <c r="CK376" s="205">
        <f t="shared" si="78"/>
        <v>1.148922</v>
      </c>
      <c r="CL376" s="205">
        <f t="shared" si="79"/>
        <v>1.3915999999999999</v>
      </c>
      <c r="CM376" s="205">
        <f t="shared" si="80"/>
        <v>1.501366</v>
      </c>
      <c r="CN376" s="206">
        <f t="shared" si="81"/>
        <v>1.6319999999999999</v>
      </c>
      <c r="CO376" s="204">
        <f t="shared" si="82"/>
        <v>1.006656</v>
      </c>
      <c r="CP376" s="207">
        <f t="shared" si="83"/>
        <v>0</v>
      </c>
      <c r="CQ376" s="208">
        <f t="shared" si="84"/>
        <v>0</v>
      </c>
      <c r="CR376" s="209">
        <f t="shared" si="93"/>
        <v>0</v>
      </c>
      <c r="CS376" s="49"/>
      <c r="CT376" s="49"/>
      <c r="CU376" s="49"/>
      <c r="CV376" s="49"/>
      <c r="CW376" s="49"/>
      <c r="CX376" s="49"/>
      <c r="CY376" s="49"/>
      <c r="CZ376" s="49"/>
      <c r="DA376" s="49"/>
      <c r="DB376" s="49"/>
      <c r="DC376" s="49"/>
      <c r="DD376" s="49"/>
      <c r="DE376" s="49"/>
      <c r="DF376" s="49"/>
      <c r="DG376" s="49"/>
      <c r="DH376" s="49"/>
      <c r="DI376" s="49"/>
      <c r="DJ376" s="49"/>
      <c r="DK376" s="49"/>
      <c r="DL376" s="49"/>
      <c r="DM376" s="49"/>
      <c r="DN376" s="49"/>
      <c r="DO376" s="49"/>
      <c r="DP376" s="49"/>
      <c r="DQ376" s="49"/>
      <c r="DR376" s="49"/>
      <c r="DS376" s="49"/>
      <c r="DT376" s="49"/>
      <c r="DU376" s="49"/>
      <c r="DV376" s="49"/>
      <c r="DW376" s="49"/>
      <c r="DX376" s="49"/>
      <c r="DY376" s="49"/>
      <c r="DZ376" s="49"/>
      <c r="EA376" s="49"/>
      <c r="EB376" s="49"/>
      <c r="EC376" s="49"/>
      <c r="ED376" s="49"/>
      <c r="EE376" s="49"/>
      <c r="EF376" s="49"/>
      <c r="EG376" s="49"/>
      <c r="EH376" s="49"/>
      <c r="EI376" s="49"/>
      <c r="EJ376" s="49"/>
      <c r="EK376" s="49"/>
      <c r="EL376" s="49"/>
      <c r="EM376" s="49"/>
      <c r="EN376" s="49"/>
      <c r="EO376" s="49"/>
      <c r="EP376" s="49"/>
      <c r="EQ376" s="49"/>
      <c r="ER376" s="49"/>
      <c r="ES376" s="49"/>
      <c r="ET376" s="49"/>
      <c r="EU376" s="49"/>
      <c r="EV376" s="49"/>
      <c r="EW376" s="49"/>
      <c r="EX376" s="49"/>
      <c r="EY376" s="49"/>
      <c r="EZ376" s="49"/>
      <c r="FA376" s="49"/>
    </row>
    <row r="377" spans="1:157" s="210" customFormat="1" x14ac:dyDescent="0.25">
      <c r="A377" s="113">
        <f>IF(AND('[1]Cockpit Retorno'!$E$67=Sim,Mestre!M377=Mestre!$M$98),0,1)</f>
        <v>1</v>
      </c>
      <c r="B377" s="113">
        <f>IF(AND('[1]Cockpit Retorno'!$E$67=Sim,Mestre!L377=Mestre!$L$48),0,1)</f>
        <v>1</v>
      </c>
      <c r="C377" s="113">
        <f>IF(AND('[1]Cockpit Retorno'!$E$67=Sim,Mestre!M377=Mestre!$M$97),0,1)</f>
        <v>1</v>
      </c>
      <c r="D377" s="148" t="s">
        <v>7</v>
      </c>
      <c r="E377" s="115"/>
      <c r="F377" s="116" t="s">
        <v>107</v>
      </c>
      <c r="G377" s="149"/>
      <c r="H377" s="150" t="s">
        <v>7</v>
      </c>
      <c r="I377" s="151" t="str">
        <f t="shared" si="86"/>
        <v>Mercadorias</v>
      </c>
      <c r="J377" s="150" t="s">
        <v>15</v>
      </c>
      <c r="K377" s="152" t="s">
        <v>7</v>
      </c>
      <c r="L377" s="153" t="s">
        <v>28</v>
      </c>
      <c r="M377" s="154" t="s">
        <v>465</v>
      </c>
      <c r="N377" s="155" t="s">
        <v>544</v>
      </c>
      <c r="O377" s="155" t="s">
        <v>473</v>
      </c>
      <c r="P377" s="155" t="s">
        <v>43</v>
      </c>
      <c r="Q377" s="155" t="s">
        <v>43</v>
      </c>
      <c r="R377" s="155" t="s">
        <v>43</v>
      </c>
      <c r="S377" s="156" t="s">
        <v>43</v>
      </c>
      <c r="T377" s="156" t="s">
        <v>43</v>
      </c>
      <c r="U377" s="150" t="s">
        <v>43</v>
      </c>
      <c r="V377" s="150" t="s">
        <v>43</v>
      </c>
      <c r="W377" s="150" t="s">
        <v>43</v>
      </c>
      <c r="X377" s="157" t="s">
        <v>547</v>
      </c>
      <c r="Y377" s="150">
        <v>12</v>
      </c>
      <c r="Z377" s="150" t="s">
        <v>43</v>
      </c>
      <c r="AA377" s="158">
        <v>0</v>
      </c>
      <c r="AB377" s="155" t="s">
        <v>43</v>
      </c>
      <c r="AC377" s="150" t="s">
        <v>43</v>
      </c>
      <c r="AD377" s="155" t="s">
        <v>43</v>
      </c>
      <c r="AE377" s="155"/>
      <c r="AF377" s="150" t="s">
        <v>43</v>
      </c>
      <c r="AG377" s="159"/>
      <c r="AH377" s="159">
        <v>125.22460230000002</v>
      </c>
      <c r="AI377" s="202">
        <v>0</v>
      </c>
      <c r="AJ377" s="161">
        <v>0.12</v>
      </c>
      <c r="AK377" s="162"/>
      <c r="AL377" s="163"/>
      <c r="AM377" s="164">
        <f>(((IF(L377=$L$101,1,IF(L377=$L$47,1,0))*(AH377*(1-AK377)))*AG377)*(1-AL377))</f>
        <v>0</v>
      </c>
      <c r="AN377" s="165">
        <f>IF(K377=$K$50,AM377,IF(K377=$K$53,AM377,IF(K377=$K$54,AM377,IF(K377=$K$55,AM377,IF(K377=$K$56,AM377,IF(K377=$K$57,AM377,IF(K377=$K$58,AM377,IF(K377=$K$65,AM377,IF(K377=$K$66,AM377,IF(K377=$K$67,AM377,IF(K377=$K$68,AM377,IF(K377=$K$69,AM377,IF(K377=$K$51,AM377,(AM377*(1+AI377)))))))))))))))</f>
        <v>0</v>
      </c>
      <c r="AO377" s="166">
        <v>1.4</v>
      </c>
      <c r="AP377" s="160">
        <f t="shared" si="87"/>
        <v>0</v>
      </c>
      <c r="AQ377" s="167">
        <f t="shared" si="95"/>
        <v>0</v>
      </c>
      <c r="AR377" s="160">
        <f t="shared" si="88"/>
        <v>0</v>
      </c>
      <c r="AS377" s="168">
        <f t="shared" si="89"/>
        <v>0</v>
      </c>
      <c r="AT377" s="169" t="str">
        <f>K377</f>
        <v>MI</v>
      </c>
      <c r="AU377" s="169" t="str">
        <f>I377</f>
        <v>Mercadorias</v>
      </c>
      <c r="AV377" s="170"/>
      <c r="AW377" s="171">
        <f>IF(K377=$K$50,0,IF(K377=$K$53,0,IF(K377=$K$54,0,IF(K377=$K$55,0,IF(K377=$K$56,0,IF(K377=$K$57,0,IF(K377=$K$58,0,IF(K377=$K$65,0,IF(K377=$K$66,0,IF(K377=$K$67,0,IF(K377=$K$68,0,IF(K377=$K$69,0,IF(K377=$K$51,0,1))))))))))))*AM377*AI377)</f>
        <v>0</v>
      </c>
      <c r="AX377" s="172">
        <f>IF(K377=$K$50,0,IF(K377=$K$53,0,IF(K377=$K$54,0,IF(K377=$K$55,0,IF(K377=$K$56,0,IF(K377=$K$57,0,IF(K377=$K$58,0,IF(K377=$K$65,0,IF(K377=$K$66,0,IF(K377=$K$67,0,IF(K377=$K$68,0,IF(K377=$K$69,0,IF(K377=$K$51,0,1))))))))))))*AM377*AJ377*$AX$94)</f>
        <v>0</v>
      </c>
      <c r="AY377" s="172">
        <f>IF(K377=$K$53,0,IF(K377=$K$54,0,IF(K377=$K$55,0,IF(K377=$K$56,0,IF(K377=$K$58,0,IF(K377=$K$50,0,IF(K377=$K$65,0,IF(K377=$K$57,0,IF(K377=$K$51,0,AM377*$AY$102)))))))))</f>
        <v>0</v>
      </c>
      <c r="AZ377" s="172">
        <f>IF(K377=$K$53,0,IF(K377=$K$54,0,IF(K377=$K$55,0,IF(K377=$K$56,0,IF(K377=$K$58,0,IF(K377=$K$50,0,IF(K377=$K$65,0,IF(K377=$K$57,0,IF(K377=$K$51,0,AM377*$AZ$102)))))))))</f>
        <v>0</v>
      </c>
      <c r="BA377" s="172">
        <f t="shared" si="90"/>
        <v>0</v>
      </c>
      <c r="BB377" s="173">
        <f>IF($BA$97=1,AQ377*$BB$102,IF(K377=$K$50,0,IF(K377=$K$53,0,IF(K377=$K$54,0,IF(K377=$K$55,0,IF(K377=$K$56,0,IF(K377=$K$57,0,IF(K377=$K$58,0,IF(K377=$K$65,0,IF(K377=$K$66,0,IF(K377=$K$67,0,IF(K377=$K$68,0,IF(K377=$K$69,0,IF(K377=$K$51,0,1)))))))))))*AQ377*$BB$102)))</f>
        <v>0</v>
      </c>
      <c r="BC377" s="172">
        <f t="shared" si="91"/>
        <v>0</v>
      </c>
      <c r="BD377" s="172">
        <f t="shared" si="92"/>
        <v>0</v>
      </c>
      <c r="BE377" s="172">
        <f>IF($BE$95=I377,$BE$97,IF(I377=$BE$96,$BE$97,1))*($BE$102*AQ377)*$AZ$97</f>
        <v>0</v>
      </c>
      <c r="BF377" s="172">
        <f>IF('[1]Cockpit Retorno'!$C$65=Sim,Mestre!BA377,SUM(BB377:BE377)+(IF(K377=$K$56,AQ377*MOE_IRRF_LR,0)))</f>
        <v>0</v>
      </c>
      <c r="BG377" s="174">
        <f>IF(AA377&gt;0,0,IF(Z377=$Z$82,AG377*1,(IF(Z377=$Z$81,AG377*1,0))))</f>
        <v>0</v>
      </c>
      <c r="BH377" s="174">
        <f>IF(AA377&gt;0,0,IF(Z377=$Z$83,AG377*1,IF(Z377=$Z$81,AG377*1,0)))</f>
        <v>0</v>
      </c>
      <c r="BI377" s="174">
        <f>IF(AA377&gt;0,0,IF(Z377=$Z$84,AG377*1,IF(Z377=$Z$93,AG377*2,IF(Z377=$Z$100,AG377,IF(Z377=$Z$81,AG377*2,IF(Z377=$Z$80,AG377*1,IF(Z377=$Z$79,AG377*3,IF(Z377=$Z$78,AG377*2,0))))))))</f>
        <v>0</v>
      </c>
      <c r="BJ377" s="174">
        <f>IF(AA377&gt;0,0,IF(Z377=$Z$85,AG377,IF(Z377=$Z$93,AG377,IF(Z377=$Z$100,AG377,IF(Z377=$Z$81,AG377*1,IF(Z377=$Z$80,AG377*2,IF(Z377=$Z$79,AG377*2,IF(Z377=$Z$78,AG377*2,0))))))))</f>
        <v>0</v>
      </c>
      <c r="BK377" s="174">
        <f>IF(AA377&gt;0,0,IF(Z377=$Z$92,AG377,0))</f>
        <v>0</v>
      </c>
      <c r="BL377" s="174">
        <f>IF(AA377&gt;0,0,IF(Z377=$Z$91,AG377,0))</f>
        <v>0</v>
      </c>
      <c r="BM377" s="174">
        <f>IF(AA377&gt;0,0,IF(Z377=$Z$86,AG377,0))</f>
        <v>0</v>
      </c>
      <c r="BN377" s="174">
        <f>IF(AA377&gt;0,0,IF(Z377=$Z$87,AG377,0))</f>
        <v>0</v>
      </c>
      <c r="BO377" s="174">
        <f>IF(AA377&gt;0,0,IF(Z377=$Z$88,AG377,0))</f>
        <v>0</v>
      </c>
      <c r="BP377" s="174">
        <f>IF(AA377&gt;0,0,IF(Z377=$Z$89,AG377,0))</f>
        <v>0</v>
      </c>
      <c r="BQ377" s="174">
        <f>IF(AA377&gt;0,0,IF(Z377=$Z$90,AG377,0))</f>
        <v>0</v>
      </c>
      <c r="BR377" s="174">
        <f>IF(Z377=$Z$82,AA377*AG377,0)</f>
        <v>0</v>
      </c>
      <c r="BS377" s="174">
        <f>IF(Z377=$Z$83,AA377*AG377,0)</f>
        <v>0</v>
      </c>
      <c r="BT377" s="174">
        <f>IF(AA377&lt;1,0,IF(Z377=$Z$84,AA377*AG377,IF(Z377=$Z$93,"ERRO",IF(Z377=$Z$100,"ERRO",0))))</f>
        <v>0</v>
      </c>
      <c r="BU377" s="174">
        <f>IF(AA377&lt;1,0,IF(Z377=$Z$85,AA377*AG377,IF(Z377=$Z$93,"ERRO",IF(Z377=$Z$100,"ERRO",0))))</f>
        <v>0</v>
      </c>
      <c r="BV377" s="174">
        <f>IF(Z377=$Z$92,AA377*AG377,0)</f>
        <v>0</v>
      </c>
      <c r="BW377" s="174">
        <f>IF(Z377=$Z$91,AA377*AG377,0)</f>
        <v>0</v>
      </c>
      <c r="BX377" s="174">
        <f>IF(Z377=$Z$86,AA377*AG377,0)</f>
        <v>0</v>
      </c>
      <c r="BY377" s="174">
        <f>IF(Z377=$Z$87,AA377*AG377,0)</f>
        <v>0</v>
      </c>
      <c r="BZ377" s="174">
        <f>IF(Z377=$Z$88,AA377*AG377,0)</f>
        <v>0</v>
      </c>
      <c r="CA377" s="174">
        <f>IF(Z377=$Z$89,AA377*AG377,0)</f>
        <v>0</v>
      </c>
      <c r="CB377" s="174">
        <f>IF(Z377=$Z$90,AA377*AG377,0)</f>
        <v>0</v>
      </c>
      <c r="CC377" s="175">
        <f>IFERROR(IF(L377=$L$49,AG377*AH377*(1+AI377)*(1-AK377)*(1-AL377),0),0)</f>
        <v>0</v>
      </c>
      <c r="CD377" s="203">
        <f>IF(I377=$CD$97,1,IF(I377=$CD$100,2,IF(K377=$K$66,1,IF(K377=$K$69,1,3))))</f>
        <v>1</v>
      </c>
      <c r="CE377" s="203">
        <f t="shared" si="14"/>
        <v>1.07</v>
      </c>
      <c r="CF377" s="204">
        <f t="shared" si="75"/>
        <v>1.2353999999999998</v>
      </c>
      <c r="CG377" s="203">
        <f t="shared" si="15"/>
        <v>1.42</v>
      </c>
      <c r="CH377" s="204">
        <f t="shared" si="76"/>
        <v>1.5478000000000001</v>
      </c>
      <c r="CI377" s="203">
        <f t="shared" si="16"/>
        <v>1.7</v>
      </c>
      <c r="CJ377" s="205">
        <f t="shared" si="77"/>
        <v>1.0486</v>
      </c>
      <c r="CK377" s="205">
        <f t="shared" si="78"/>
        <v>1.148922</v>
      </c>
      <c r="CL377" s="205">
        <f t="shared" si="79"/>
        <v>1.3915999999999999</v>
      </c>
      <c r="CM377" s="205">
        <f t="shared" si="80"/>
        <v>1.501366</v>
      </c>
      <c r="CN377" s="206">
        <f t="shared" si="81"/>
        <v>1.6319999999999999</v>
      </c>
      <c r="CO377" s="204">
        <f t="shared" si="82"/>
        <v>1.006656</v>
      </c>
      <c r="CP377" s="207">
        <f t="shared" si="83"/>
        <v>0</v>
      </c>
      <c r="CQ377" s="208">
        <f t="shared" si="84"/>
        <v>0</v>
      </c>
      <c r="CR377" s="209">
        <f t="shared" si="93"/>
        <v>0</v>
      </c>
      <c r="CS377" s="49"/>
      <c r="CT377" s="49"/>
      <c r="CU377" s="49"/>
      <c r="CV377" s="49"/>
      <c r="CW377" s="49"/>
      <c r="CX377" s="49"/>
      <c r="CY377" s="49"/>
      <c r="CZ377" s="49"/>
      <c r="DA377" s="49"/>
      <c r="DB377" s="49"/>
      <c r="DC377" s="49"/>
      <c r="DD377" s="49"/>
      <c r="DE377" s="49"/>
      <c r="DF377" s="49"/>
      <c r="DG377" s="49"/>
      <c r="DH377" s="49"/>
      <c r="DI377" s="49"/>
      <c r="DJ377" s="49"/>
      <c r="DK377" s="49"/>
      <c r="DL377" s="49"/>
      <c r="DM377" s="49"/>
      <c r="DN377" s="49"/>
      <c r="DO377" s="49"/>
      <c r="DP377" s="49"/>
      <c r="DQ377" s="49"/>
      <c r="DR377" s="49"/>
      <c r="DS377" s="49"/>
      <c r="DT377" s="49"/>
      <c r="DU377" s="49"/>
      <c r="DV377" s="49"/>
      <c r="DW377" s="49"/>
      <c r="DX377" s="49"/>
      <c r="DY377" s="49"/>
      <c r="DZ377" s="49"/>
      <c r="EA377" s="49"/>
      <c r="EB377" s="49"/>
      <c r="EC377" s="49"/>
      <c r="ED377" s="49"/>
      <c r="EE377" s="49"/>
      <c r="EF377" s="49"/>
      <c r="EG377" s="49"/>
      <c r="EH377" s="49"/>
      <c r="EI377" s="49"/>
      <c r="EJ377" s="49"/>
      <c r="EK377" s="49"/>
      <c r="EL377" s="49"/>
      <c r="EM377" s="49"/>
      <c r="EN377" s="49"/>
      <c r="EO377" s="49"/>
      <c r="EP377" s="49"/>
      <c r="EQ377" s="49"/>
      <c r="ER377" s="49"/>
      <c r="ES377" s="49"/>
      <c r="ET377" s="49"/>
      <c r="EU377" s="49"/>
      <c r="EV377" s="49"/>
      <c r="EW377" s="49"/>
      <c r="EX377" s="49"/>
      <c r="EY377" s="49"/>
      <c r="EZ377" s="49"/>
      <c r="FA377" s="49"/>
    </row>
    <row r="378" spans="1:157" s="210" customFormat="1" x14ac:dyDescent="0.25">
      <c r="A378" s="113">
        <f>IF(AND('[1]Cockpit Retorno'!$E$67=Sim,Mestre!M378=Mestre!$M$98),0,1)</f>
        <v>1</v>
      </c>
      <c r="B378" s="113">
        <f>IF(AND('[1]Cockpit Retorno'!$E$67=Sim,Mestre!L378=Mestre!$L$48),0,1)</f>
        <v>1</v>
      </c>
      <c r="C378" s="113">
        <f>IF(AND('[1]Cockpit Retorno'!$E$67=Sim,Mestre!M378=Mestre!$M$97),0,1)</f>
        <v>1</v>
      </c>
      <c r="D378" s="148" t="s">
        <v>7</v>
      </c>
      <c r="E378" s="115"/>
      <c r="F378" s="116" t="s">
        <v>107</v>
      </c>
      <c r="G378" s="149"/>
      <c r="H378" s="150" t="s">
        <v>7</v>
      </c>
      <c r="I378" s="151" t="str">
        <f t="shared" si="86"/>
        <v>Mercadorias</v>
      </c>
      <c r="J378" s="150" t="s">
        <v>15</v>
      </c>
      <c r="K378" s="152" t="s">
        <v>7</v>
      </c>
      <c r="L378" s="153" t="s">
        <v>28</v>
      </c>
      <c r="M378" s="154" t="s">
        <v>543</v>
      </c>
      <c r="N378" s="155" t="s">
        <v>544</v>
      </c>
      <c r="O378" s="155" t="s">
        <v>545</v>
      </c>
      <c r="P378" s="155" t="s">
        <v>43</v>
      </c>
      <c r="Q378" s="155" t="s">
        <v>43</v>
      </c>
      <c r="R378" s="155" t="s">
        <v>43</v>
      </c>
      <c r="S378" s="156" t="s">
        <v>43</v>
      </c>
      <c r="T378" s="156" t="s">
        <v>43</v>
      </c>
      <c r="U378" s="150" t="s">
        <v>43</v>
      </c>
      <c r="V378" s="150" t="s">
        <v>43</v>
      </c>
      <c r="W378" s="150" t="s">
        <v>43</v>
      </c>
      <c r="X378" s="157" t="s">
        <v>548</v>
      </c>
      <c r="Y378" s="150">
        <v>149</v>
      </c>
      <c r="Z378" s="150" t="s">
        <v>43</v>
      </c>
      <c r="AA378" s="158">
        <v>0</v>
      </c>
      <c r="AB378" s="155" t="s">
        <v>43</v>
      </c>
      <c r="AC378" s="150" t="s">
        <v>43</v>
      </c>
      <c r="AD378" s="155" t="s">
        <v>43</v>
      </c>
      <c r="AE378" s="155"/>
      <c r="AF378" s="150" t="s">
        <v>43</v>
      </c>
      <c r="AG378" s="159"/>
      <c r="AH378" s="159">
        <v>345.47640000000001</v>
      </c>
      <c r="AI378" s="202">
        <v>9.7500000000000003E-2</v>
      </c>
      <c r="AJ378" s="161">
        <v>7.0000000000000007E-2</v>
      </c>
      <c r="AK378" s="162"/>
      <c r="AL378" s="163"/>
      <c r="AM378" s="164">
        <f>(((IF(L378=$L$101,1,IF(L378=$L$47,1,0))*(AH378*(1-AK378)))*AG378)*(1-AL378))</f>
        <v>0</v>
      </c>
      <c r="AN378" s="165">
        <f>IF(K378=$K$50,AM378,IF(K378=$K$53,AM378,IF(K378=$K$54,AM378,IF(K378=$K$55,AM378,IF(K378=$K$56,AM378,IF(K378=$K$57,AM378,IF(K378=$K$58,AM378,IF(K378=$K$65,AM378,IF(K378=$K$66,AM378,IF(K378=$K$67,AM378,IF(K378=$K$68,AM378,IF(K378=$K$69,AM378,IF(K378=$K$51,AM378,(AM378*(1+AI378)))))))))))))))</f>
        <v>0</v>
      </c>
      <c r="AO378" s="166">
        <v>1.4</v>
      </c>
      <c r="AP378" s="160">
        <f t="shared" si="87"/>
        <v>0</v>
      </c>
      <c r="AQ378" s="167">
        <f t="shared" si="95"/>
        <v>0</v>
      </c>
      <c r="AR378" s="160">
        <f t="shared" si="88"/>
        <v>0</v>
      </c>
      <c r="AS378" s="168">
        <f t="shared" si="89"/>
        <v>0</v>
      </c>
      <c r="AT378" s="169" t="str">
        <f>K378</f>
        <v>MI</v>
      </c>
      <c r="AU378" s="169" t="str">
        <f>I378</f>
        <v>Mercadorias</v>
      </c>
      <c r="AV378" s="170"/>
      <c r="AW378" s="171">
        <f>IF(K378=$K$50,0,IF(K378=$K$53,0,IF(K378=$K$54,0,IF(K378=$K$55,0,IF(K378=$K$56,0,IF(K378=$K$57,0,IF(K378=$K$58,0,IF(K378=$K$65,0,IF(K378=$K$66,0,IF(K378=$K$67,0,IF(K378=$K$68,0,IF(K378=$K$69,0,IF(K378=$K$51,0,1))))))))))))*AM378*AI378)</f>
        <v>0</v>
      </c>
      <c r="AX378" s="172">
        <f>IF(K378=$K$50,0,IF(K378=$K$53,0,IF(K378=$K$54,0,IF(K378=$K$55,0,IF(K378=$K$56,0,IF(K378=$K$57,0,IF(K378=$K$58,0,IF(K378=$K$65,0,IF(K378=$K$66,0,IF(K378=$K$67,0,IF(K378=$K$68,0,IF(K378=$K$69,0,IF(K378=$K$51,0,1))))))))))))*AM378*AJ378*$AX$94)</f>
        <v>0</v>
      </c>
      <c r="AY378" s="172">
        <f>IF(K378=$K$53,0,IF(K378=$K$54,0,IF(K378=$K$55,0,IF(K378=$K$56,0,IF(K378=$K$58,0,IF(K378=$K$50,0,IF(K378=$K$65,0,IF(K378=$K$57,0,IF(K378=$K$51,0,AM378*$AY$102)))))))))</f>
        <v>0</v>
      </c>
      <c r="AZ378" s="172">
        <f>IF(K378=$K$53,0,IF(K378=$K$54,0,IF(K378=$K$55,0,IF(K378=$K$56,0,IF(K378=$K$58,0,IF(K378=$K$50,0,IF(K378=$K$65,0,IF(K378=$K$57,0,IF(K378=$K$51,0,AM378*$AZ$102)))))))))</f>
        <v>0</v>
      </c>
      <c r="BA378" s="172">
        <f t="shared" si="90"/>
        <v>0</v>
      </c>
      <c r="BB378" s="173">
        <f>IF($BA$97=1,AQ378*$BB$102,IF(K378=$K$50,0,IF(K378=$K$53,0,IF(K378=$K$54,0,IF(K378=$K$55,0,IF(K378=$K$56,0,IF(K378=$K$57,0,IF(K378=$K$58,0,IF(K378=$K$65,0,IF(K378=$K$66,0,IF(K378=$K$67,0,IF(K378=$K$68,0,IF(K378=$K$69,0,IF(K378=$K$51,0,1)))))))))))*AQ378*$BB$102)))</f>
        <v>0</v>
      </c>
      <c r="BC378" s="172">
        <f t="shared" si="91"/>
        <v>0</v>
      </c>
      <c r="BD378" s="172">
        <f t="shared" si="92"/>
        <v>0</v>
      </c>
      <c r="BE378" s="172">
        <f>IF($BE$95=I378,$BE$97,IF(I378=$BE$96,$BE$97,1))*($BE$102*AQ378)*$AZ$97</f>
        <v>0</v>
      </c>
      <c r="BF378" s="172">
        <f>IF('[1]Cockpit Retorno'!$C$65=Sim,Mestre!BA378,SUM(BB378:BE378)+(IF(K378=$K$56,AQ378*MOE_IRRF_LR,0)))</f>
        <v>0</v>
      </c>
      <c r="BG378" s="174">
        <f>IF(AA378&gt;0,0,IF(Z378=$Z$82,AG378*1,(IF(Z378=$Z$81,AG378*1,0))))</f>
        <v>0</v>
      </c>
      <c r="BH378" s="174">
        <f>IF(AA378&gt;0,0,IF(Z378=$Z$83,AG378*1,IF(Z378=$Z$81,AG378*1,0)))</f>
        <v>0</v>
      </c>
      <c r="BI378" s="174">
        <f>IF(AA378&gt;0,0,IF(Z378=$Z$84,AG378*1,IF(Z378=$Z$93,AG378*2,IF(Z378=$Z$100,AG378,IF(Z378=$Z$81,AG378*2,IF(Z378=$Z$80,AG378*1,IF(Z378=$Z$79,AG378*3,IF(Z378=$Z$78,AG378*2,0))))))))</f>
        <v>0</v>
      </c>
      <c r="BJ378" s="174">
        <f>IF(AA378&gt;0,0,IF(Z378=$Z$85,AG378,IF(Z378=$Z$93,AG378,IF(Z378=$Z$100,AG378,IF(Z378=$Z$81,AG378*1,IF(Z378=$Z$80,AG378*2,IF(Z378=$Z$79,AG378*2,IF(Z378=$Z$78,AG378*2,0))))))))</f>
        <v>0</v>
      </c>
      <c r="BK378" s="174">
        <f>IF(AA378&gt;0,0,IF(Z378=$Z$92,AG378,0))</f>
        <v>0</v>
      </c>
      <c r="BL378" s="174">
        <f>IF(AA378&gt;0,0,IF(Z378=$Z$91,AG378,0))</f>
        <v>0</v>
      </c>
      <c r="BM378" s="174">
        <f>IF(AA378&gt;0,0,IF(Z378=$Z$86,AG378,0))</f>
        <v>0</v>
      </c>
      <c r="BN378" s="174">
        <f>IF(AA378&gt;0,0,IF(Z378=$Z$87,AG378,0))</f>
        <v>0</v>
      </c>
      <c r="BO378" s="174">
        <f>IF(AA378&gt;0,0,IF(Z378=$Z$88,AG378,0))</f>
        <v>0</v>
      </c>
      <c r="BP378" s="174">
        <f>IF(AA378&gt;0,0,IF(Z378=$Z$89,AG378,0))</f>
        <v>0</v>
      </c>
      <c r="BQ378" s="174">
        <f>IF(AA378&gt;0,0,IF(Z378=$Z$90,AG378,0))</f>
        <v>0</v>
      </c>
      <c r="BR378" s="174">
        <f>IF(Z378=$Z$82,AA378*AG378,0)</f>
        <v>0</v>
      </c>
      <c r="BS378" s="174">
        <f>IF(Z378=$Z$83,AA378*AG378,0)</f>
        <v>0</v>
      </c>
      <c r="BT378" s="174">
        <f>IF(AA378&lt;1,0,IF(Z378=$Z$84,AA378*AG378,IF(Z378=$Z$93,"ERRO",IF(Z378=$Z$100,"ERRO",0))))</f>
        <v>0</v>
      </c>
      <c r="BU378" s="174">
        <f>IF(AA378&lt;1,0,IF(Z378=$Z$85,AA378*AG378,IF(Z378=$Z$93,"ERRO",IF(Z378=$Z$100,"ERRO",0))))</f>
        <v>0</v>
      </c>
      <c r="BV378" s="174">
        <f>IF(Z378=$Z$92,AA378*AG378,0)</f>
        <v>0</v>
      </c>
      <c r="BW378" s="174">
        <f>IF(Z378=$Z$91,AA378*AG378,0)</f>
        <v>0</v>
      </c>
      <c r="BX378" s="174">
        <f>IF(Z378=$Z$86,AA378*AG378,0)</f>
        <v>0</v>
      </c>
      <c r="BY378" s="174">
        <f>IF(Z378=$Z$87,AA378*AG378,0)</f>
        <v>0</v>
      </c>
      <c r="BZ378" s="174">
        <f>IF(Z378=$Z$88,AA378*AG378,0)</f>
        <v>0</v>
      </c>
      <c r="CA378" s="174">
        <f>IF(Z378=$Z$89,AA378*AG378,0)</f>
        <v>0</v>
      </c>
      <c r="CB378" s="174">
        <f>IF(Z378=$Z$90,AA378*AG378,0)</f>
        <v>0</v>
      </c>
      <c r="CC378" s="175">
        <f>IFERROR(IF(L378=$L$49,AG378*AH378*(1+AI378)*(1-AK378)*(1-AL378),0),0)</f>
        <v>0</v>
      </c>
      <c r="CD378" s="203">
        <f>IF(I378=$CD$97,1,IF(I378=$CD$100,2,IF(K378=$K$66,1,IF(K378=$K$69,1,3))))</f>
        <v>1</v>
      </c>
      <c r="CE378" s="203">
        <f t="shared" si="14"/>
        <v>1.07</v>
      </c>
      <c r="CF378" s="204">
        <f t="shared" si="75"/>
        <v>1.2353999999999998</v>
      </c>
      <c r="CG378" s="203">
        <f t="shared" si="15"/>
        <v>1.42</v>
      </c>
      <c r="CH378" s="204">
        <f t="shared" si="76"/>
        <v>1.5478000000000001</v>
      </c>
      <c r="CI378" s="203">
        <f t="shared" si="16"/>
        <v>1.7</v>
      </c>
      <c r="CJ378" s="205">
        <f t="shared" si="77"/>
        <v>1.0486</v>
      </c>
      <c r="CK378" s="205">
        <f t="shared" si="78"/>
        <v>1.148922</v>
      </c>
      <c r="CL378" s="205">
        <f t="shared" si="79"/>
        <v>1.3915999999999999</v>
      </c>
      <c r="CM378" s="205">
        <f t="shared" si="80"/>
        <v>1.501366</v>
      </c>
      <c r="CN378" s="206">
        <f t="shared" si="81"/>
        <v>1.6319999999999999</v>
      </c>
      <c r="CO378" s="204">
        <f t="shared" si="82"/>
        <v>1.006656</v>
      </c>
      <c r="CP378" s="207">
        <f t="shared" si="83"/>
        <v>0</v>
      </c>
      <c r="CQ378" s="208">
        <f t="shared" si="84"/>
        <v>0</v>
      </c>
      <c r="CR378" s="209">
        <f t="shared" si="93"/>
        <v>0</v>
      </c>
      <c r="CS378" s="49"/>
      <c r="CT378" s="49"/>
      <c r="CU378" s="49"/>
      <c r="CV378" s="49"/>
      <c r="CW378" s="49"/>
      <c r="CX378" s="49"/>
      <c r="CY378" s="49"/>
      <c r="CZ378" s="49"/>
      <c r="DA378" s="49"/>
      <c r="DB378" s="49"/>
      <c r="DC378" s="49"/>
      <c r="DD378" s="49"/>
      <c r="DE378" s="49"/>
      <c r="DF378" s="49"/>
      <c r="DG378" s="49"/>
      <c r="DH378" s="49"/>
      <c r="DI378" s="49"/>
      <c r="DJ378" s="49"/>
      <c r="DK378" s="49"/>
      <c r="DL378" s="49"/>
      <c r="DM378" s="49"/>
      <c r="DN378" s="49"/>
      <c r="DO378" s="49"/>
      <c r="DP378" s="49"/>
      <c r="DQ378" s="49"/>
      <c r="DR378" s="49"/>
      <c r="DS378" s="49"/>
      <c r="DT378" s="49"/>
      <c r="DU378" s="49"/>
      <c r="DV378" s="49"/>
      <c r="DW378" s="49"/>
      <c r="DX378" s="49"/>
      <c r="DY378" s="49"/>
      <c r="DZ378" s="49"/>
      <c r="EA378" s="49"/>
      <c r="EB378" s="49"/>
      <c r="EC378" s="49"/>
      <c r="ED378" s="49"/>
      <c r="EE378" s="49"/>
      <c r="EF378" s="49"/>
      <c r="EG378" s="49"/>
      <c r="EH378" s="49"/>
      <c r="EI378" s="49"/>
      <c r="EJ378" s="49"/>
      <c r="EK378" s="49"/>
      <c r="EL378" s="49"/>
      <c r="EM378" s="49"/>
      <c r="EN378" s="49"/>
      <c r="EO378" s="49"/>
      <c r="EP378" s="49"/>
      <c r="EQ378" s="49"/>
      <c r="ER378" s="49"/>
      <c r="ES378" s="49"/>
      <c r="ET378" s="49"/>
      <c r="EU378" s="49"/>
      <c r="EV378" s="49"/>
      <c r="EW378" s="49"/>
      <c r="EX378" s="49"/>
      <c r="EY378" s="49"/>
      <c r="EZ378" s="49"/>
      <c r="FA378" s="49"/>
    </row>
    <row r="379" spans="1:157" s="210" customFormat="1" x14ac:dyDescent="0.25">
      <c r="A379" s="113">
        <f>IF(AND('[1]Cockpit Retorno'!$E$67=Sim,Mestre!M379=Mestre!$M$98),0,1)</f>
        <v>1</v>
      </c>
      <c r="B379" s="113">
        <f>IF(AND('[1]Cockpit Retorno'!$E$67=Sim,Mestre!L379=Mestre!$L$48),0,1)</f>
        <v>1</v>
      </c>
      <c r="C379" s="113">
        <f>IF(AND('[1]Cockpit Retorno'!$E$67=Sim,Mestre!M379=Mestre!$M$97),0,1)</f>
        <v>1</v>
      </c>
      <c r="D379" s="148" t="s">
        <v>7</v>
      </c>
      <c r="E379" s="115"/>
      <c r="F379" s="116" t="s">
        <v>107</v>
      </c>
      <c r="G379" s="149"/>
      <c r="H379" s="150" t="s">
        <v>7</v>
      </c>
      <c r="I379" s="151" t="str">
        <f>VLOOKUP(K379,$N$74:$O$95,2)</f>
        <v>Mercadorias</v>
      </c>
      <c r="J379" s="150" t="s">
        <v>15</v>
      </c>
      <c r="K379" s="152" t="s">
        <v>7</v>
      </c>
      <c r="L379" s="153" t="s">
        <v>28</v>
      </c>
      <c r="M379" s="154" t="s">
        <v>543</v>
      </c>
      <c r="N379" s="155" t="s">
        <v>544</v>
      </c>
      <c r="O379" s="155" t="s">
        <v>545</v>
      </c>
      <c r="P379" s="155" t="s">
        <v>43</v>
      </c>
      <c r="Q379" s="155" t="s">
        <v>43</v>
      </c>
      <c r="R379" s="155" t="s">
        <v>43</v>
      </c>
      <c r="S379" s="156" t="s">
        <v>43</v>
      </c>
      <c r="T379" s="156" t="s">
        <v>43</v>
      </c>
      <c r="U379" s="150" t="s">
        <v>43</v>
      </c>
      <c r="V379" s="150" t="s">
        <v>43</v>
      </c>
      <c r="W379" s="150" t="s">
        <v>43</v>
      </c>
      <c r="X379" s="157" t="s">
        <v>549</v>
      </c>
      <c r="Y379" s="150">
        <v>103</v>
      </c>
      <c r="Z379" s="150" t="s">
        <v>43</v>
      </c>
      <c r="AA379" s="158">
        <v>0</v>
      </c>
      <c r="AB379" s="155" t="s">
        <v>43</v>
      </c>
      <c r="AC379" s="150" t="s">
        <v>43</v>
      </c>
      <c r="AD379" s="155" t="s">
        <v>43</v>
      </c>
      <c r="AE379" s="155"/>
      <c r="AF379" s="150" t="s">
        <v>43</v>
      </c>
      <c r="AG379" s="159"/>
      <c r="AH379" s="159">
        <v>345.47640000000001</v>
      </c>
      <c r="AI379" s="202">
        <v>9.7500000000000003E-2</v>
      </c>
      <c r="AJ379" s="161">
        <v>7.0000000000000007E-2</v>
      </c>
      <c r="AK379" s="162"/>
      <c r="AL379" s="163"/>
      <c r="AM379" s="164">
        <f>(((IF(L379=$L$101,1,IF(L379=$L$47,1,0))*(AH379*(1-AK379)))*AG379)*(1-AL379))</f>
        <v>0</v>
      </c>
      <c r="AN379" s="165">
        <f>IF(K379=$K$50,AM379,IF(K379=$K$53,AM379,IF(K379=$K$54,AM379,IF(K379=$K$55,AM379,IF(K379=$K$56,AM379,IF(K379=$K$57,AM379,IF(K379=$K$58,AM379,IF(K379=$K$65,AM379,IF(K379=$K$66,AM379,IF(K379=$K$67,AM379,IF(K379=$K$68,AM379,IF(K379=$K$69,AM379,IF(K379=$K$51,AM379,(AM379*(1+AI379)))))))))))))))</f>
        <v>0</v>
      </c>
      <c r="AO379" s="166">
        <v>1.4</v>
      </c>
      <c r="AP379" s="160">
        <f>AM379*AO379</f>
        <v>0</v>
      </c>
      <c r="AQ379" s="167">
        <f t="shared" si="95"/>
        <v>0</v>
      </c>
      <c r="AR379" s="160">
        <f>AO379*AN379</f>
        <v>0</v>
      </c>
      <c r="AS379" s="168">
        <f>IFERROR(IF($AX$94=0,(CQ379/AN379),CQ379/AM379),0)</f>
        <v>0</v>
      </c>
      <c r="AT379" s="169" t="str">
        <f>K379</f>
        <v>MI</v>
      </c>
      <c r="AU379" s="169" t="str">
        <f>I379</f>
        <v>Mercadorias</v>
      </c>
      <c r="AV379" s="170"/>
      <c r="AW379" s="171">
        <f>IF(K379=$K$50,0,IF(K379=$K$53,0,IF(K379=$K$54,0,IF(K379=$K$55,0,IF(K379=$K$56,0,IF(K379=$K$57,0,IF(K379=$K$58,0,IF(K379=$K$65,0,IF(K379=$K$66,0,IF(K379=$K$67,0,IF(K379=$K$68,0,IF(K379=$K$69,0,IF(K379=$K$51,0,1))))))))))))*AM379*AI379)</f>
        <v>0</v>
      </c>
      <c r="AX379" s="172">
        <f>IF(K379=$K$50,0,IF(K379=$K$53,0,IF(K379=$K$54,0,IF(K379=$K$55,0,IF(K379=$K$56,0,IF(K379=$K$57,0,IF(K379=$K$58,0,IF(K379=$K$65,0,IF(K379=$K$66,0,IF(K379=$K$67,0,IF(K379=$K$68,0,IF(K379=$K$69,0,IF(K379=$K$51,0,1))))))))))))*AM379*AJ379*$AX$94)</f>
        <v>0</v>
      </c>
      <c r="AY379" s="172">
        <f>IF(K379=$K$53,0,IF(K379=$K$54,0,IF(K379=$K$55,0,IF(K379=$K$56,0,IF(K379=$K$58,0,IF(K379=$K$50,0,IF(K379=$K$65,0,IF(K379=$K$57,0,IF(K379=$K$51,0,AM379*$AY$102)))))))))</f>
        <v>0</v>
      </c>
      <c r="AZ379" s="172">
        <f>IF(K379=$K$53,0,IF(K379=$K$54,0,IF(K379=$K$55,0,IF(K379=$K$56,0,IF(K379=$K$58,0,IF(K379=$K$50,0,IF(K379=$K$65,0,IF(K379=$K$57,0,IF(K379=$K$51,0,AM379*$AZ$102)))))))))</f>
        <v>0</v>
      </c>
      <c r="BA379" s="172">
        <f>AZ379+AY379+AX379</f>
        <v>0</v>
      </c>
      <c r="BB379" s="173">
        <f>IF($BA$97=1,AQ379*$BB$102,IF(K379=$K$50,0,IF(K379=$K$53,0,IF(K379=$K$54,0,IF(K379=$K$55,0,IF(K379=$K$56,0,IF(K379=$K$57,0,IF(K379=$K$58,0,IF(K379=$K$65,0,IF(K379=$K$66,0,IF(K379=$K$67,0,IF(K379=$K$68,0,IF(K379=$K$69,0,IF(K379=$K$51,0,1)))))))))))*AQ379*$BB$102)))</f>
        <v>0</v>
      </c>
      <c r="BC379" s="172">
        <f>AQ379*$BC$102</f>
        <v>0</v>
      </c>
      <c r="BD379" s="172">
        <f>$BD$102*AQ379</f>
        <v>0</v>
      </c>
      <c r="BE379" s="172">
        <f>IF($BE$95=I379,$BE$97,IF(I379=$BE$96,$BE$97,1))*($BE$102*AQ379)*$AZ$97</f>
        <v>0</v>
      </c>
      <c r="BF379" s="172">
        <f>IF('[1]Cockpit Retorno'!$C$65=Sim,Mestre!BA379,SUM(BB379:BE379)+(IF(K379=$K$56,AQ379*MOE_IRRF_LR,0)))</f>
        <v>0</v>
      </c>
      <c r="BG379" s="174">
        <f>IF(AA379&gt;0,0,IF(Z379=$Z$82,AG379*1,(IF(Z379=$Z$81,AG379*1,0))))</f>
        <v>0</v>
      </c>
      <c r="BH379" s="174">
        <f>IF(AA379&gt;0,0,IF(Z379=$Z$83,AG379*1,IF(Z379=$Z$81,AG379*1,0)))</f>
        <v>0</v>
      </c>
      <c r="BI379" s="174">
        <f>IF(AA379&gt;0,0,IF(Z379=$Z$84,AG379*1,IF(Z379=$Z$93,AG379*2,IF(Z379=$Z$100,AG379,IF(Z379=$Z$81,AG379*2,IF(Z379=$Z$80,AG379*1,IF(Z379=$Z$79,AG379*3,IF(Z379=$Z$78,AG379*2,0))))))))</f>
        <v>0</v>
      </c>
      <c r="BJ379" s="174">
        <f>IF(AA379&gt;0,0,IF(Z379=$Z$85,AG379,IF(Z379=$Z$93,AG379,IF(Z379=$Z$100,AG379,IF(Z379=$Z$81,AG379*1,IF(Z379=$Z$80,AG379*2,IF(Z379=$Z$79,AG379*2,IF(Z379=$Z$78,AG379*2,0))))))))</f>
        <v>0</v>
      </c>
      <c r="BK379" s="174">
        <f>IF(AA379&gt;0,0,IF(Z379=$Z$92,AG379,0))</f>
        <v>0</v>
      </c>
      <c r="BL379" s="174">
        <f>IF(AA379&gt;0,0,IF(Z379=$Z$91,AG379,0))</f>
        <v>0</v>
      </c>
      <c r="BM379" s="174">
        <f>IF(AA379&gt;0,0,IF(Z379=$Z$86,AG379,0))</f>
        <v>0</v>
      </c>
      <c r="BN379" s="174">
        <f>IF(AA379&gt;0,0,IF(Z379=$Z$87,AG379,0))</f>
        <v>0</v>
      </c>
      <c r="BO379" s="174">
        <f>IF(AA379&gt;0,0,IF(Z379=$Z$88,AG379,0))</f>
        <v>0</v>
      </c>
      <c r="BP379" s="174">
        <f>IF(AA379&gt;0,0,IF(Z379=$Z$89,AG379,0))</f>
        <v>0</v>
      </c>
      <c r="BQ379" s="174">
        <f>IF(AA379&gt;0,0,IF(Z379=$Z$90,AG379,0))</f>
        <v>0</v>
      </c>
      <c r="BR379" s="174">
        <f>IF(Z379=$Z$82,AA379*AG379,0)</f>
        <v>0</v>
      </c>
      <c r="BS379" s="174">
        <f>IF(Z379=$Z$83,AA379*AG379,0)</f>
        <v>0</v>
      </c>
      <c r="BT379" s="174">
        <f>IF(AA379&lt;1,0,IF(Z379=$Z$84,AA379*AG379,IF(Z379=$Z$93,"ERRO",IF(Z379=$Z$100,"ERRO",0))))</f>
        <v>0</v>
      </c>
      <c r="BU379" s="174">
        <f>IF(AA379&lt;1,0,IF(Z379=$Z$85,AA379*AG379,IF(Z379=$Z$93,"ERRO",IF(Z379=$Z$100,"ERRO",0))))</f>
        <v>0</v>
      </c>
      <c r="BV379" s="174">
        <f>IF(Z379=$Z$92,AA379*AG379,0)</f>
        <v>0</v>
      </c>
      <c r="BW379" s="174">
        <f>IF(Z379=$Z$91,AA379*AG379,0)</f>
        <v>0</v>
      </c>
      <c r="BX379" s="174">
        <f>IF(Z379=$Z$86,AA379*AG379,0)</f>
        <v>0</v>
      </c>
      <c r="BY379" s="174">
        <f>IF(Z379=$Z$87,AA379*AG379,0)</f>
        <v>0</v>
      </c>
      <c r="BZ379" s="174">
        <f>IF(Z379=$Z$88,AA379*AG379,0)</f>
        <v>0</v>
      </c>
      <c r="CA379" s="174">
        <f>IF(Z379=$Z$89,AA379*AG379,0)</f>
        <v>0</v>
      </c>
      <c r="CB379" s="174">
        <f>IF(Z379=$Z$90,AA379*AG379,0)</f>
        <v>0</v>
      </c>
      <c r="CC379" s="175">
        <f>IFERROR(IF(L379=$L$49,AG379*AH379*(1+AI379)*(1-AK379)*(1-AL379),0),0)</f>
        <v>0</v>
      </c>
      <c r="CD379" s="203">
        <f>IF(I379=$CD$97,1,IF(I379=$CD$100,2,IF(K379=$K$66,1,IF(K379=$K$69,1,3))))</f>
        <v>1</v>
      </c>
      <c r="CE379" s="203">
        <f>IF($CD379=1,1.07,IF($CD379=2,1.07,1.3))</f>
        <v>1.07</v>
      </c>
      <c r="CF379" s="204">
        <f t="shared" si="75"/>
        <v>1.2353999999999998</v>
      </c>
      <c r="CG379" s="203">
        <f>IF($CD379=1,1.42,IF($CD379=2,1.47,2))</f>
        <v>1.42</v>
      </c>
      <c r="CH379" s="204">
        <f t="shared" si="76"/>
        <v>1.5478000000000001</v>
      </c>
      <c r="CI379" s="203">
        <f>IF($CD379=1,1.7,IF($CD379=2,1.7,2.4))</f>
        <v>1.7</v>
      </c>
      <c r="CJ379" s="205">
        <f>CE379*$CJ$102</f>
        <v>1.0486</v>
      </c>
      <c r="CK379" s="205">
        <f>CF379*$CK$102</f>
        <v>1.148922</v>
      </c>
      <c r="CL379" s="205">
        <f>CG379*$CL$102</f>
        <v>1.3915999999999999</v>
      </c>
      <c r="CM379" s="205">
        <f>CH379*$CM$102</f>
        <v>1.501366</v>
      </c>
      <c r="CN379" s="206">
        <f>CI379*$CN$102</f>
        <v>1.6319999999999999</v>
      </c>
      <c r="CO379" s="204">
        <f>CJ379*$CO$102</f>
        <v>1.006656</v>
      </c>
      <c r="CP379" s="207">
        <f>BF379-BA379</f>
        <v>0</v>
      </c>
      <c r="CQ379" s="208">
        <f>AQ379-CP379</f>
        <v>0</v>
      </c>
      <c r="CR379" s="209">
        <f>BC379+BD379</f>
        <v>0</v>
      </c>
      <c r="CS379" s="49"/>
      <c r="CT379" s="49"/>
      <c r="CU379" s="49"/>
      <c r="CV379" s="49"/>
      <c r="CW379" s="49"/>
      <c r="CX379" s="49"/>
      <c r="CY379" s="49"/>
      <c r="CZ379" s="49"/>
      <c r="DA379" s="49"/>
      <c r="DB379" s="49"/>
      <c r="DC379" s="49"/>
      <c r="DD379" s="49"/>
      <c r="DE379" s="49"/>
      <c r="DF379" s="49"/>
      <c r="DG379" s="49"/>
      <c r="DH379" s="49"/>
      <c r="DI379" s="49"/>
      <c r="DJ379" s="49"/>
      <c r="DK379" s="49"/>
      <c r="DL379" s="49"/>
      <c r="DM379" s="49"/>
      <c r="DN379" s="49"/>
      <c r="DO379" s="49"/>
      <c r="DP379" s="49"/>
      <c r="DQ379" s="49"/>
      <c r="DR379" s="49"/>
      <c r="DS379" s="49"/>
      <c r="DT379" s="49"/>
      <c r="DU379" s="49"/>
      <c r="DV379" s="49"/>
      <c r="DW379" s="49"/>
      <c r="DX379" s="49"/>
      <c r="DY379" s="49"/>
      <c r="DZ379" s="49"/>
      <c r="EA379" s="49"/>
      <c r="EB379" s="49"/>
      <c r="EC379" s="49"/>
      <c r="ED379" s="49"/>
      <c r="EE379" s="49"/>
      <c r="EF379" s="49"/>
      <c r="EG379" s="49"/>
      <c r="EH379" s="49"/>
      <c r="EI379" s="49"/>
      <c r="EJ379" s="49"/>
      <c r="EK379" s="49"/>
      <c r="EL379" s="49"/>
      <c r="EM379" s="49"/>
      <c r="EN379" s="49"/>
      <c r="EO379" s="49"/>
      <c r="EP379" s="49"/>
      <c r="EQ379" s="49"/>
      <c r="ER379" s="49"/>
      <c r="ES379" s="49"/>
      <c r="ET379" s="49"/>
      <c r="EU379" s="49"/>
      <c r="EV379" s="49"/>
      <c r="EW379" s="49"/>
      <c r="EX379" s="49"/>
      <c r="EY379" s="49"/>
      <c r="EZ379" s="49"/>
      <c r="FA379" s="49"/>
    </row>
    <row r="380" spans="1:157" s="210" customFormat="1" x14ac:dyDescent="0.25">
      <c r="A380" s="113">
        <f>IF(AND('[1]Cockpit Retorno'!$E$67=Sim,Mestre!M380=Mestre!$M$98),0,1)</f>
        <v>1</v>
      </c>
      <c r="B380" s="113">
        <f>IF(AND('[1]Cockpit Retorno'!$E$67=Sim,Mestre!L380=Mestre!$L$48),0,1)</f>
        <v>1</v>
      </c>
      <c r="C380" s="113">
        <f>IF(AND('[1]Cockpit Retorno'!$E$67=Sim,Mestre!M380=Mestre!$M$97),0,1)</f>
        <v>1</v>
      </c>
      <c r="D380" s="148" t="s">
        <v>7</v>
      </c>
      <c r="E380" s="115"/>
      <c r="F380" s="116" t="s">
        <v>107</v>
      </c>
      <c r="G380" s="149"/>
      <c r="H380" s="150" t="s">
        <v>7</v>
      </c>
      <c r="I380" s="151" t="str">
        <f t="shared" si="86"/>
        <v>Mercadorias</v>
      </c>
      <c r="J380" s="150" t="s">
        <v>15</v>
      </c>
      <c r="K380" s="152" t="s">
        <v>7</v>
      </c>
      <c r="L380" s="153" t="s">
        <v>28</v>
      </c>
      <c r="M380" s="154" t="s">
        <v>543</v>
      </c>
      <c r="N380" s="155" t="s">
        <v>544</v>
      </c>
      <c r="O380" s="155" t="s">
        <v>545</v>
      </c>
      <c r="P380" s="155" t="s">
        <v>43</v>
      </c>
      <c r="Q380" s="155" t="s">
        <v>43</v>
      </c>
      <c r="R380" s="155" t="s">
        <v>43</v>
      </c>
      <c r="S380" s="156" t="s">
        <v>43</v>
      </c>
      <c r="T380" s="156" t="s">
        <v>43</v>
      </c>
      <c r="U380" s="150" t="s">
        <v>43</v>
      </c>
      <c r="V380" s="150" t="s">
        <v>43</v>
      </c>
      <c r="W380" s="150" t="s">
        <v>43</v>
      </c>
      <c r="X380" s="157" t="s">
        <v>550</v>
      </c>
      <c r="Y380" s="150">
        <v>57</v>
      </c>
      <c r="Z380" s="150" t="s">
        <v>43</v>
      </c>
      <c r="AA380" s="158">
        <v>0</v>
      </c>
      <c r="AB380" s="155" t="s">
        <v>43</v>
      </c>
      <c r="AC380" s="150" t="s">
        <v>43</v>
      </c>
      <c r="AD380" s="155" t="s">
        <v>43</v>
      </c>
      <c r="AE380" s="155"/>
      <c r="AF380" s="150" t="s">
        <v>43</v>
      </c>
      <c r="AG380" s="159"/>
      <c r="AH380" s="159">
        <v>360.58890000000002</v>
      </c>
      <c r="AI380" s="202">
        <v>9.7500000000000003E-2</v>
      </c>
      <c r="AJ380" s="161">
        <v>7.0000000000000007E-2</v>
      </c>
      <c r="AK380" s="162"/>
      <c r="AL380" s="163"/>
      <c r="AM380" s="164">
        <f>(((IF(L380=$L$101,1,IF(L380=$L$47,1,0))*(AH380*(1-AK380)))*AG380)*(1-AL380))</f>
        <v>0</v>
      </c>
      <c r="AN380" s="165">
        <f>IF(K380=$K$50,AM380,IF(K380=$K$53,AM380,IF(K380=$K$54,AM380,IF(K380=$K$55,AM380,IF(K380=$K$56,AM380,IF(K380=$K$57,AM380,IF(K380=$K$58,AM380,IF(K380=$K$65,AM380,IF(K380=$K$66,AM380,IF(K380=$K$67,AM380,IF(K380=$K$68,AM380,IF(K380=$K$69,AM380,IF(K380=$K$51,AM380,(AM380*(1+AI380)))))))))))))))</f>
        <v>0</v>
      </c>
      <c r="AO380" s="166">
        <v>1.4</v>
      </c>
      <c r="AP380" s="160">
        <f t="shared" si="87"/>
        <v>0</v>
      </c>
      <c r="AQ380" s="167">
        <f t="shared" si="95"/>
        <v>0</v>
      </c>
      <c r="AR380" s="160">
        <f t="shared" si="88"/>
        <v>0</v>
      </c>
      <c r="AS380" s="168">
        <f t="shared" si="89"/>
        <v>0</v>
      </c>
      <c r="AT380" s="169" t="str">
        <f>K380</f>
        <v>MI</v>
      </c>
      <c r="AU380" s="169" t="str">
        <f>I380</f>
        <v>Mercadorias</v>
      </c>
      <c r="AV380" s="170"/>
      <c r="AW380" s="171">
        <f>IF(K380=$K$50,0,IF(K380=$K$53,0,IF(K380=$K$54,0,IF(K380=$K$55,0,IF(K380=$K$56,0,IF(K380=$K$57,0,IF(K380=$K$58,0,IF(K380=$K$65,0,IF(K380=$K$66,0,IF(K380=$K$67,0,IF(K380=$K$68,0,IF(K380=$K$69,0,IF(K380=$K$51,0,1))))))))))))*AM380*AI380)</f>
        <v>0</v>
      </c>
      <c r="AX380" s="172">
        <f>IF(K380=$K$50,0,IF(K380=$K$53,0,IF(K380=$K$54,0,IF(K380=$K$55,0,IF(K380=$K$56,0,IF(K380=$K$57,0,IF(K380=$K$58,0,IF(K380=$K$65,0,IF(K380=$K$66,0,IF(K380=$K$67,0,IF(K380=$K$68,0,IF(K380=$K$69,0,IF(K380=$K$51,0,1))))))))))))*AM380*AJ380*$AX$94)</f>
        <v>0</v>
      </c>
      <c r="AY380" s="172">
        <f>IF(K380=$K$53,0,IF(K380=$K$54,0,IF(K380=$K$55,0,IF(K380=$K$56,0,IF(K380=$K$58,0,IF(K380=$K$50,0,IF(K380=$K$65,0,IF(K380=$K$57,0,IF(K380=$K$51,0,AM380*$AY$102)))))))))</f>
        <v>0</v>
      </c>
      <c r="AZ380" s="172">
        <f>IF(K380=$K$53,0,IF(K380=$K$54,0,IF(K380=$K$55,0,IF(K380=$K$56,0,IF(K380=$K$58,0,IF(K380=$K$50,0,IF(K380=$K$65,0,IF(K380=$K$57,0,IF(K380=$K$51,0,AM380*$AZ$102)))))))))</f>
        <v>0</v>
      </c>
      <c r="BA380" s="172">
        <f t="shared" si="90"/>
        <v>0</v>
      </c>
      <c r="BB380" s="173">
        <f>IF($BA$97=1,AQ380*$BB$102,IF(K380=$K$50,0,IF(K380=$K$53,0,IF(K380=$K$54,0,IF(K380=$K$55,0,IF(K380=$K$56,0,IF(K380=$K$57,0,IF(K380=$K$58,0,IF(K380=$K$65,0,IF(K380=$K$66,0,IF(K380=$K$67,0,IF(K380=$K$68,0,IF(K380=$K$69,0,IF(K380=$K$51,0,1)))))))))))*AQ380*$BB$102)))</f>
        <v>0</v>
      </c>
      <c r="BC380" s="172">
        <f t="shared" si="91"/>
        <v>0</v>
      </c>
      <c r="BD380" s="172">
        <f t="shared" si="92"/>
        <v>0</v>
      </c>
      <c r="BE380" s="172">
        <f>IF($BE$95=I380,$BE$97,IF(I380=$BE$96,$BE$97,1))*($BE$102*AQ380)*$AZ$97</f>
        <v>0</v>
      </c>
      <c r="BF380" s="172">
        <f>IF('[1]Cockpit Retorno'!$C$65=Sim,Mestre!BA380,SUM(BB380:BE380)+(IF(K380=$K$56,AQ380*MOE_IRRF_LR,0)))</f>
        <v>0</v>
      </c>
      <c r="BG380" s="174">
        <f>IF(AA380&gt;0,0,IF(Z380=$Z$82,AG380*1,(IF(Z380=$Z$81,AG380*1,0))))</f>
        <v>0</v>
      </c>
      <c r="BH380" s="174">
        <f>IF(AA380&gt;0,0,IF(Z380=$Z$83,AG380*1,IF(Z380=$Z$81,AG380*1,0)))</f>
        <v>0</v>
      </c>
      <c r="BI380" s="174">
        <f>IF(AA380&gt;0,0,IF(Z380=$Z$84,AG380*1,IF(Z380=$Z$93,AG380*2,IF(Z380=$Z$100,AG380,IF(Z380=$Z$81,AG380*2,IF(Z380=$Z$80,AG380*1,IF(Z380=$Z$79,AG380*3,IF(Z380=$Z$78,AG380*2,0))))))))</f>
        <v>0</v>
      </c>
      <c r="BJ380" s="174">
        <f>IF(AA380&gt;0,0,IF(Z380=$Z$85,AG380,IF(Z380=$Z$93,AG380,IF(Z380=$Z$100,AG380,IF(Z380=$Z$81,AG380*1,IF(Z380=$Z$80,AG380*2,IF(Z380=$Z$79,AG380*2,IF(Z380=$Z$78,AG380*2,0))))))))</f>
        <v>0</v>
      </c>
      <c r="BK380" s="174">
        <f>IF(AA380&gt;0,0,IF(Z380=$Z$92,AG380,0))</f>
        <v>0</v>
      </c>
      <c r="BL380" s="174">
        <f>IF(AA380&gt;0,0,IF(Z380=$Z$91,AG380,0))</f>
        <v>0</v>
      </c>
      <c r="BM380" s="174">
        <f>IF(AA380&gt;0,0,IF(Z380=$Z$86,AG380,0))</f>
        <v>0</v>
      </c>
      <c r="BN380" s="174">
        <f>IF(AA380&gt;0,0,IF(Z380=$Z$87,AG380,0))</f>
        <v>0</v>
      </c>
      <c r="BO380" s="174">
        <f>IF(AA380&gt;0,0,IF(Z380=$Z$88,AG380,0))</f>
        <v>0</v>
      </c>
      <c r="BP380" s="174">
        <f>IF(AA380&gt;0,0,IF(Z380=$Z$89,AG380,0))</f>
        <v>0</v>
      </c>
      <c r="BQ380" s="174">
        <f>IF(AA380&gt;0,0,IF(Z380=$Z$90,AG380,0))</f>
        <v>0</v>
      </c>
      <c r="BR380" s="174">
        <f>IF(Z380=$Z$82,AA380*AG380,0)</f>
        <v>0</v>
      </c>
      <c r="BS380" s="174">
        <f>IF(Z380=$Z$83,AA380*AG380,0)</f>
        <v>0</v>
      </c>
      <c r="BT380" s="174">
        <f>IF(AA380&lt;1,0,IF(Z380=$Z$84,AA380*AG380,IF(Z380=$Z$93,"ERRO",IF(Z380=$Z$100,"ERRO",0))))</f>
        <v>0</v>
      </c>
      <c r="BU380" s="174">
        <f>IF(AA380&lt;1,0,IF(Z380=$Z$85,AA380*AG380,IF(Z380=$Z$93,"ERRO",IF(Z380=$Z$100,"ERRO",0))))</f>
        <v>0</v>
      </c>
      <c r="BV380" s="174">
        <f>IF(Z380=$Z$92,AA380*AG380,0)</f>
        <v>0</v>
      </c>
      <c r="BW380" s="174">
        <f>IF(Z380=$Z$91,AA380*AG380,0)</f>
        <v>0</v>
      </c>
      <c r="BX380" s="174">
        <f>IF(Z380=$Z$86,AA380*AG380,0)</f>
        <v>0</v>
      </c>
      <c r="BY380" s="174">
        <f>IF(Z380=$Z$87,AA380*AG380,0)</f>
        <v>0</v>
      </c>
      <c r="BZ380" s="174">
        <f>IF(Z380=$Z$88,AA380*AG380,0)</f>
        <v>0</v>
      </c>
      <c r="CA380" s="174">
        <f>IF(Z380=$Z$89,AA380*AG380,0)</f>
        <v>0</v>
      </c>
      <c r="CB380" s="174">
        <f>IF(Z380=$Z$90,AA380*AG380,0)</f>
        <v>0</v>
      </c>
      <c r="CC380" s="175">
        <f>IFERROR(IF(L380=$L$49,AG380*AH380*(1+AI380)*(1-AK380)*(1-AL380),0),0)</f>
        <v>0</v>
      </c>
      <c r="CD380" s="203">
        <f>IF(I380=$CD$97,1,IF(I380=$CD$100,2,IF(K380=$K$66,1,IF(K380=$K$69,1,3))))</f>
        <v>1</v>
      </c>
      <c r="CE380" s="203">
        <f t="shared" si="14"/>
        <v>1.07</v>
      </c>
      <c r="CF380" s="204">
        <f t="shared" si="75"/>
        <v>1.2353999999999998</v>
      </c>
      <c r="CG380" s="203">
        <f t="shared" si="15"/>
        <v>1.42</v>
      </c>
      <c r="CH380" s="204">
        <f t="shared" si="76"/>
        <v>1.5478000000000001</v>
      </c>
      <c r="CI380" s="203">
        <f t="shared" si="16"/>
        <v>1.7</v>
      </c>
      <c r="CJ380" s="205">
        <f t="shared" si="77"/>
        <v>1.0486</v>
      </c>
      <c r="CK380" s="205">
        <f t="shared" si="78"/>
        <v>1.148922</v>
      </c>
      <c r="CL380" s="205">
        <f t="shared" si="79"/>
        <v>1.3915999999999999</v>
      </c>
      <c r="CM380" s="205">
        <f t="shared" si="80"/>
        <v>1.501366</v>
      </c>
      <c r="CN380" s="206">
        <f t="shared" si="81"/>
        <v>1.6319999999999999</v>
      </c>
      <c r="CO380" s="204">
        <f t="shared" si="82"/>
        <v>1.006656</v>
      </c>
      <c r="CP380" s="207">
        <f t="shared" si="83"/>
        <v>0</v>
      </c>
      <c r="CQ380" s="208">
        <f t="shared" si="84"/>
        <v>0</v>
      </c>
      <c r="CR380" s="209">
        <f t="shared" si="93"/>
        <v>0</v>
      </c>
      <c r="CS380" s="49"/>
      <c r="CT380" s="49"/>
      <c r="CU380" s="49"/>
      <c r="CV380" s="49"/>
      <c r="CW380" s="49"/>
      <c r="CX380" s="49"/>
      <c r="CY380" s="49"/>
      <c r="CZ380" s="49"/>
      <c r="DA380" s="49"/>
      <c r="DB380" s="49"/>
      <c r="DC380" s="49"/>
      <c r="DD380" s="49"/>
      <c r="DE380" s="49"/>
      <c r="DF380" s="49"/>
      <c r="DG380" s="49"/>
      <c r="DH380" s="49"/>
      <c r="DI380" s="49"/>
      <c r="DJ380" s="49"/>
      <c r="DK380" s="49"/>
      <c r="DL380" s="49"/>
      <c r="DM380" s="49"/>
      <c r="DN380" s="49"/>
      <c r="DO380" s="49"/>
      <c r="DP380" s="49"/>
      <c r="DQ380" s="49"/>
      <c r="DR380" s="49"/>
      <c r="DS380" s="49"/>
      <c r="DT380" s="49"/>
      <c r="DU380" s="49"/>
      <c r="DV380" s="49"/>
      <c r="DW380" s="49"/>
      <c r="DX380" s="49"/>
      <c r="DY380" s="49"/>
      <c r="DZ380" s="49"/>
      <c r="EA380" s="49"/>
      <c r="EB380" s="49"/>
      <c r="EC380" s="49"/>
      <c r="ED380" s="49"/>
      <c r="EE380" s="49"/>
      <c r="EF380" s="49"/>
      <c r="EG380" s="49"/>
      <c r="EH380" s="49"/>
      <c r="EI380" s="49"/>
      <c r="EJ380" s="49"/>
      <c r="EK380" s="49"/>
      <c r="EL380" s="49"/>
      <c r="EM380" s="49"/>
      <c r="EN380" s="49"/>
      <c r="EO380" s="49"/>
      <c r="EP380" s="49"/>
      <c r="EQ380" s="49"/>
      <c r="ER380" s="49"/>
      <c r="ES380" s="49"/>
      <c r="ET380" s="49"/>
      <c r="EU380" s="49"/>
      <c r="EV380" s="49"/>
      <c r="EW380" s="49"/>
      <c r="EX380" s="49"/>
      <c r="EY380" s="49"/>
      <c r="EZ380" s="49"/>
      <c r="FA380" s="49"/>
    </row>
    <row r="381" spans="1:157" s="210" customFormat="1" ht="25.5" x14ac:dyDescent="0.25">
      <c r="A381" s="113">
        <f>IF(AND('[1]Cockpit Retorno'!$E$67=Sim,Mestre!M381=Mestre!$M$98),0,1)</f>
        <v>1</v>
      </c>
      <c r="B381" s="113">
        <f>IF(AND('[1]Cockpit Retorno'!$E$67=Sim,Mestre!L381=Mestre!$L$48),0,1)</f>
        <v>1</v>
      </c>
      <c r="C381" s="113">
        <f>IF(AND('[1]Cockpit Retorno'!$E$67=Sim,Mestre!M381=Mestre!$M$97),0,1)</f>
        <v>1</v>
      </c>
      <c r="D381" s="148" t="s">
        <v>7</v>
      </c>
      <c r="E381" s="115"/>
      <c r="F381" s="116" t="s">
        <v>107</v>
      </c>
      <c r="G381" s="149"/>
      <c r="H381" s="150" t="s">
        <v>7</v>
      </c>
      <c r="I381" s="151" t="str">
        <f>VLOOKUP(K381,$N$74:$O$95,2)</f>
        <v>Mercadorias</v>
      </c>
      <c r="J381" s="150" t="s">
        <v>15</v>
      </c>
      <c r="K381" s="152" t="s">
        <v>7</v>
      </c>
      <c r="L381" s="153" t="s">
        <v>28</v>
      </c>
      <c r="M381" s="154" t="s">
        <v>543</v>
      </c>
      <c r="N381" s="155" t="s">
        <v>544</v>
      </c>
      <c r="O381" s="155" t="s">
        <v>545</v>
      </c>
      <c r="P381" s="155" t="s">
        <v>43</v>
      </c>
      <c r="Q381" s="155" t="s">
        <v>43</v>
      </c>
      <c r="R381" s="155" t="s">
        <v>43</v>
      </c>
      <c r="S381" s="156" t="s">
        <v>43</v>
      </c>
      <c r="T381" s="156" t="s">
        <v>43</v>
      </c>
      <c r="U381" s="150" t="s">
        <v>43</v>
      </c>
      <c r="V381" s="150" t="s">
        <v>43</v>
      </c>
      <c r="W381" s="150" t="s">
        <v>43</v>
      </c>
      <c r="X381" s="157" t="s">
        <v>551</v>
      </c>
      <c r="Y381" s="150">
        <v>39</v>
      </c>
      <c r="Z381" s="150" t="s">
        <v>43</v>
      </c>
      <c r="AA381" s="158">
        <v>0</v>
      </c>
      <c r="AB381" s="155" t="s">
        <v>43</v>
      </c>
      <c r="AC381" s="150" t="s">
        <v>43</v>
      </c>
      <c r="AD381" s="155" t="s">
        <v>43</v>
      </c>
      <c r="AE381" s="155"/>
      <c r="AF381" s="150" t="s">
        <v>43</v>
      </c>
      <c r="AG381" s="159"/>
      <c r="AH381" s="159">
        <v>360.58890000000002</v>
      </c>
      <c r="AI381" s="202">
        <v>9.7500000000000003E-2</v>
      </c>
      <c r="AJ381" s="161">
        <v>7.0000000000000007E-2</v>
      </c>
      <c r="AK381" s="162"/>
      <c r="AL381" s="163"/>
      <c r="AM381" s="164">
        <f>(((IF(L381=$L$101,1,IF(L381=$L$47,1,0))*(AH381*(1-AK381)))*AG381)*(1-AL381))</f>
        <v>0</v>
      </c>
      <c r="AN381" s="165">
        <f>IF(K381=$K$50,AM381,IF(K381=$K$53,AM381,IF(K381=$K$54,AM381,IF(K381=$K$55,AM381,IF(K381=$K$56,AM381,IF(K381=$K$57,AM381,IF(K381=$K$58,AM381,IF(K381=$K$65,AM381,IF(K381=$K$66,AM381,IF(K381=$K$67,AM381,IF(K381=$K$68,AM381,IF(K381=$K$69,AM381,IF(K381=$K$51,AM381,(AM381*(1+AI381)))))))))))))))</f>
        <v>0</v>
      </c>
      <c r="AO381" s="166">
        <v>1.4</v>
      </c>
      <c r="AP381" s="160">
        <f>AM381*AO381</f>
        <v>0</v>
      </c>
      <c r="AQ381" s="167">
        <f t="shared" si="95"/>
        <v>0</v>
      </c>
      <c r="AR381" s="160">
        <f>AO381*AN381</f>
        <v>0</v>
      </c>
      <c r="AS381" s="168">
        <f>IFERROR(IF($AX$94=0,(CQ381/AN381),CQ381/AM381),0)</f>
        <v>0</v>
      </c>
      <c r="AT381" s="169" t="str">
        <f>K381</f>
        <v>MI</v>
      </c>
      <c r="AU381" s="169" t="str">
        <f>I381</f>
        <v>Mercadorias</v>
      </c>
      <c r="AV381" s="170"/>
      <c r="AW381" s="171">
        <f>IF(K381=$K$50,0,IF(K381=$K$53,0,IF(K381=$K$54,0,IF(K381=$K$55,0,IF(K381=$K$56,0,IF(K381=$K$57,0,IF(K381=$K$58,0,IF(K381=$K$65,0,IF(K381=$K$66,0,IF(K381=$K$67,0,IF(K381=$K$68,0,IF(K381=$K$69,0,IF(K381=$K$51,0,1))))))))))))*AM381*AI381)</f>
        <v>0</v>
      </c>
      <c r="AX381" s="172">
        <f>IF(K381=$K$50,0,IF(K381=$K$53,0,IF(K381=$K$54,0,IF(K381=$K$55,0,IF(K381=$K$56,0,IF(K381=$K$57,0,IF(K381=$K$58,0,IF(K381=$K$65,0,IF(K381=$K$66,0,IF(K381=$K$67,0,IF(K381=$K$68,0,IF(K381=$K$69,0,IF(K381=$K$51,0,1))))))))))))*AM381*AJ381*$AX$94)</f>
        <v>0</v>
      </c>
      <c r="AY381" s="172">
        <f>IF(K381=$K$53,0,IF(K381=$K$54,0,IF(K381=$K$55,0,IF(K381=$K$56,0,IF(K381=$K$58,0,IF(K381=$K$50,0,IF(K381=$K$65,0,IF(K381=$K$57,0,IF(K381=$K$51,0,AM381*$AY$102)))))))))</f>
        <v>0</v>
      </c>
      <c r="AZ381" s="172">
        <f>IF(K381=$K$53,0,IF(K381=$K$54,0,IF(K381=$K$55,0,IF(K381=$K$56,0,IF(K381=$K$58,0,IF(K381=$K$50,0,IF(K381=$K$65,0,IF(K381=$K$57,0,IF(K381=$K$51,0,AM381*$AZ$102)))))))))</f>
        <v>0</v>
      </c>
      <c r="BA381" s="172">
        <f>AZ381+AY381+AX381</f>
        <v>0</v>
      </c>
      <c r="BB381" s="173">
        <f>IF($BA$97=1,AQ381*$BB$102,IF(K381=$K$50,0,IF(K381=$K$53,0,IF(K381=$K$54,0,IF(K381=$K$55,0,IF(K381=$K$56,0,IF(K381=$K$57,0,IF(K381=$K$58,0,IF(K381=$K$65,0,IF(K381=$K$66,0,IF(K381=$K$67,0,IF(K381=$K$68,0,IF(K381=$K$69,0,IF(K381=$K$51,0,1)))))))))))*AQ381*$BB$102)))</f>
        <v>0</v>
      </c>
      <c r="BC381" s="172">
        <f>AQ381*$BC$102</f>
        <v>0</v>
      </c>
      <c r="BD381" s="172">
        <f>$BD$102*AQ381</f>
        <v>0</v>
      </c>
      <c r="BE381" s="172">
        <f>IF($BE$95=I381,$BE$97,IF(I381=$BE$96,$BE$97,1))*($BE$102*AQ381)*$AZ$97</f>
        <v>0</v>
      </c>
      <c r="BF381" s="172">
        <f>IF('[1]Cockpit Retorno'!$C$65=Sim,Mestre!BA381,SUM(BB381:BE381)+(IF(K381=$K$56,AQ381*MOE_IRRF_LR,0)))</f>
        <v>0</v>
      </c>
      <c r="BG381" s="174">
        <f>IF(AA381&gt;0,0,IF(Z381=$Z$82,AG381*1,(IF(Z381=$Z$81,AG381*1,0))))</f>
        <v>0</v>
      </c>
      <c r="BH381" s="174">
        <f>IF(AA381&gt;0,0,IF(Z381=$Z$83,AG381*1,IF(Z381=$Z$81,AG381*1,0)))</f>
        <v>0</v>
      </c>
      <c r="BI381" s="174">
        <f>IF(AA381&gt;0,0,IF(Z381=$Z$84,AG381*1,IF(Z381=$Z$93,AG381*2,IF(Z381=$Z$100,AG381,IF(Z381=$Z$81,AG381*2,IF(Z381=$Z$80,AG381*1,IF(Z381=$Z$79,AG381*3,IF(Z381=$Z$78,AG381*2,0))))))))</f>
        <v>0</v>
      </c>
      <c r="BJ381" s="174">
        <f>IF(AA381&gt;0,0,IF(Z381=$Z$85,AG381,IF(Z381=$Z$93,AG381,IF(Z381=$Z$100,AG381,IF(Z381=$Z$81,AG381*1,IF(Z381=$Z$80,AG381*2,IF(Z381=$Z$79,AG381*2,IF(Z381=$Z$78,AG381*2,0))))))))</f>
        <v>0</v>
      </c>
      <c r="BK381" s="174">
        <f>IF(AA381&gt;0,0,IF(Z381=$Z$92,AG381,0))</f>
        <v>0</v>
      </c>
      <c r="BL381" s="174">
        <f>IF(AA381&gt;0,0,IF(Z381=$Z$91,AG381,0))</f>
        <v>0</v>
      </c>
      <c r="BM381" s="174">
        <f>IF(AA381&gt;0,0,IF(Z381=$Z$86,AG381,0))</f>
        <v>0</v>
      </c>
      <c r="BN381" s="174">
        <f>IF(AA381&gt;0,0,IF(Z381=$Z$87,AG381,0))</f>
        <v>0</v>
      </c>
      <c r="BO381" s="174">
        <f>IF(AA381&gt;0,0,IF(Z381=$Z$88,AG381,0))</f>
        <v>0</v>
      </c>
      <c r="BP381" s="174">
        <f>IF(AA381&gt;0,0,IF(Z381=$Z$89,AG381,0))</f>
        <v>0</v>
      </c>
      <c r="BQ381" s="174">
        <f>IF(AA381&gt;0,0,IF(Z381=$Z$90,AG381,0))</f>
        <v>0</v>
      </c>
      <c r="BR381" s="174">
        <f>IF(Z381=$Z$82,AA381*AG381,0)</f>
        <v>0</v>
      </c>
      <c r="BS381" s="174">
        <f>IF(Z381=$Z$83,AA381*AG381,0)</f>
        <v>0</v>
      </c>
      <c r="BT381" s="174">
        <f>IF(AA381&lt;1,0,IF(Z381=$Z$84,AA381*AG381,IF(Z381=$Z$93,"ERRO",IF(Z381=$Z$100,"ERRO",0))))</f>
        <v>0</v>
      </c>
      <c r="BU381" s="174">
        <f>IF(AA381&lt;1,0,IF(Z381=$Z$85,AA381*AG381,IF(Z381=$Z$93,"ERRO",IF(Z381=$Z$100,"ERRO",0))))</f>
        <v>0</v>
      </c>
      <c r="BV381" s="174">
        <f>IF(Z381=$Z$92,AA381*AG381,0)</f>
        <v>0</v>
      </c>
      <c r="BW381" s="174">
        <f>IF(Z381=$Z$91,AA381*AG381,0)</f>
        <v>0</v>
      </c>
      <c r="BX381" s="174">
        <f>IF(Z381=$Z$86,AA381*AG381,0)</f>
        <v>0</v>
      </c>
      <c r="BY381" s="174">
        <f>IF(Z381=$Z$87,AA381*AG381,0)</f>
        <v>0</v>
      </c>
      <c r="BZ381" s="174">
        <f>IF(Z381=$Z$88,AA381*AG381,0)</f>
        <v>0</v>
      </c>
      <c r="CA381" s="174">
        <f>IF(Z381=$Z$89,AA381*AG381,0)</f>
        <v>0</v>
      </c>
      <c r="CB381" s="174">
        <f>IF(Z381=$Z$90,AA381*AG381,0)</f>
        <v>0</v>
      </c>
      <c r="CC381" s="175">
        <f>IFERROR(IF(L381=$L$49,AG381*AH381*(1+AI381)*(1-AK381)*(1-AL381),0),0)</f>
        <v>0</v>
      </c>
      <c r="CD381" s="203">
        <f>IF(I381=$CD$97,1,IF(I381=$CD$100,2,IF(K381=$K$66,1,IF(K381=$K$69,1,3))))</f>
        <v>1</v>
      </c>
      <c r="CE381" s="203">
        <f>IF($CD381=1,1.07,IF($CD381=2,1.07,1.3))</f>
        <v>1.07</v>
      </c>
      <c r="CF381" s="204">
        <f t="shared" si="75"/>
        <v>1.2353999999999998</v>
      </c>
      <c r="CG381" s="203">
        <f>IF($CD381=1,1.42,IF($CD381=2,1.47,2))</f>
        <v>1.42</v>
      </c>
      <c r="CH381" s="204">
        <f t="shared" si="76"/>
        <v>1.5478000000000001</v>
      </c>
      <c r="CI381" s="203">
        <f>IF($CD381=1,1.7,IF($CD381=2,1.7,2.4))</f>
        <v>1.7</v>
      </c>
      <c r="CJ381" s="205">
        <f>CE381*$CJ$102</f>
        <v>1.0486</v>
      </c>
      <c r="CK381" s="205">
        <f>CF381*$CK$102</f>
        <v>1.148922</v>
      </c>
      <c r="CL381" s="205">
        <f>CG381*$CL$102</f>
        <v>1.3915999999999999</v>
      </c>
      <c r="CM381" s="205">
        <f>CH381*$CM$102</f>
        <v>1.501366</v>
      </c>
      <c r="CN381" s="206">
        <f>CI381*$CN$102</f>
        <v>1.6319999999999999</v>
      </c>
      <c r="CO381" s="204">
        <f>CJ381*$CO$102</f>
        <v>1.006656</v>
      </c>
      <c r="CP381" s="207">
        <f>BF381-BA381</f>
        <v>0</v>
      </c>
      <c r="CQ381" s="208">
        <f>AQ381-CP381</f>
        <v>0</v>
      </c>
      <c r="CR381" s="209">
        <f>BC381+BD381</f>
        <v>0</v>
      </c>
      <c r="CS381" s="49"/>
      <c r="CT381" s="49"/>
      <c r="CU381" s="49"/>
      <c r="CV381" s="49"/>
      <c r="CW381" s="49"/>
      <c r="CX381" s="49"/>
      <c r="CY381" s="49"/>
      <c r="CZ381" s="49"/>
      <c r="DA381" s="49"/>
      <c r="DB381" s="49"/>
      <c r="DC381" s="49"/>
      <c r="DD381" s="49"/>
      <c r="DE381" s="49"/>
      <c r="DF381" s="49"/>
      <c r="DG381" s="49"/>
      <c r="DH381" s="49"/>
      <c r="DI381" s="49"/>
      <c r="DJ381" s="49"/>
      <c r="DK381" s="49"/>
      <c r="DL381" s="49"/>
      <c r="DM381" s="49"/>
      <c r="DN381" s="49"/>
      <c r="DO381" s="49"/>
      <c r="DP381" s="49"/>
      <c r="DQ381" s="49"/>
      <c r="DR381" s="49"/>
      <c r="DS381" s="49"/>
      <c r="DT381" s="49"/>
      <c r="DU381" s="49"/>
      <c r="DV381" s="49"/>
      <c r="DW381" s="49"/>
      <c r="DX381" s="49"/>
      <c r="DY381" s="49"/>
      <c r="DZ381" s="49"/>
      <c r="EA381" s="49"/>
      <c r="EB381" s="49"/>
      <c r="EC381" s="49"/>
      <c r="ED381" s="49"/>
      <c r="EE381" s="49"/>
      <c r="EF381" s="49"/>
      <c r="EG381" s="49"/>
      <c r="EH381" s="49"/>
      <c r="EI381" s="49"/>
      <c r="EJ381" s="49"/>
      <c r="EK381" s="49"/>
      <c r="EL381" s="49"/>
      <c r="EM381" s="49"/>
      <c r="EN381" s="49"/>
      <c r="EO381" s="49"/>
      <c r="EP381" s="49"/>
      <c r="EQ381" s="49"/>
      <c r="ER381" s="49"/>
      <c r="ES381" s="49"/>
      <c r="ET381" s="49"/>
      <c r="EU381" s="49"/>
      <c r="EV381" s="49"/>
      <c r="EW381" s="49"/>
      <c r="EX381" s="49"/>
      <c r="EY381" s="49"/>
      <c r="EZ381" s="49"/>
      <c r="FA381" s="49"/>
    </row>
    <row r="382" spans="1:157" s="210" customFormat="1" x14ac:dyDescent="0.25">
      <c r="A382" s="113">
        <f>IF(AND('[1]Cockpit Retorno'!$E$67=Sim,Mestre!M382=Mestre!$M$98),0,1)</f>
        <v>1</v>
      </c>
      <c r="B382" s="113">
        <f>IF(AND('[1]Cockpit Retorno'!$E$67=Sim,Mestre!L382=Mestre!$L$48),0,1)</f>
        <v>1</v>
      </c>
      <c r="C382" s="113">
        <f>IF(AND('[1]Cockpit Retorno'!$E$67=Sim,Mestre!M382=Mestre!$M$97),0,1)</f>
        <v>1</v>
      </c>
      <c r="D382" s="148" t="s">
        <v>7</v>
      </c>
      <c r="E382" s="115"/>
      <c r="F382" s="116" t="s">
        <v>107</v>
      </c>
      <c r="G382" s="149"/>
      <c r="H382" s="150" t="s">
        <v>7</v>
      </c>
      <c r="I382" s="151" t="str">
        <f t="shared" si="86"/>
        <v>Mercadorias</v>
      </c>
      <c r="J382" s="150" t="s">
        <v>15</v>
      </c>
      <c r="K382" s="152" t="s">
        <v>7</v>
      </c>
      <c r="L382" s="153" t="s">
        <v>28</v>
      </c>
      <c r="M382" s="154" t="s">
        <v>552</v>
      </c>
      <c r="N382" s="155" t="s">
        <v>544</v>
      </c>
      <c r="O382" s="155" t="s">
        <v>545</v>
      </c>
      <c r="P382" s="155" t="s">
        <v>43</v>
      </c>
      <c r="Q382" s="155" t="s">
        <v>43</v>
      </c>
      <c r="R382" s="155" t="s">
        <v>43</v>
      </c>
      <c r="S382" s="156" t="s">
        <v>43</v>
      </c>
      <c r="T382" s="156" t="s">
        <v>43</v>
      </c>
      <c r="U382" s="150" t="s">
        <v>43</v>
      </c>
      <c r="V382" s="150" t="s">
        <v>43</v>
      </c>
      <c r="W382" s="150" t="s">
        <v>43</v>
      </c>
      <c r="X382" s="157" t="s">
        <v>553</v>
      </c>
      <c r="Y382" s="150">
        <v>90</v>
      </c>
      <c r="Z382" s="150" t="s">
        <v>43</v>
      </c>
      <c r="AA382" s="158">
        <v>0</v>
      </c>
      <c r="AB382" s="155" t="s">
        <v>43</v>
      </c>
      <c r="AC382" s="150" t="s">
        <v>43</v>
      </c>
      <c r="AD382" s="155" t="s">
        <v>43</v>
      </c>
      <c r="AE382" s="155"/>
      <c r="AF382" s="150" t="s">
        <v>43</v>
      </c>
      <c r="AG382" s="159"/>
      <c r="AH382" s="159">
        <v>235.59690000000003</v>
      </c>
      <c r="AI382" s="202">
        <v>9.7500000000000003E-2</v>
      </c>
      <c r="AJ382" s="161">
        <v>7.0000000000000007E-2</v>
      </c>
      <c r="AK382" s="162"/>
      <c r="AL382" s="163"/>
      <c r="AM382" s="164">
        <f>(((IF(L382=$L$101,1,IF(L382=$L$47,1,0))*(AH382*(1-AK382)))*AG382)*(1-AL382))</f>
        <v>0</v>
      </c>
      <c r="AN382" s="165">
        <f>IF(K382=$K$50,AM382,IF(K382=$K$53,AM382,IF(K382=$K$54,AM382,IF(K382=$K$55,AM382,IF(K382=$K$56,AM382,IF(K382=$K$57,AM382,IF(K382=$K$58,AM382,IF(K382=$K$65,AM382,IF(K382=$K$66,AM382,IF(K382=$K$67,AM382,IF(K382=$K$68,AM382,IF(K382=$K$69,AM382,IF(K382=$K$51,AM382,(AM382*(1+AI382)))))))))))))))</f>
        <v>0</v>
      </c>
      <c r="AO382" s="166">
        <v>1.4</v>
      </c>
      <c r="AP382" s="160">
        <f t="shared" si="87"/>
        <v>0</v>
      </c>
      <c r="AQ382" s="167">
        <f t="shared" si="95"/>
        <v>0</v>
      </c>
      <c r="AR382" s="160">
        <f t="shared" si="88"/>
        <v>0</v>
      </c>
      <c r="AS382" s="168">
        <f t="shared" si="89"/>
        <v>0</v>
      </c>
      <c r="AT382" s="169" t="str">
        <f>K382</f>
        <v>MI</v>
      </c>
      <c r="AU382" s="169" t="str">
        <f>I382</f>
        <v>Mercadorias</v>
      </c>
      <c r="AV382" s="170"/>
      <c r="AW382" s="171">
        <f>IF(K382=$K$50,0,IF(K382=$K$53,0,IF(K382=$K$54,0,IF(K382=$K$55,0,IF(K382=$K$56,0,IF(K382=$K$57,0,IF(K382=$K$58,0,IF(K382=$K$65,0,IF(K382=$K$66,0,IF(K382=$K$67,0,IF(K382=$K$68,0,IF(K382=$K$69,0,IF(K382=$K$51,0,1))))))))))))*AM382*AI382)</f>
        <v>0</v>
      </c>
      <c r="AX382" s="172">
        <f>IF(K382=$K$50,0,IF(K382=$K$53,0,IF(K382=$K$54,0,IF(K382=$K$55,0,IF(K382=$K$56,0,IF(K382=$K$57,0,IF(K382=$K$58,0,IF(K382=$K$65,0,IF(K382=$K$66,0,IF(K382=$K$67,0,IF(K382=$K$68,0,IF(K382=$K$69,0,IF(K382=$K$51,0,1))))))))))))*AM382*AJ382*$AX$94)</f>
        <v>0</v>
      </c>
      <c r="AY382" s="172">
        <f>IF(K382=$K$53,0,IF(K382=$K$54,0,IF(K382=$K$55,0,IF(K382=$K$56,0,IF(K382=$K$58,0,IF(K382=$K$50,0,IF(K382=$K$65,0,IF(K382=$K$57,0,IF(K382=$K$51,0,AM382*$AY$102)))))))))</f>
        <v>0</v>
      </c>
      <c r="AZ382" s="172">
        <f>IF(K382=$K$53,0,IF(K382=$K$54,0,IF(K382=$K$55,0,IF(K382=$K$56,0,IF(K382=$K$58,0,IF(K382=$K$50,0,IF(K382=$K$65,0,IF(K382=$K$57,0,IF(K382=$K$51,0,AM382*$AZ$102)))))))))</f>
        <v>0</v>
      </c>
      <c r="BA382" s="172">
        <f t="shared" si="90"/>
        <v>0</v>
      </c>
      <c r="BB382" s="173">
        <f>IF($BA$97=1,AQ382*$BB$102,IF(K382=$K$50,0,IF(K382=$K$53,0,IF(K382=$K$54,0,IF(K382=$K$55,0,IF(K382=$K$56,0,IF(K382=$K$57,0,IF(K382=$K$58,0,IF(K382=$K$65,0,IF(K382=$K$66,0,IF(K382=$K$67,0,IF(K382=$K$68,0,IF(K382=$K$69,0,IF(K382=$K$51,0,1)))))))))))*AQ382*$BB$102)))</f>
        <v>0</v>
      </c>
      <c r="BC382" s="172">
        <f t="shared" si="91"/>
        <v>0</v>
      </c>
      <c r="BD382" s="172">
        <f t="shared" si="92"/>
        <v>0</v>
      </c>
      <c r="BE382" s="172">
        <f>IF($BE$95=I382,$BE$97,IF(I382=$BE$96,$BE$97,1))*($BE$102*AQ382)*$AZ$97</f>
        <v>0</v>
      </c>
      <c r="BF382" s="172">
        <f>IF('[1]Cockpit Retorno'!$C$65=Sim,Mestre!BA382,SUM(BB382:BE382)+(IF(K382=$K$56,AQ382*MOE_IRRF_LR,0)))</f>
        <v>0</v>
      </c>
      <c r="BG382" s="174">
        <f>IF(AA382&gt;0,0,IF(Z382=$Z$82,AG382*1,(IF(Z382=$Z$81,AG382*1,0))))</f>
        <v>0</v>
      </c>
      <c r="BH382" s="174">
        <f>IF(AA382&gt;0,0,IF(Z382=$Z$83,AG382*1,IF(Z382=$Z$81,AG382*1,0)))</f>
        <v>0</v>
      </c>
      <c r="BI382" s="174">
        <f>IF(AA382&gt;0,0,IF(Z382=$Z$84,AG382*1,IF(Z382=$Z$93,AG382*2,IF(Z382=$Z$100,AG382,IF(Z382=$Z$81,AG382*2,IF(Z382=$Z$80,AG382*1,IF(Z382=$Z$79,AG382*3,IF(Z382=$Z$78,AG382*2,0))))))))</f>
        <v>0</v>
      </c>
      <c r="BJ382" s="174">
        <f>IF(AA382&gt;0,0,IF(Z382=$Z$85,AG382,IF(Z382=$Z$93,AG382,IF(Z382=$Z$100,AG382,IF(Z382=$Z$81,AG382*1,IF(Z382=$Z$80,AG382*2,IF(Z382=$Z$79,AG382*2,IF(Z382=$Z$78,AG382*2,0))))))))</f>
        <v>0</v>
      </c>
      <c r="BK382" s="174">
        <f>IF(AA382&gt;0,0,IF(Z382=$Z$92,AG382,0))</f>
        <v>0</v>
      </c>
      <c r="BL382" s="174">
        <f>IF(AA382&gt;0,0,IF(Z382=$Z$91,AG382,0))</f>
        <v>0</v>
      </c>
      <c r="BM382" s="174">
        <f>IF(AA382&gt;0,0,IF(Z382=$Z$86,AG382,0))</f>
        <v>0</v>
      </c>
      <c r="BN382" s="174">
        <f>IF(AA382&gt;0,0,IF(Z382=$Z$87,AG382,0))</f>
        <v>0</v>
      </c>
      <c r="BO382" s="174">
        <f>IF(AA382&gt;0,0,IF(Z382=$Z$88,AG382,0))</f>
        <v>0</v>
      </c>
      <c r="BP382" s="174">
        <f>IF(AA382&gt;0,0,IF(Z382=$Z$89,AG382,0))</f>
        <v>0</v>
      </c>
      <c r="BQ382" s="174">
        <f>IF(AA382&gt;0,0,IF(Z382=$Z$90,AG382,0))</f>
        <v>0</v>
      </c>
      <c r="BR382" s="174">
        <f>IF(Z382=$Z$82,AA382*AG382,0)</f>
        <v>0</v>
      </c>
      <c r="BS382" s="174">
        <f>IF(Z382=$Z$83,AA382*AG382,0)</f>
        <v>0</v>
      </c>
      <c r="BT382" s="174">
        <f>IF(AA382&lt;1,0,IF(Z382=$Z$84,AA382*AG382,IF(Z382=$Z$93,"ERRO",IF(Z382=$Z$100,"ERRO",0))))</f>
        <v>0</v>
      </c>
      <c r="BU382" s="174">
        <f>IF(AA382&lt;1,0,IF(Z382=$Z$85,AA382*AG382,IF(Z382=$Z$93,"ERRO",IF(Z382=$Z$100,"ERRO",0))))</f>
        <v>0</v>
      </c>
      <c r="BV382" s="174">
        <f>IF(Z382=$Z$92,AA382*AG382,0)</f>
        <v>0</v>
      </c>
      <c r="BW382" s="174">
        <f>IF(Z382=$Z$91,AA382*AG382,0)</f>
        <v>0</v>
      </c>
      <c r="BX382" s="174">
        <f>IF(Z382=$Z$86,AA382*AG382,0)</f>
        <v>0</v>
      </c>
      <c r="BY382" s="174">
        <f>IF(Z382=$Z$87,AA382*AG382,0)</f>
        <v>0</v>
      </c>
      <c r="BZ382" s="174">
        <f>IF(Z382=$Z$88,AA382*AG382,0)</f>
        <v>0</v>
      </c>
      <c r="CA382" s="174">
        <f>IF(Z382=$Z$89,AA382*AG382,0)</f>
        <v>0</v>
      </c>
      <c r="CB382" s="174">
        <f>IF(Z382=$Z$90,AA382*AG382,0)</f>
        <v>0</v>
      </c>
      <c r="CC382" s="175">
        <f>IFERROR(IF(L382=$L$49,AG382*AH382*(1+AI382)*(1-AK382)*(1-AL382),0),0)</f>
        <v>0</v>
      </c>
      <c r="CD382" s="203">
        <f>IF(I382=$CD$97,1,IF(I382=$CD$100,2,IF(K382=$K$66,1,IF(K382=$K$69,1,3))))</f>
        <v>1</v>
      </c>
      <c r="CE382" s="203">
        <f t="shared" si="14"/>
        <v>1.07</v>
      </c>
      <c r="CF382" s="204">
        <f t="shared" si="75"/>
        <v>1.2353999999999998</v>
      </c>
      <c r="CG382" s="203">
        <f t="shared" si="15"/>
        <v>1.42</v>
      </c>
      <c r="CH382" s="204">
        <f t="shared" si="76"/>
        <v>1.5478000000000001</v>
      </c>
      <c r="CI382" s="203">
        <f t="shared" si="16"/>
        <v>1.7</v>
      </c>
      <c r="CJ382" s="205">
        <f t="shared" si="77"/>
        <v>1.0486</v>
      </c>
      <c r="CK382" s="205">
        <f t="shared" si="78"/>
        <v>1.148922</v>
      </c>
      <c r="CL382" s="205">
        <f t="shared" si="79"/>
        <v>1.3915999999999999</v>
      </c>
      <c r="CM382" s="205">
        <f t="shared" si="80"/>
        <v>1.501366</v>
      </c>
      <c r="CN382" s="206">
        <f t="shared" si="81"/>
        <v>1.6319999999999999</v>
      </c>
      <c r="CO382" s="204">
        <f t="shared" si="82"/>
        <v>1.006656</v>
      </c>
      <c r="CP382" s="207">
        <f t="shared" si="83"/>
        <v>0</v>
      </c>
      <c r="CQ382" s="208">
        <f t="shared" si="84"/>
        <v>0</v>
      </c>
      <c r="CR382" s="209">
        <f t="shared" si="93"/>
        <v>0</v>
      </c>
      <c r="CS382" s="49"/>
      <c r="CT382" s="49"/>
      <c r="CU382" s="49"/>
      <c r="CV382" s="49"/>
      <c r="CW382" s="49"/>
      <c r="CX382" s="49"/>
      <c r="CY382" s="49"/>
      <c r="CZ382" s="49"/>
      <c r="DA382" s="49"/>
      <c r="DB382" s="49"/>
      <c r="DC382" s="49"/>
      <c r="DD382" s="49"/>
      <c r="DE382" s="49"/>
      <c r="DF382" s="49"/>
      <c r="DG382" s="49"/>
      <c r="DH382" s="49"/>
      <c r="DI382" s="49"/>
      <c r="DJ382" s="49"/>
      <c r="DK382" s="49"/>
      <c r="DL382" s="49"/>
      <c r="DM382" s="49"/>
      <c r="DN382" s="49"/>
      <c r="DO382" s="49"/>
      <c r="DP382" s="49"/>
      <c r="DQ382" s="49"/>
      <c r="DR382" s="49"/>
      <c r="DS382" s="49"/>
      <c r="DT382" s="49"/>
      <c r="DU382" s="49"/>
      <c r="DV382" s="49"/>
      <c r="DW382" s="49"/>
      <c r="DX382" s="49"/>
      <c r="DY382" s="49"/>
      <c r="DZ382" s="49"/>
      <c r="EA382" s="49"/>
      <c r="EB382" s="49"/>
      <c r="EC382" s="49"/>
      <c r="ED382" s="49"/>
      <c r="EE382" s="49"/>
      <c r="EF382" s="49"/>
      <c r="EG382" s="49"/>
      <c r="EH382" s="49"/>
      <c r="EI382" s="49"/>
      <c r="EJ382" s="49"/>
      <c r="EK382" s="49"/>
      <c r="EL382" s="49"/>
      <c r="EM382" s="49"/>
      <c r="EN382" s="49"/>
      <c r="EO382" s="49"/>
      <c r="EP382" s="49"/>
      <c r="EQ382" s="49"/>
      <c r="ER382" s="49"/>
      <c r="ES382" s="49"/>
      <c r="ET382" s="49"/>
      <c r="EU382" s="49"/>
      <c r="EV382" s="49"/>
      <c r="EW382" s="49"/>
      <c r="EX382" s="49"/>
      <c r="EY382" s="49"/>
      <c r="EZ382" s="49"/>
      <c r="FA382" s="49"/>
    </row>
    <row r="383" spans="1:157" s="210" customFormat="1" x14ac:dyDescent="0.25">
      <c r="A383" s="113">
        <f>IF(AND('[1]Cockpit Retorno'!$E$67=Sim,Mestre!M383=Mestre!$M$98),0,1)</f>
        <v>1</v>
      </c>
      <c r="B383" s="113">
        <f>IF(AND('[1]Cockpit Retorno'!$E$67=Sim,Mestre!L383=Mestre!$L$48),0,1)</f>
        <v>1</v>
      </c>
      <c r="C383" s="113">
        <f>IF(AND('[1]Cockpit Retorno'!$E$67=Sim,Mestre!M383=Mestre!$M$97),0,1)</f>
        <v>1</v>
      </c>
      <c r="D383" s="148" t="s">
        <v>7</v>
      </c>
      <c r="E383" s="115"/>
      <c r="F383" s="116" t="s">
        <v>107</v>
      </c>
      <c r="G383" s="149"/>
      <c r="H383" s="150" t="s">
        <v>7</v>
      </c>
      <c r="I383" s="151" t="str">
        <f t="shared" si="86"/>
        <v>Mercadorias</v>
      </c>
      <c r="J383" s="150" t="s">
        <v>15</v>
      </c>
      <c r="K383" s="152" t="s">
        <v>7</v>
      </c>
      <c r="L383" s="153" t="s">
        <v>28</v>
      </c>
      <c r="M383" s="154" t="s">
        <v>552</v>
      </c>
      <c r="N383" s="155" t="s">
        <v>544</v>
      </c>
      <c r="O383" s="155" t="s">
        <v>545</v>
      </c>
      <c r="P383" s="155" t="s">
        <v>43</v>
      </c>
      <c r="Q383" s="155" t="s">
        <v>43</v>
      </c>
      <c r="R383" s="155" t="s">
        <v>43</v>
      </c>
      <c r="S383" s="156" t="s">
        <v>43</v>
      </c>
      <c r="T383" s="156" t="s">
        <v>43</v>
      </c>
      <c r="U383" s="150" t="s">
        <v>43</v>
      </c>
      <c r="V383" s="150" t="s">
        <v>43</v>
      </c>
      <c r="W383" s="150" t="s">
        <v>43</v>
      </c>
      <c r="X383" s="157" t="s">
        <v>554</v>
      </c>
      <c r="Y383" s="150">
        <v>61</v>
      </c>
      <c r="Z383" s="150" t="s">
        <v>43</v>
      </c>
      <c r="AA383" s="158">
        <v>0</v>
      </c>
      <c r="AB383" s="155" t="s">
        <v>43</v>
      </c>
      <c r="AC383" s="150" t="s">
        <v>43</v>
      </c>
      <c r="AD383" s="155" t="s">
        <v>43</v>
      </c>
      <c r="AE383" s="155"/>
      <c r="AF383" s="150" t="s">
        <v>43</v>
      </c>
      <c r="AG383" s="159"/>
      <c r="AH383" s="159">
        <v>189.5712</v>
      </c>
      <c r="AI383" s="202">
        <v>9.7500000000000003E-2</v>
      </c>
      <c r="AJ383" s="161">
        <v>7.0000000000000007E-2</v>
      </c>
      <c r="AK383" s="162"/>
      <c r="AL383" s="163"/>
      <c r="AM383" s="164">
        <f>(((IF(L383=$L$101,1,IF(L383=$L$47,1,0))*(AH383*(1-AK383)))*AG383)*(1-AL383))</f>
        <v>0</v>
      </c>
      <c r="AN383" s="165">
        <f>IF(K383=$K$50,AM383,IF(K383=$K$53,AM383,IF(K383=$K$54,AM383,IF(K383=$K$55,AM383,IF(K383=$K$56,AM383,IF(K383=$K$57,AM383,IF(K383=$K$58,AM383,IF(K383=$K$65,AM383,IF(K383=$K$66,AM383,IF(K383=$K$67,AM383,IF(K383=$K$68,AM383,IF(K383=$K$69,AM383,IF(K383=$K$51,AM383,(AM383*(1+AI383)))))))))))))))</f>
        <v>0</v>
      </c>
      <c r="AO383" s="166">
        <v>1.4</v>
      </c>
      <c r="AP383" s="160">
        <f t="shared" si="87"/>
        <v>0</v>
      </c>
      <c r="AQ383" s="167">
        <f t="shared" si="95"/>
        <v>0</v>
      </c>
      <c r="AR383" s="160">
        <f t="shared" si="88"/>
        <v>0</v>
      </c>
      <c r="AS383" s="168">
        <f t="shared" si="89"/>
        <v>0</v>
      </c>
      <c r="AT383" s="169" t="str">
        <f>K383</f>
        <v>MI</v>
      </c>
      <c r="AU383" s="169" t="str">
        <f>I383</f>
        <v>Mercadorias</v>
      </c>
      <c r="AV383" s="170"/>
      <c r="AW383" s="171">
        <f>IF(K383=$K$50,0,IF(K383=$K$53,0,IF(K383=$K$54,0,IF(K383=$K$55,0,IF(K383=$K$56,0,IF(K383=$K$57,0,IF(K383=$K$58,0,IF(K383=$K$65,0,IF(K383=$K$66,0,IF(K383=$K$67,0,IF(K383=$K$68,0,IF(K383=$K$69,0,IF(K383=$K$51,0,1))))))))))))*AM383*AI383)</f>
        <v>0</v>
      </c>
      <c r="AX383" s="172">
        <f>IF(K383=$K$50,0,IF(K383=$K$53,0,IF(K383=$K$54,0,IF(K383=$K$55,0,IF(K383=$K$56,0,IF(K383=$K$57,0,IF(K383=$K$58,0,IF(K383=$K$65,0,IF(K383=$K$66,0,IF(K383=$K$67,0,IF(K383=$K$68,0,IF(K383=$K$69,0,IF(K383=$K$51,0,1))))))))))))*AM383*AJ383*$AX$94)</f>
        <v>0</v>
      </c>
      <c r="AY383" s="172">
        <f>IF(K383=$K$53,0,IF(K383=$K$54,0,IF(K383=$K$55,0,IF(K383=$K$56,0,IF(K383=$K$58,0,IF(K383=$K$50,0,IF(K383=$K$65,0,IF(K383=$K$57,0,IF(K383=$K$51,0,AM383*$AY$102)))))))))</f>
        <v>0</v>
      </c>
      <c r="AZ383" s="172">
        <f>IF(K383=$K$53,0,IF(K383=$K$54,0,IF(K383=$K$55,0,IF(K383=$K$56,0,IF(K383=$K$58,0,IF(K383=$K$50,0,IF(K383=$K$65,0,IF(K383=$K$57,0,IF(K383=$K$51,0,AM383*$AZ$102)))))))))</f>
        <v>0</v>
      </c>
      <c r="BA383" s="172">
        <f t="shared" si="90"/>
        <v>0</v>
      </c>
      <c r="BB383" s="173">
        <f>IF($BA$97=1,AQ383*$BB$102,IF(K383=$K$50,0,IF(K383=$K$53,0,IF(K383=$K$54,0,IF(K383=$K$55,0,IF(K383=$K$56,0,IF(K383=$K$57,0,IF(K383=$K$58,0,IF(K383=$K$65,0,IF(K383=$K$66,0,IF(K383=$K$67,0,IF(K383=$K$68,0,IF(K383=$K$69,0,IF(K383=$K$51,0,1)))))))))))*AQ383*$BB$102)))</f>
        <v>0</v>
      </c>
      <c r="BC383" s="172">
        <f t="shared" si="91"/>
        <v>0</v>
      </c>
      <c r="BD383" s="172">
        <f t="shared" si="92"/>
        <v>0</v>
      </c>
      <c r="BE383" s="172">
        <f>IF($BE$95=I383,$BE$97,IF(I383=$BE$96,$BE$97,1))*($BE$102*AQ383)*$AZ$97</f>
        <v>0</v>
      </c>
      <c r="BF383" s="172">
        <f>IF('[1]Cockpit Retorno'!$C$65=Sim,Mestre!BA383,SUM(BB383:BE383)+(IF(K383=$K$56,AQ383*MOE_IRRF_LR,0)))</f>
        <v>0</v>
      </c>
      <c r="BG383" s="174">
        <f>IF(AA383&gt;0,0,IF(Z383=$Z$82,AG383*1,(IF(Z383=$Z$81,AG383*1,0))))</f>
        <v>0</v>
      </c>
      <c r="BH383" s="174">
        <f>IF(AA383&gt;0,0,IF(Z383=$Z$83,AG383*1,IF(Z383=$Z$81,AG383*1,0)))</f>
        <v>0</v>
      </c>
      <c r="BI383" s="174">
        <f>IF(AA383&gt;0,0,IF(Z383=$Z$84,AG383*1,IF(Z383=$Z$93,AG383*2,IF(Z383=$Z$100,AG383,IF(Z383=$Z$81,AG383*2,IF(Z383=$Z$80,AG383*1,IF(Z383=$Z$79,AG383*3,IF(Z383=$Z$78,AG383*2,0))))))))</f>
        <v>0</v>
      </c>
      <c r="BJ383" s="174">
        <f>IF(AA383&gt;0,0,IF(Z383=$Z$85,AG383,IF(Z383=$Z$93,AG383,IF(Z383=$Z$100,AG383,IF(Z383=$Z$81,AG383*1,IF(Z383=$Z$80,AG383*2,IF(Z383=$Z$79,AG383*2,IF(Z383=$Z$78,AG383*2,0))))))))</f>
        <v>0</v>
      </c>
      <c r="BK383" s="174">
        <f>IF(AA383&gt;0,0,IF(Z383=$Z$92,AG383,0))</f>
        <v>0</v>
      </c>
      <c r="BL383" s="174">
        <f>IF(AA383&gt;0,0,IF(Z383=$Z$91,AG383,0))</f>
        <v>0</v>
      </c>
      <c r="BM383" s="174">
        <f>IF(AA383&gt;0,0,IF(Z383=$Z$86,AG383,0))</f>
        <v>0</v>
      </c>
      <c r="BN383" s="174">
        <f>IF(AA383&gt;0,0,IF(Z383=$Z$87,AG383,0))</f>
        <v>0</v>
      </c>
      <c r="BO383" s="174">
        <f>IF(AA383&gt;0,0,IF(Z383=$Z$88,AG383,0))</f>
        <v>0</v>
      </c>
      <c r="BP383" s="174">
        <f>IF(AA383&gt;0,0,IF(Z383=$Z$89,AG383,0))</f>
        <v>0</v>
      </c>
      <c r="BQ383" s="174">
        <f>IF(AA383&gt;0,0,IF(Z383=$Z$90,AG383,0))</f>
        <v>0</v>
      </c>
      <c r="BR383" s="174">
        <f>IF(Z383=$Z$82,AA383*AG383,0)</f>
        <v>0</v>
      </c>
      <c r="BS383" s="174">
        <f>IF(Z383=$Z$83,AA383*AG383,0)</f>
        <v>0</v>
      </c>
      <c r="BT383" s="174">
        <f>IF(AA383&lt;1,0,IF(Z383=$Z$84,AA383*AG383,IF(Z383=$Z$93,"ERRO",IF(Z383=$Z$100,"ERRO",0))))</f>
        <v>0</v>
      </c>
      <c r="BU383" s="174">
        <f>IF(AA383&lt;1,0,IF(Z383=$Z$85,AA383*AG383,IF(Z383=$Z$93,"ERRO",IF(Z383=$Z$100,"ERRO",0))))</f>
        <v>0</v>
      </c>
      <c r="BV383" s="174">
        <f>IF(Z383=$Z$92,AA383*AG383,0)</f>
        <v>0</v>
      </c>
      <c r="BW383" s="174">
        <f>IF(Z383=$Z$91,AA383*AG383,0)</f>
        <v>0</v>
      </c>
      <c r="BX383" s="174">
        <f>IF(Z383=$Z$86,AA383*AG383,0)</f>
        <v>0</v>
      </c>
      <c r="BY383" s="174">
        <f>IF(Z383=$Z$87,AA383*AG383,0)</f>
        <v>0</v>
      </c>
      <c r="BZ383" s="174">
        <f>IF(Z383=$Z$88,AA383*AG383,0)</f>
        <v>0</v>
      </c>
      <c r="CA383" s="174">
        <f>IF(Z383=$Z$89,AA383*AG383,0)</f>
        <v>0</v>
      </c>
      <c r="CB383" s="174">
        <f>IF(Z383=$Z$90,AA383*AG383,0)</f>
        <v>0</v>
      </c>
      <c r="CC383" s="175">
        <f>IFERROR(IF(L383=$L$49,AG383*AH383*(1+AI383)*(1-AK383)*(1-AL383),0),0)</f>
        <v>0</v>
      </c>
      <c r="CD383" s="203">
        <f>IF(I383=$CD$97,1,IF(I383=$CD$100,2,IF(K383=$K$66,1,IF(K383=$K$69,1,3))))</f>
        <v>1</v>
      </c>
      <c r="CE383" s="203">
        <f t="shared" si="14"/>
        <v>1.07</v>
      </c>
      <c r="CF383" s="204">
        <f t="shared" si="75"/>
        <v>1.2353999999999998</v>
      </c>
      <c r="CG383" s="203">
        <f t="shared" si="15"/>
        <v>1.42</v>
      </c>
      <c r="CH383" s="204">
        <f t="shared" si="76"/>
        <v>1.5478000000000001</v>
      </c>
      <c r="CI383" s="203">
        <f t="shared" si="16"/>
        <v>1.7</v>
      </c>
      <c r="CJ383" s="205">
        <f t="shared" si="77"/>
        <v>1.0486</v>
      </c>
      <c r="CK383" s="205">
        <f t="shared" si="78"/>
        <v>1.148922</v>
      </c>
      <c r="CL383" s="205">
        <f t="shared" si="79"/>
        <v>1.3915999999999999</v>
      </c>
      <c r="CM383" s="205">
        <f t="shared" si="80"/>
        <v>1.501366</v>
      </c>
      <c r="CN383" s="206">
        <f t="shared" si="81"/>
        <v>1.6319999999999999</v>
      </c>
      <c r="CO383" s="204">
        <f t="shared" si="82"/>
        <v>1.006656</v>
      </c>
      <c r="CP383" s="207">
        <f t="shared" si="83"/>
        <v>0</v>
      </c>
      <c r="CQ383" s="208">
        <f t="shared" si="84"/>
        <v>0</v>
      </c>
      <c r="CR383" s="209">
        <f t="shared" si="93"/>
        <v>0</v>
      </c>
      <c r="CS383" s="49"/>
      <c r="CT383" s="49"/>
      <c r="CU383" s="49"/>
      <c r="CV383" s="49"/>
      <c r="CW383" s="49"/>
      <c r="CX383" s="49"/>
      <c r="CY383" s="49"/>
      <c r="CZ383" s="49"/>
      <c r="DA383" s="49"/>
      <c r="DB383" s="49"/>
      <c r="DC383" s="49"/>
      <c r="DD383" s="49"/>
      <c r="DE383" s="49"/>
      <c r="DF383" s="49"/>
      <c r="DG383" s="49"/>
      <c r="DH383" s="49"/>
      <c r="DI383" s="49"/>
      <c r="DJ383" s="49"/>
      <c r="DK383" s="49"/>
      <c r="DL383" s="49"/>
      <c r="DM383" s="49"/>
      <c r="DN383" s="49"/>
      <c r="DO383" s="49"/>
      <c r="DP383" s="49"/>
      <c r="DQ383" s="49"/>
      <c r="DR383" s="49"/>
      <c r="DS383" s="49"/>
      <c r="DT383" s="49"/>
      <c r="DU383" s="49"/>
      <c r="DV383" s="49"/>
      <c r="DW383" s="49"/>
      <c r="DX383" s="49"/>
      <c r="DY383" s="49"/>
      <c r="DZ383" s="49"/>
      <c r="EA383" s="49"/>
      <c r="EB383" s="49"/>
      <c r="EC383" s="49"/>
      <c r="ED383" s="49"/>
      <c r="EE383" s="49"/>
      <c r="EF383" s="49"/>
      <c r="EG383" s="49"/>
      <c r="EH383" s="49"/>
      <c r="EI383" s="49"/>
      <c r="EJ383" s="49"/>
      <c r="EK383" s="49"/>
      <c r="EL383" s="49"/>
      <c r="EM383" s="49"/>
      <c r="EN383" s="49"/>
      <c r="EO383" s="49"/>
      <c r="EP383" s="49"/>
      <c r="EQ383" s="49"/>
      <c r="ER383" s="49"/>
      <c r="ES383" s="49"/>
      <c r="ET383" s="49"/>
      <c r="EU383" s="49"/>
      <c r="EV383" s="49"/>
      <c r="EW383" s="49"/>
      <c r="EX383" s="49"/>
      <c r="EY383" s="49"/>
      <c r="EZ383" s="49"/>
      <c r="FA383" s="49"/>
    </row>
    <row r="384" spans="1:157" s="210" customFormat="1" x14ac:dyDescent="0.25">
      <c r="A384" s="113">
        <f>IF(AND('[1]Cockpit Retorno'!$E$67=Sim,Mestre!M384=Mestre!$M$98),0,1)</f>
        <v>1</v>
      </c>
      <c r="B384" s="113">
        <f>IF(AND('[1]Cockpit Retorno'!$E$67=Sim,Mestre!L384=Mestre!$L$48),0,1)</f>
        <v>1</v>
      </c>
      <c r="C384" s="113">
        <f>IF(AND('[1]Cockpit Retorno'!$E$67=Sim,Mestre!M384=Mestre!$M$97),0,1)</f>
        <v>1</v>
      </c>
      <c r="D384" s="148" t="s">
        <v>7</v>
      </c>
      <c r="E384" s="115"/>
      <c r="F384" s="116" t="s">
        <v>107</v>
      </c>
      <c r="G384" s="149"/>
      <c r="H384" s="150" t="s">
        <v>7</v>
      </c>
      <c r="I384" s="151" t="str">
        <f>VLOOKUP(K384,$N$74:$O$95,2)</f>
        <v>Mercadorias</v>
      </c>
      <c r="J384" s="150" t="s">
        <v>15</v>
      </c>
      <c r="K384" s="152" t="s">
        <v>7</v>
      </c>
      <c r="L384" s="153" t="s">
        <v>28</v>
      </c>
      <c r="M384" s="154" t="s">
        <v>552</v>
      </c>
      <c r="N384" s="155" t="s">
        <v>544</v>
      </c>
      <c r="O384" s="155" t="s">
        <v>545</v>
      </c>
      <c r="P384" s="155" t="s">
        <v>43</v>
      </c>
      <c r="Q384" s="155" t="s">
        <v>43</v>
      </c>
      <c r="R384" s="155" t="s">
        <v>43</v>
      </c>
      <c r="S384" s="156" t="s">
        <v>43</v>
      </c>
      <c r="T384" s="156" t="s">
        <v>43</v>
      </c>
      <c r="U384" s="150" t="s">
        <v>43</v>
      </c>
      <c r="V384" s="150" t="s">
        <v>43</v>
      </c>
      <c r="W384" s="150" t="s">
        <v>43</v>
      </c>
      <c r="X384" s="157" t="s">
        <v>555</v>
      </c>
      <c r="Y384" s="150">
        <v>29</v>
      </c>
      <c r="Z384" s="150" t="s">
        <v>43</v>
      </c>
      <c r="AA384" s="158">
        <v>0</v>
      </c>
      <c r="AB384" s="155" t="s">
        <v>43</v>
      </c>
      <c r="AC384" s="150" t="s">
        <v>43</v>
      </c>
      <c r="AD384" s="155" t="s">
        <v>43</v>
      </c>
      <c r="AE384" s="155"/>
      <c r="AF384" s="150" t="s">
        <v>43</v>
      </c>
      <c r="AG384" s="159"/>
      <c r="AH384" s="159">
        <v>189.5712</v>
      </c>
      <c r="AI384" s="202">
        <v>9.7500000000000003E-2</v>
      </c>
      <c r="AJ384" s="161">
        <v>7.0000000000000007E-2</v>
      </c>
      <c r="AK384" s="162"/>
      <c r="AL384" s="163"/>
      <c r="AM384" s="164">
        <f>(((IF(L384=$L$101,1,IF(L384=$L$47,1,0))*(AH384*(1-AK384)))*AG384)*(1-AL384))</f>
        <v>0</v>
      </c>
      <c r="AN384" s="165">
        <f>IF(K384=$K$50,AM384,IF(K384=$K$53,AM384,IF(K384=$K$54,AM384,IF(K384=$K$55,AM384,IF(K384=$K$56,AM384,IF(K384=$K$57,AM384,IF(K384=$K$58,AM384,IF(K384=$K$65,AM384,IF(K384=$K$66,AM384,IF(K384=$K$67,AM384,IF(K384=$K$68,AM384,IF(K384=$K$69,AM384,IF(K384=$K$51,AM384,(AM384*(1+AI384)))))))))))))))</f>
        <v>0</v>
      </c>
      <c r="AO384" s="166">
        <v>1.4</v>
      </c>
      <c r="AP384" s="160">
        <f>AM384*AO384</f>
        <v>0</v>
      </c>
      <c r="AQ384" s="167">
        <f t="shared" si="95"/>
        <v>0</v>
      </c>
      <c r="AR384" s="160">
        <f>AO384*AN384</f>
        <v>0</v>
      </c>
      <c r="AS384" s="168">
        <f>IFERROR(IF($AX$94=0,(CQ384/AN384),CQ384/AM384),0)</f>
        <v>0</v>
      </c>
      <c r="AT384" s="169" t="str">
        <f>K384</f>
        <v>MI</v>
      </c>
      <c r="AU384" s="169" t="str">
        <f>I384</f>
        <v>Mercadorias</v>
      </c>
      <c r="AV384" s="170"/>
      <c r="AW384" s="171">
        <f>IF(K384=$K$50,0,IF(K384=$K$53,0,IF(K384=$K$54,0,IF(K384=$K$55,0,IF(K384=$K$56,0,IF(K384=$K$57,0,IF(K384=$K$58,0,IF(K384=$K$65,0,IF(K384=$K$66,0,IF(K384=$K$67,0,IF(K384=$K$68,0,IF(K384=$K$69,0,IF(K384=$K$51,0,1))))))))))))*AM384*AI384)</f>
        <v>0</v>
      </c>
      <c r="AX384" s="172">
        <f>IF(K384=$K$50,0,IF(K384=$K$53,0,IF(K384=$K$54,0,IF(K384=$K$55,0,IF(K384=$K$56,0,IF(K384=$K$57,0,IF(K384=$K$58,0,IF(K384=$K$65,0,IF(K384=$K$66,0,IF(K384=$K$67,0,IF(K384=$K$68,0,IF(K384=$K$69,0,IF(K384=$K$51,0,1))))))))))))*AM384*AJ384*$AX$94)</f>
        <v>0</v>
      </c>
      <c r="AY384" s="172">
        <f>IF(K384=$K$53,0,IF(K384=$K$54,0,IF(K384=$K$55,0,IF(K384=$K$56,0,IF(K384=$K$58,0,IF(K384=$K$50,0,IF(K384=$K$65,0,IF(K384=$K$57,0,IF(K384=$K$51,0,AM384*$AY$102)))))))))</f>
        <v>0</v>
      </c>
      <c r="AZ384" s="172">
        <f>IF(K384=$K$53,0,IF(K384=$K$54,0,IF(K384=$K$55,0,IF(K384=$K$56,0,IF(K384=$K$58,0,IF(K384=$K$50,0,IF(K384=$K$65,0,IF(K384=$K$57,0,IF(K384=$K$51,0,AM384*$AZ$102)))))))))</f>
        <v>0</v>
      </c>
      <c r="BA384" s="172">
        <f>AZ384+AY384+AX384</f>
        <v>0</v>
      </c>
      <c r="BB384" s="173">
        <f>IF($BA$97=1,AQ384*$BB$102,IF(K384=$K$50,0,IF(K384=$K$53,0,IF(K384=$K$54,0,IF(K384=$K$55,0,IF(K384=$K$56,0,IF(K384=$K$57,0,IF(K384=$K$58,0,IF(K384=$K$65,0,IF(K384=$K$66,0,IF(K384=$K$67,0,IF(K384=$K$68,0,IF(K384=$K$69,0,IF(K384=$K$51,0,1)))))))))))*AQ384*$BB$102)))</f>
        <v>0</v>
      </c>
      <c r="BC384" s="172">
        <f>AQ384*$BC$102</f>
        <v>0</v>
      </c>
      <c r="BD384" s="172">
        <f>$BD$102*AQ384</f>
        <v>0</v>
      </c>
      <c r="BE384" s="172">
        <f>IF($BE$95=I384,$BE$97,IF(I384=$BE$96,$BE$97,1))*($BE$102*AQ384)*$AZ$97</f>
        <v>0</v>
      </c>
      <c r="BF384" s="172">
        <f>IF('[1]Cockpit Retorno'!$C$65=Sim,Mestre!BA384,SUM(BB384:BE384)+(IF(K384=$K$56,AQ384*MOE_IRRF_LR,0)))</f>
        <v>0</v>
      </c>
      <c r="BG384" s="174">
        <f>IF(AA384&gt;0,0,IF(Z384=$Z$82,AG384*1,(IF(Z384=$Z$81,AG384*1,0))))</f>
        <v>0</v>
      </c>
      <c r="BH384" s="174">
        <f>IF(AA384&gt;0,0,IF(Z384=$Z$83,AG384*1,IF(Z384=$Z$81,AG384*1,0)))</f>
        <v>0</v>
      </c>
      <c r="BI384" s="174">
        <f>IF(AA384&gt;0,0,IF(Z384=$Z$84,AG384*1,IF(Z384=$Z$93,AG384*2,IF(Z384=$Z$100,AG384,IF(Z384=$Z$81,AG384*2,IF(Z384=$Z$80,AG384*1,IF(Z384=$Z$79,AG384*3,IF(Z384=$Z$78,AG384*2,0))))))))</f>
        <v>0</v>
      </c>
      <c r="BJ384" s="174">
        <f>IF(AA384&gt;0,0,IF(Z384=$Z$85,AG384,IF(Z384=$Z$93,AG384,IF(Z384=$Z$100,AG384,IF(Z384=$Z$81,AG384*1,IF(Z384=$Z$80,AG384*2,IF(Z384=$Z$79,AG384*2,IF(Z384=$Z$78,AG384*2,0))))))))</f>
        <v>0</v>
      </c>
      <c r="BK384" s="174">
        <f>IF(AA384&gt;0,0,IF(Z384=$Z$92,AG384,0))</f>
        <v>0</v>
      </c>
      <c r="BL384" s="174">
        <f>IF(AA384&gt;0,0,IF(Z384=$Z$91,AG384,0))</f>
        <v>0</v>
      </c>
      <c r="BM384" s="174">
        <f>IF(AA384&gt;0,0,IF(Z384=$Z$86,AG384,0))</f>
        <v>0</v>
      </c>
      <c r="BN384" s="174">
        <f>IF(AA384&gt;0,0,IF(Z384=$Z$87,AG384,0))</f>
        <v>0</v>
      </c>
      <c r="BO384" s="174">
        <f>IF(AA384&gt;0,0,IF(Z384=$Z$88,AG384,0))</f>
        <v>0</v>
      </c>
      <c r="BP384" s="174">
        <f>IF(AA384&gt;0,0,IF(Z384=$Z$89,AG384,0))</f>
        <v>0</v>
      </c>
      <c r="BQ384" s="174">
        <f>IF(AA384&gt;0,0,IF(Z384=$Z$90,AG384,0))</f>
        <v>0</v>
      </c>
      <c r="BR384" s="174">
        <f>IF(Z384=$Z$82,AA384*AG384,0)</f>
        <v>0</v>
      </c>
      <c r="BS384" s="174">
        <f>IF(Z384=$Z$83,AA384*AG384,0)</f>
        <v>0</v>
      </c>
      <c r="BT384" s="174">
        <f>IF(AA384&lt;1,0,IF(Z384=$Z$84,AA384*AG384,IF(Z384=$Z$93,"ERRO",IF(Z384=$Z$100,"ERRO",0))))</f>
        <v>0</v>
      </c>
      <c r="BU384" s="174">
        <f>IF(AA384&lt;1,0,IF(Z384=$Z$85,AA384*AG384,IF(Z384=$Z$93,"ERRO",IF(Z384=$Z$100,"ERRO",0))))</f>
        <v>0</v>
      </c>
      <c r="BV384" s="174">
        <f>IF(Z384=$Z$92,AA384*AG384,0)</f>
        <v>0</v>
      </c>
      <c r="BW384" s="174">
        <f>IF(Z384=$Z$91,AA384*AG384,0)</f>
        <v>0</v>
      </c>
      <c r="BX384" s="174">
        <f>IF(Z384=$Z$86,AA384*AG384,0)</f>
        <v>0</v>
      </c>
      <c r="BY384" s="174">
        <f>IF(Z384=$Z$87,AA384*AG384,0)</f>
        <v>0</v>
      </c>
      <c r="BZ384" s="174">
        <f>IF(Z384=$Z$88,AA384*AG384,0)</f>
        <v>0</v>
      </c>
      <c r="CA384" s="174">
        <f>IF(Z384=$Z$89,AA384*AG384,0)</f>
        <v>0</v>
      </c>
      <c r="CB384" s="174">
        <f>IF(Z384=$Z$90,AA384*AG384,0)</f>
        <v>0</v>
      </c>
      <c r="CC384" s="175">
        <f>IFERROR(IF(L384=$L$49,AG384*AH384*(1+AI384)*(1-AK384)*(1-AL384),0),0)</f>
        <v>0</v>
      </c>
      <c r="CD384" s="203">
        <f>IF(I384=$CD$97,1,IF(I384=$CD$100,2,IF(K384=$K$66,1,IF(K384=$K$69,1,3))))</f>
        <v>1</v>
      </c>
      <c r="CE384" s="203">
        <f>IF($CD384=1,1.07,IF($CD384=2,1.07,1.3))</f>
        <v>1.07</v>
      </c>
      <c r="CF384" s="204">
        <f t="shared" si="75"/>
        <v>1.2353999999999998</v>
      </c>
      <c r="CG384" s="203">
        <f>IF($CD384=1,1.42,IF($CD384=2,1.47,2))</f>
        <v>1.42</v>
      </c>
      <c r="CH384" s="204">
        <f t="shared" si="76"/>
        <v>1.5478000000000001</v>
      </c>
      <c r="CI384" s="203">
        <f>IF($CD384=1,1.7,IF($CD384=2,1.7,2.4))</f>
        <v>1.7</v>
      </c>
      <c r="CJ384" s="205">
        <f>CE384*$CJ$102</f>
        <v>1.0486</v>
      </c>
      <c r="CK384" s="205">
        <f>CF384*$CK$102</f>
        <v>1.148922</v>
      </c>
      <c r="CL384" s="205">
        <f>CG384*$CL$102</f>
        <v>1.3915999999999999</v>
      </c>
      <c r="CM384" s="205">
        <f>CH384*$CM$102</f>
        <v>1.501366</v>
      </c>
      <c r="CN384" s="206">
        <f>CI384*$CN$102</f>
        <v>1.6319999999999999</v>
      </c>
      <c r="CO384" s="204">
        <f>CJ384*$CO$102</f>
        <v>1.006656</v>
      </c>
      <c r="CP384" s="207">
        <f>BF384-BA384</f>
        <v>0</v>
      </c>
      <c r="CQ384" s="208">
        <f>AQ384-CP384</f>
        <v>0</v>
      </c>
      <c r="CR384" s="209">
        <f>BC384+BD384</f>
        <v>0</v>
      </c>
      <c r="CS384" s="49"/>
      <c r="CT384" s="49"/>
      <c r="CU384" s="49"/>
      <c r="CV384" s="49"/>
      <c r="CW384" s="49"/>
      <c r="CX384" s="49"/>
      <c r="CY384" s="49"/>
      <c r="CZ384" s="49"/>
      <c r="DA384" s="49"/>
      <c r="DB384" s="49"/>
      <c r="DC384" s="49"/>
      <c r="DD384" s="49"/>
      <c r="DE384" s="49"/>
      <c r="DF384" s="49"/>
      <c r="DG384" s="49"/>
      <c r="DH384" s="49"/>
      <c r="DI384" s="49"/>
      <c r="DJ384" s="49"/>
      <c r="DK384" s="49"/>
      <c r="DL384" s="49"/>
      <c r="DM384" s="49"/>
      <c r="DN384" s="49"/>
      <c r="DO384" s="49"/>
      <c r="DP384" s="49"/>
      <c r="DQ384" s="49"/>
      <c r="DR384" s="49"/>
      <c r="DS384" s="49"/>
      <c r="DT384" s="49"/>
      <c r="DU384" s="49"/>
      <c r="DV384" s="49"/>
      <c r="DW384" s="49"/>
      <c r="DX384" s="49"/>
      <c r="DY384" s="49"/>
      <c r="DZ384" s="49"/>
      <c r="EA384" s="49"/>
      <c r="EB384" s="49"/>
      <c r="EC384" s="49"/>
      <c r="ED384" s="49"/>
      <c r="EE384" s="49"/>
      <c r="EF384" s="49"/>
      <c r="EG384" s="49"/>
      <c r="EH384" s="49"/>
      <c r="EI384" s="49"/>
      <c r="EJ384" s="49"/>
      <c r="EK384" s="49"/>
      <c r="EL384" s="49"/>
      <c r="EM384" s="49"/>
      <c r="EN384" s="49"/>
      <c r="EO384" s="49"/>
      <c r="EP384" s="49"/>
      <c r="EQ384" s="49"/>
      <c r="ER384" s="49"/>
      <c r="ES384" s="49"/>
      <c r="ET384" s="49"/>
      <c r="EU384" s="49"/>
      <c r="EV384" s="49"/>
      <c r="EW384" s="49"/>
      <c r="EX384" s="49"/>
      <c r="EY384" s="49"/>
      <c r="EZ384" s="49"/>
      <c r="FA384" s="49"/>
    </row>
    <row r="385" spans="1:157" s="210" customFormat="1" x14ac:dyDescent="0.25">
      <c r="A385" s="113">
        <f>IF(AND('[1]Cockpit Retorno'!$E$67=Sim,Mestre!M385=Mestre!$M$98),0,1)</f>
        <v>1</v>
      </c>
      <c r="B385" s="113">
        <f>IF(AND('[1]Cockpit Retorno'!$E$67=Sim,Mestre!L385=Mestre!$L$48),0,1)</f>
        <v>1</v>
      </c>
      <c r="C385" s="113">
        <f>IF(AND('[1]Cockpit Retorno'!$E$67=Sim,Mestre!M385=Mestre!$M$97),0,1)</f>
        <v>1</v>
      </c>
      <c r="D385" s="148" t="s">
        <v>7</v>
      </c>
      <c r="E385" s="115"/>
      <c r="F385" s="116" t="s">
        <v>107</v>
      </c>
      <c r="G385" s="149"/>
      <c r="H385" s="150" t="s">
        <v>7</v>
      </c>
      <c r="I385" s="151" t="str">
        <f t="shared" si="86"/>
        <v>Mercadorias</v>
      </c>
      <c r="J385" s="150" t="s">
        <v>15</v>
      </c>
      <c r="K385" s="152" t="s">
        <v>7</v>
      </c>
      <c r="L385" s="153" t="s">
        <v>28</v>
      </c>
      <c r="M385" s="154" t="s">
        <v>552</v>
      </c>
      <c r="N385" s="155" t="s">
        <v>544</v>
      </c>
      <c r="O385" s="155" t="s">
        <v>545</v>
      </c>
      <c r="P385" s="155" t="s">
        <v>43</v>
      </c>
      <c r="Q385" s="155" t="s">
        <v>43</v>
      </c>
      <c r="R385" s="155" t="s">
        <v>43</v>
      </c>
      <c r="S385" s="156" t="s">
        <v>43</v>
      </c>
      <c r="T385" s="156" t="s">
        <v>43</v>
      </c>
      <c r="U385" s="150" t="s">
        <v>43</v>
      </c>
      <c r="V385" s="150" t="s">
        <v>43</v>
      </c>
      <c r="W385" s="150" t="s">
        <v>43</v>
      </c>
      <c r="X385" s="157" t="s">
        <v>556</v>
      </c>
      <c r="Y385" s="150">
        <v>76</v>
      </c>
      <c r="Z385" s="150" t="s">
        <v>43</v>
      </c>
      <c r="AA385" s="158">
        <v>0</v>
      </c>
      <c r="AB385" s="155" t="s">
        <v>43</v>
      </c>
      <c r="AC385" s="150" t="s">
        <v>43</v>
      </c>
      <c r="AD385" s="155" t="s">
        <v>43</v>
      </c>
      <c r="AE385" s="155"/>
      <c r="AF385" s="150" t="s">
        <v>43</v>
      </c>
      <c r="AG385" s="159"/>
      <c r="AH385" s="159">
        <v>85.373999999999995</v>
      </c>
      <c r="AI385" s="202">
        <v>9.7500000000000003E-2</v>
      </c>
      <c r="AJ385" s="161">
        <v>7.0000000000000007E-2</v>
      </c>
      <c r="AK385" s="162"/>
      <c r="AL385" s="163"/>
      <c r="AM385" s="164">
        <f>(((IF(L385=$L$101,1,IF(L385=$L$47,1,0))*(AH385*(1-AK385)))*AG385)*(1-AL385))</f>
        <v>0</v>
      </c>
      <c r="AN385" s="165">
        <f>IF(K385=$K$50,AM385,IF(K385=$K$53,AM385,IF(K385=$K$54,AM385,IF(K385=$K$55,AM385,IF(K385=$K$56,AM385,IF(K385=$K$57,AM385,IF(K385=$K$58,AM385,IF(K385=$K$65,AM385,IF(K385=$K$66,AM385,IF(K385=$K$67,AM385,IF(K385=$K$68,AM385,IF(K385=$K$69,AM385,IF(K385=$K$51,AM385,(AM385*(1+AI385)))))))))))))))</f>
        <v>0</v>
      </c>
      <c r="AO385" s="166">
        <v>1.4</v>
      </c>
      <c r="AP385" s="160">
        <f t="shared" si="87"/>
        <v>0</v>
      </c>
      <c r="AQ385" s="167">
        <f t="shared" si="95"/>
        <v>0</v>
      </c>
      <c r="AR385" s="160">
        <f t="shared" si="88"/>
        <v>0</v>
      </c>
      <c r="AS385" s="168">
        <f t="shared" si="89"/>
        <v>0</v>
      </c>
      <c r="AT385" s="169" t="str">
        <f>K385</f>
        <v>MI</v>
      </c>
      <c r="AU385" s="169" t="str">
        <f>I385</f>
        <v>Mercadorias</v>
      </c>
      <c r="AV385" s="170"/>
      <c r="AW385" s="171">
        <f>IF(K385=$K$50,0,IF(K385=$K$53,0,IF(K385=$K$54,0,IF(K385=$K$55,0,IF(K385=$K$56,0,IF(K385=$K$57,0,IF(K385=$K$58,0,IF(K385=$K$65,0,IF(K385=$K$66,0,IF(K385=$K$67,0,IF(K385=$K$68,0,IF(K385=$K$69,0,IF(K385=$K$51,0,1))))))))))))*AM385*AI385)</f>
        <v>0</v>
      </c>
      <c r="AX385" s="172">
        <f>IF(K385=$K$50,0,IF(K385=$K$53,0,IF(K385=$K$54,0,IF(K385=$K$55,0,IF(K385=$K$56,0,IF(K385=$K$57,0,IF(K385=$K$58,0,IF(K385=$K$65,0,IF(K385=$K$66,0,IF(K385=$K$67,0,IF(K385=$K$68,0,IF(K385=$K$69,0,IF(K385=$K$51,0,1))))))))))))*AM385*AJ385*$AX$94)</f>
        <v>0</v>
      </c>
      <c r="AY385" s="172">
        <f>IF(K385=$K$53,0,IF(K385=$K$54,0,IF(K385=$K$55,0,IF(K385=$K$56,0,IF(K385=$K$58,0,IF(K385=$K$50,0,IF(K385=$K$65,0,IF(K385=$K$57,0,IF(K385=$K$51,0,AM385*$AY$102)))))))))</f>
        <v>0</v>
      </c>
      <c r="AZ385" s="172">
        <f>IF(K385=$K$53,0,IF(K385=$K$54,0,IF(K385=$K$55,0,IF(K385=$K$56,0,IF(K385=$K$58,0,IF(K385=$K$50,0,IF(K385=$K$65,0,IF(K385=$K$57,0,IF(K385=$K$51,0,AM385*$AZ$102)))))))))</f>
        <v>0</v>
      </c>
      <c r="BA385" s="172">
        <f t="shared" si="90"/>
        <v>0</v>
      </c>
      <c r="BB385" s="173">
        <f>IF($BA$97=1,AQ385*$BB$102,IF(K385=$K$50,0,IF(K385=$K$53,0,IF(K385=$K$54,0,IF(K385=$K$55,0,IF(K385=$K$56,0,IF(K385=$K$57,0,IF(K385=$K$58,0,IF(K385=$K$65,0,IF(K385=$K$66,0,IF(K385=$K$67,0,IF(K385=$K$68,0,IF(K385=$K$69,0,IF(K385=$K$51,0,1)))))))))))*AQ385*$BB$102)))</f>
        <v>0</v>
      </c>
      <c r="BC385" s="172">
        <f t="shared" si="91"/>
        <v>0</v>
      </c>
      <c r="BD385" s="172">
        <f t="shared" si="92"/>
        <v>0</v>
      </c>
      <c r="BE385" s="172">
        <f>IF($BE$95=I385,$BE$97,IF(I385=$BE$96,$BE$97,1))*($BE$102*AQ385)*$AZ$97</f>
        <v>0</v>
      </c>
      <c r="BF385" s="172">
        <f>IF('[1]Cockpit Retorno'!$C$65=Sim,Mestre!BA385,SUM(BB385:BE385)+(IF(K385=$K$56,AQ385*MOE_IRRF_LR,0)))</f>
        <v>0</v>
      </c>
      <c r="BG385" s="174">
        <f>IF(AA385&gt;0,0,IF(Z385=$Z$82,AG385*1,(IF(Z385=$Z$81,AG385*1,0))))</f>
        <v>0</v>
      </c>
      <c r="BH385" s="174">
        <f>IF(AA385&gt;0,0,IF(Z385=$Z$83,AG385*1,IF(Z385=$Z$81,AG385*1,0)))</f>
        <v>0</v>
      </c>
      <c r="BI385" s="174">
        <f>IF(AA385&gt;0,0,IF(Z385=$Z$84,AG385*1,IF(Z385=$Z$93,AG385*2,IF(Z385=$Z$100,AG385,IF(Z385=$Z$81,AG385*2,IF(Z385=$Z$80,AG385*1,IF(Z385=$Z$79,AG385*3,IF(Z385=$Z$78,AG385*2,0))))))))</f>
        <v>0</v>
      </c>
      <c r="BJ385" s="174">
        <f>IF(AA385&gt;0,0,IF(Z385=$Z$85,AG385,IF(Z385=$Z$93,AG385,IF(Z385=$Z$100,AG385,IF(Z385=$Z$81,AG385*1,IF(Z385=$Z$80,AG385*2,IF(Z385=$Z$79,AG385*2,IF(Z385=$Z$78,AG385*2,0))))))))</f>
        <v>0</v>
      </c>
      <c r="BK385" s="174">
        <f>IF(AA385&gt;0,0,IF(Z385=$Z$92,AG385,0))</f>
        <v>0</v>
      </c>
      <c r="BL385" s="174">
        <f>IF(AA385&gt;0,0,IF(Z385=$Z$91,AG385,0))</f>
        <v>0</v>
      </c>
      <c r="BM385" s="174">
        <f>IF(AA385&gt;0,0,IF(Z385=$Z$86,AG385,0))</f>
        <v>0</v>
      </c>
      <c r="BN385" s="174">
        <f>IF(AA385&gt;0,0,IF(Z385=$Z$87,AG385,0))</f>
        <v>0</v>
      </c>
      <c r="BO385" s="174">
        <f>IF(AA385&gt;0,0,IF(Z385=$Z$88,AG385,0))</f>
        <v>0</v>
      </c>
      <c r="BP385" s="174">
        <f>IF(AA385&gt;0,0,IF(Z385=$Z$89,AG385,0))</f>
        <v>0</v>
      </c>
      <c r="BQ385" s="174">
        <f>IF(AA385&gt;0,0,IF(Z385=$Z$90,AG385,0))</f>
        <v>0</v>
      </c>
      <c r="BR385" s="174">
        <f>IF(Z385=$Z$82,AA385*AG385,0)</f>
        <v>0</v>
      </c>
      <c r="BS385" s="174">
        <f>IF(Z385=$Z$83,AA385*AG385,0)</f>
        <v>0</v>
      </c>
      <c r="BT385" s="174">
        <f>IF(AA385&lt;1,0,IF(Z385=$Z$84,AA385*AG385,IF(Z385=$Z$93,"ERRO",IF(Z385=$Z$100,"ERRO",0))))</f>
        <v>0</v>
      </c>
      <c r="BU385" s="174">
        <f>IF(AA385&lt;1,0,IF(Z385=$Z$85,AA385*AG385,IF(Z385=$Z$93,"ERRO",IF(Z385=$Z$100,"ERRO",0))))</f>
        <v>0</v>
      </c>
      <c r="BV385" s="174">
        <f>IF(Z385=$Z$92,AA385*AG385,0)</f>
        <v>0</v>
      </c>
      <c r="BW385" s="174">
        <f>IF(Z385=$Z$91,AA385*AG385,0)</f>
        <v>0</v>
      </c>
      <c r="BX385" s="174">
        <f>IF(Z385=$Z$86,AA385*AG385,0)</f>
        <v>0</v>
      </c>
      <c r="BY385" s="174">
        <f>IF(Z385=$Z$87,AA385*AG385,0)</f>
        <v>0</v>
      </c>
      <c r="BZ385" s="174">
        <f>IF(Z385=$Z$88,AA385*AG385,0)</f>
        <v>0</v>
      </c>
      <c r="CA385" s="174">
        <f>IF(Z385=$Z$89,AA385*AG385,0)</f>
        <v>0</v>
      </c>
      <c r="CB385" s="174">
        <f>IF(Z385=$Z$90,AA385*AG385,0)</f>
        <v>0</v>
      </c>
      <c r="CC385" s="175">
        <f>IFERROR(IF(L385=$L$49,AG385*AH385*(1+AI385)*(1-AK385)*(1-AL385),0),0)</f>
        <v>0</v>
      </c>
      <c r="CD385" s="203">
        <f>IF(I385=$CD$97,1,IF(I385=$CD$100,2,IF(K385=$K$66,1,IF(K385=$K$69,1,3))))</f>
        <v>1</v>
      </c>
      <c r="CE385" s="203">
        <f t="shared" si="14"/>
        <v>1.07</v>
      </c>
      <c r="CF385" s="204">
        <f t="shared" si="75"/>
        <v>1.2353999999999998</v>
      </c>
      <c r="CG385" s="203">
        <f t="shared" si="15"/>
        <v>1.42</v>
      </c>
      <c r="CH385" s="204">
        <f t="shared" si="76"/>
        <v>1.5478000000000001</v>
      </c>
      <c r="CI385" s="203">
        <f t="shared" si="16"/>
        <v>1.7</v>
      </c>
      <c r="CJ385" s="205">
        <f t="shared" si="77"/>
        <v>1.0486</v>
      </c>
      <c r="CK385" s="205">
        <f t="shared" si="78"/>
        <v>1.148922</v>
      </c>
      <c r="CL385" s="205">
        <f t="shared" si="79"/>
        <v>1.3915999999999999</v>
      </c>
      <c r="CM385" s="205">
        <f t="shared" si="80"/>
        <v>1.501366</v>
      </c>
      <c r="CN385" s="206">
        <f t="shared" si="81"/>
        <v>1.6319999999999999</v>
      </c>
      <c r="CO385" s="204">
        <f t="shared" si="82"/>
        <v>1.006656</v>
      </c>
      <c r="CP385" s="207">
        <f t="shared" si="83"/>
        <v>0</v>
      </c>
      <c r="CQ385" s="208">
        <f t="shared" si="84"/>
        <v>0</v>
      </c>
      <c r="CR385" s="209">
        <f t="shared" si="93"/>
        <v>0</v>
      </c>
      <c r="CS385" s="49"/>
      <c r="CT385" s="49"/>
      <c r="CU385" s="49"/>
      <c r="CV385" s="49"/>
      <c r="CW385" s="49"/>
      <c r="CX385" s="49"/>
      <c r="CY385" s="49"/>
      <c r="CZ385" s="49"/>
      <c r="DA385" s="49"/>
      <c r="DB385" s="49"/>
      <c r="DC385" s="49"/>
      <c r="DD385" s="49"/>
      <c r="DE385" s="49"/>
      <c r="DF385" s="49"/>
      <c r="DG385" s="49"/>
      <c r="DH385" s="49"/>
      <c r="DI385" s="49"/>
      <c r="DJ385" s="49"/>
      <c r="DK385" s="49"/>
      <c r="DL385" s="49"/>
      <c r="DM385" s="49"/>
      <c r="DN385" s="49"/>
      <c r="DO385" s="49"/>
      <c r="DP385" s="49"/>
      <c r="DQ385" s="49"/>
      <c r="DR385" s="49"/>
      <c r="DS385" s="49"/>
      <c r="DT385" s="49"/>
      <c r="DU385" s="49"/>
      <c r="DV385" s="49"/>
      <c r="DW385" s="49"/>
      <c r="DX385" s="49"/>
      <c r="DY385" s="49"/>
      <c r="DZ385" s="49"/>
      <c r="EA385" s="49"/>
      <c r="EB385" s="49"/>
      <c r="EC385" s="49"/>
      <c r="ED385" s="49"/>
      <c r="EE385" s="49"/>
      <c r="EF385" s="49"/>
      <c r="EG385" s="49"/>
      <c r="EH385" s="49"/>
      <c r="EI385" s="49"/>
      <c r="EJ385" s="49"/>
      <c r="EK385" s="49"/>
      <c r="EL385" s="49"/>
      <c r="EM385" s="49"/>
      <c r="EN385" s="49"/>
      <c r="EO385" s="49"/>
      <c r="EP385" s="49"/>
      <c r="EQ385" s="49"/>
      <c r="ER385" s="49"/>
      <c r="ES385" s="49"/>
      <c r="ET385" s="49"/>
      <c r="EU385" s="49"/>
      <c r="EV385" s="49"/>
      <c r="EW385" s="49"/>
      <c r="EX385" s="49"/>
      <c r="EY385" s="49"/>
      <c r="EZ385" s="49"/>
      <c r="FA385" s="49"/>
    </row>
    <row r="386" spans="1:157" s="210" customFormat="1" x14ac:dyDescent="0.25">
      <c r="A386" s="113">
        <f>IF(AND('[1]Cockpit Retorno'!$E$67=Sim,Mestre!M386=Mestre!$M$98),0,1)</f>
        <v>1</v>
      </c>
      <c r="B386" s="113">
        <f>IF(AND('[1]Cockpit Retorno'!$E$67=Sim,Mestre!L386=Mestre!$L$48),0,1)</f>
        <v>1</v>
      </c>
      <c r="C386" s="113">
        <f>IF(AND('[1]Cockpit Retorno'!$E$67=Sim,Mestre!M386=Mestre!$M$97),0,1)</f>
        <v>1</v>
      </c>
      <c r="D386" s="148" t="s">
        <v>7</v>
      </c>
      <c r="E386" s="115"/>
      <c r="F386" s="116" t="s">
        <v>107</v>
      </c>
      <c r="G386" s="149"/>
      <c r="H386" s="150" t="s">
        <v>7</v>
      </c>
      <c r="I386" s="151" t="str">
        <f>VLOOKUP(K386,$N$74:$O$95,2)</f>
        <v>Mercadorias</v>
      </c>
      <c r="J386" s="150" t="s">
        <v>15</v>
      </c>
      <c r="K386" s="152" t="s">
        <v>7</v>
      </c>
      <c r="L386" s="153" t="s">
        <v>28</v>
      </c>
      <c r="M386" s="154" t="s">
        <v>552</v>
      </c>
      <c r="N386" s="155" t="s">
        <v>544</v>
      </c>
      <c r="O386" s="155" t="s">
        <v>545</v>
      </c>
      <c r="P386" s="155" t="s">
        <v>43</v>
      </c>
      <c r="Q386" s="155" t="s">
        <v>43</v>
      </c>
      <c r="R386" s="155" t="s">
        <v>43</v>
      </c>
      <c r="S386" s="156" t="s">
        <v>43</v>
      </c>
      <c r="T386" s="156" t="s">
        <v>43</v>
      </c>
      <c r="U386" s="150" t="s">
        <v>43</v>
      </c>
      <c r="V386" s="150" t="s">
        <v>43</v>
      </c>
      <c r="W386" s="150" t="s">
        <v>43</v>
      </c>
      <c r="X386" s="157" t="s">
        <v>557</v>
      </c>
      <c r="Y386" s="150">
        <v>20</v>
      </c>
      <c r="Z386" s="150" t="s">
        <v>43</v>
      </c>
      <c r="AA386" s="158">
        <v>0</v>
      </c>
      <c r="AB386" s="155" t="s">
        <v>43</v>
      </c>
      <c r="AC386" s="150" t="s">
        <v>43</v>
      </c>
      <c r="AD386" s="155" t="s">
        <v>43</v>
      </c>
      <c r="AE386" s="155"/>
      <c r="AF386" s="150" t="s">
        <v>43</v>
      </c>
      <c r="AG386" s="159"/>
      <c r="AH386" s="159">
        <v>85.373999999999995</v>
      </c>
      <c r="AI386" s="202">
        <v>9.7500000000000003E-2</v>
      </c>
      <c r="AJ386" s="161">
        <v>7.0000000000000007E-2</v>
      </c>
      <c r="AK386" s="162"/>
      <c r="AL386" s="163"/>
      <c r="AM386" s="164">
        <f>(((IF(L386=$L$101,1,IF(L386=$L$47,1,0))*(AH386*(1-AK386)))*AG386)*(1-AL386))</f>
        <v>0</v>
      </c>
      <c r="AN386" s="165">
        <f>IF(K386=$K$50,AM386,IF(K386=$K$53,AM386,IF(K386=$K$54,AM386,IF(K386=$K$55,AM386,IF(K386=$K$56,AM386,IF(K386=$K$57,AM386,IF(K386=$K$58,AM386,IF(K386=$K$65,AM386,IF(K386=$K$66,AM386,IF(K386=$K$67,AM386,IF(K386=$K$68,AM386,IF(K386=$K$69,AM386,IF(K386=$K$51,AM386,(AM386*(1+AI386)))))))))))))))</f>
        <v>0</v>
      </c>
      <c r="AO386" s="166">
        <v>1.4</v>
      </c>
      <c r="AP386" s="160">
        <f>AM386*AO386</f>
        <v>0</v>
      </c>
      <c r="AQ386" s="167">
        <f t="shared" si="95"/>
        <v>0</v>
      </c>
      <c r="AR386" s="160">
        <f>AO386*AN386</f>
        <v>0</v>
      </c>
      <c r="AS386" s="168">
        <f>IFERROR(IF($AX$94=0,(CQ386/AN386),CQ386/AM386),0)</f>
        <v>0</v>
      </c>
      <c r="AT386" s="169" t="str">
        <f>K386</f>
        <v>MI</v>
      </c>
      <c r="AU386" s="169" t="str">
        <f>I386</f>
        <v>Mercadorias</v>
      </c>
      <c r="AV386" s="170"/>
      <c r="AW386" s="171">
        <f>IF(K386=$K$50,0,IF(K386=$K$53,0,IF(K386=$K$54,0,IF(K386=$K$55,0,IF(K386=$K$56,0,IF(K386=$K$57,0,IF(K386=$K$58,0,IF(K386=$K$65,0,IF(K386=$K$66,0,IF(K386=$K$67,0,IF(K386=$K$68,0,IF(K386=$K$69,0,IF(K386=$K$51,0,1))))))))))))*AM386*AI386)</f>
        <v>0</v>
      </c>
      <c r="AX386" s="172">
        <f>IF(K386=$K$50,0,IF(K386=$K$53,0,IF(K386=$K$54,0,IF(K386=$K$55,0,IF(K386=$K$56,0,IF(K386=$K$57,0,IF(K386=$K$58,0,IF(K386=$K$65,0,IF(K386=$K$66,0,IF(K386=$K$67,0,IF(K386=$K$68,0,IF(K386=$K$69,0,IF(K386=$K$51,0,1))))))))))))*AM386*AJ386*$AX$94)</f>
        <v>0</v>
      </c>
      <c r="AY386" s="172">
        <f>IF(K386=$K$53,0,IF(K386=$K$54,0,IF(K386=$K$55,0,IF(K386=$K$56,0,IF(K386=$K$58,0,IF(K386=$K$50,0,IF(K386=$K$65,0,IF(K386=$K$57,0,IF(K386=$K$51,0,AM386*$AY$102)))))))))</f>
        <v>0</v>
      </c>
      <c r="AZ386" s="172">
        <f>IF(K386=$K$53,0,IF(K386=$K$54,0,IF(K386=$K$55,0,IF(K386=$K$56,0,IF(K386=$K$58,0,IF(K386=$K$50,0,IF(K386=$K$65,0,IF(K386=$K$57,0,IF(K386=$K$51,0,AM386*$AZ$102)))))))))</f>
        <v>0</v>
      </c>
      <c r="BA386" s="172">
        <f>AZ386+AY386+AX386</f>
        <v>0</v>
      </c>
      <c r="BB386" s="173">
        <f>IF($BA$97=1,AQ386*$BB$102,IF(K386=$K$50,0,IF(K386=$K$53,0,IF(K386=$K$54,0,IF(K386=$K$55,0,IF(K386=$K$56,0,IF(K386=$K$57,0,IF(K386=$K$58,0,IF(K386=$K$65,0,IF(K386=$K$66,0,IF(K386=$K$67,0,IF(K386=$K$68,0,IF(K386=$K$69,0,IF(K386=$K$51,0,1)))))))))))*AQ386*$BB$102)))</f>
        <v>0</v>
      </c>
      <c r="BC386" s="172">
        <f>AQ386*$BC$102</f>
        <v>0</v>
      </c>
      <c r="BD386" s="172">
        <f>$BD$102*AQ386</f>
        <v>0</v>
      </c>
      <c r="BE386" s="172">
        <f>IF($BE$95=I386,$BE$97,IF(I386=$BE$96,$BE$97,1))*($BE$102*AQ386)*$AZ$97</f>
        <v>0</v>
      </c>
      <c r="BF386" s="172">
        <f>IF('[1]Cockpit Retorno'!$C$65=Sim,Mestre!BA386,SUM(BB386:BE386)+(IF(K386=$K$56,AQ386*MOE_IRRF_LR,0)))</f>
        <v>0</v>
      </c>
      <c r="BG386" s="174">
        <f>IF(AA386&gt;0,0,IF(Z386=$Z$82,AG386*1,(IF(Z386=$Z$81,AG386*1,0))))</f>
        <v>0</v>
      </c>
      <c r="BH386" s="174">
        <f>IF(AA386&gt;0,0,IF(Z386=$Z$83,AG386*1,IF(Z386=$Z$81,AG386*1,0)))</f>
        <v>0</v>
      </c>
      <c r="BI386" s="174">
        <f>IF(AA386&gt;0,0,IF(Z386=$Z$84,AG386*1,IF(Z386=$Z$93,AG386*2,IF(Z386=$Z$100,AG386,IF(Z386=$Z$81,AG386*2,IF(Z386=$Z$80,AG386*1,IF(Z386=$Z$79,AG386*3,IF(Z386=$Z$78,AG386*2,0))))))))</f>
        <v>0</v>
      </c>
      <c r="BJ386" s="174">
        <f>IF(AA386&gt;0,0,IF(Z386=$Z$85,AG386,IF(Z386=$Z$93,AG386,IF(Z386=$Z$100,AG386,IF(Z386=$Z$81,AG386*1,IF(Z386=$Z$80,AG386*2,IF(Z386=$Z$79,AG386*2,IF(Z386=$Z$78,AG386*2,0))))))))</f>
        <v>0</v>
      </c>
      <c r="BK386" s="174">
        <f>IF(AA386&gt;0,0,IF(Z386=$Z$92,AG386,0))</f>
        <v>0</v>
      </c>
      <c r="BL386" s="174">
        <f>IF(AA386&gt;0,0,IF(Z386=$Z$91,AG386,0))</f>
        <v>0</v>
      </c>
      <c r="BM386" s="174">
        <f>IF(AA386&gt;0,0,IF(Z386=$Z$86,AG386,0))</f>
        <v>0</v>
      </c>
      <c r="BN386" s="174">
        <f>IF(AA386&gt;0,0,IF(Z386=$Z$87,AG386,0))</f>
        <v>0</v>
      </c>
      <c r="BO386" s="174">
        <f>IF(AA386&gt;0,0,IF(Z386=$Z$88,AG386,0))</f>
        <v>0</v>
      </c>
      <c r="BP386" s="174">
        <f>IF(AA386&gt;0,0,IF(Z386=$Z$89,AG386,0))</f>
        <v>0</v>
      </c>
      <c r="BQ386" s="174">
        <f>IF(AA386&gt;0,0,IF(Z386=$Z$90,AG386,0))</f>
        <v>0</v>
      </c>
      <c r="BR386" s="174">
        <f>IF(Z386=$Z$82,AA386*AG386,0)</f>
        <v>0</v>
      </c>
      <c r="BS386" s="174">
        <f>IF(Z386=$Z$83,AA386*AG386,0)</f>
        <v>0</v>
      </c>
      <c r="BT386" s="174">
        <f>IF(AA386&lt;1,0,IF(Z386=$Z$84,AA386*AG386,IF(Z386=$Z$93,"ERRO",IF(Z386=$Z$100,"ERRO",0))))</f>
        <v>0</v>
      </c>
      <c r="BU386" s="174">
        <f>IF(AA386&lt;1,0,IF(Z386=$Z$85,AA386*AG386,IF(Z386=$Z$93,"ERRO",IF(Z386=$Z$100,"ERRO",0))))</f>
        <v>0</v>
      </c>
      <c r="BV386" s="174">
        <f>IF(Z386=$Z$92,AA386*AG386,0)</f>
        <v>0</v>
      </c>
      <c r="BW386" s="174">
        <f>IF(Z386=$Z$91,AA386*AG386,0)</f>
        <v>0</v>
      </c>
      <c r="BX386" s="174">
        <f>IF(Z386=$Z$86,AA386*AG386,0)</f>
        <v>0</v>
      </c>
      <c r="BY386" s="174">
        <f>IF(Z386=$Z$87,AA386*AG386,0)</f>
        <v>0</v>
      </c>
      <c r="BZ386" s="174">
        <f>IF(Z386=$Z$88,AA386*AG386,0)</f>
        <v>0</v>
      </c>
      <c r="CA386" s="174">
        <f>IF(Z386=$Z$89,AA386*AG386,0)</f>
        <v>0</v>
      </c>
      <c r="CB386" s="174">
        <f>IF(Z386=$Z$90,AA386*AG386,0)</f>
        <v>0</v>
      </c>
      <c r="CC386" s="175">
        <f>IFERROR(IF(L386=$L$49,AG386*AH386*(1+AI386)*(1-AK386)*(1-AL386),0),0)</f>
        <v>0</v>
      </c>
      <c r="CD386" s="203">
        <f>IF(I386=$CD$97,1,IF(I386=$CD$100,2,IF(K386=$K$66,1,IF(K386=$K$69,1,3))))</f>
        <v>1</v>
      </c>
      <c r="CE386" s="203">
        <f>IF($CD386=1,1.07,IF($CD386=2,1.07,1.3))</f>
        <v>1.07</v>
      </c>
      <c r="CF386" s="204">
        <f t="shared" si="75"/>
        <v>1.2353999999999998</v>
      </c>
      <c r="CG386" s="203">
        <f>IF($CD386=1,1.42,IF($CD386=2,1.47,2))</f>
        <v>1.42</v>
      </c>
      <c r="CH386" s="204">
        <f t="shared" si="76"/>
        <v>1.5478000000000001</v>
      </c>
      <c r="CI386" s="203">
        <f>IF($CD386=1,1.7,IF($CD386=2,1.7,2.4))</f>
        <v>1.7</v>
      </c>
      <c r="CJ386" s="205">
        <f>CE386*$CJ$102</f>
        <v>1.0486</v>
      </c>
      <c r="CK386" s="205">
        <f>CF386*$CK$102</f>
        <v>1.148922</v>
      </c>
      <c r="CL386" s="205">
        <f>CG386*$CL$102</f>
        <v>1.3915999999999999</v>
      </c>
      <c r="CM386" s="205">
        <f>CH386*$CM$102</f>
        <v>1.501366</v>
      </c>
      <c r="CN386" s="206">
        <f>CI386*$CN$102</f>
        <v>1.6319999999999999</v>
      </c>
      <c r="CO386" s="204">
        <f>CJ386*$CO$102</f>
        <v>1.006656</v>
      </c>
      <c r="CP386" s="207">
        <f>BF386-BA386</f>
        <v>0</v>
      </c>
      <c r="CQ386" s="208">
        <f>AQ386-CP386</f>
        <v>0</v>
      </c>
      <c r="CR386" s="209">
        <f>BC386+BD386</f>
        <v>0</v>
      </c>
      <c r="CS386" s="49"/>
      <c r="CT386" s="49"/>
      <c r="CU386" s="49"/>
      <c r="CV386" s="49"/>
      <c r="CW386" s="49"/>
      <c r="CX386" s="49"/>
      <c r="CY386" s="49"/>
      <c r="CZ386" s="49"/>
      <c r="DA386" s="49"/>
      <c r="DB386" s="49"/>
      <c r="DC386" s="49"/>
      <c r="DD386" s="49"/>
      <c r="DE386" s="49"/>
      <c r="DF386" s="49"/>
      <c r="DG386" s="49"/>
      <c r="DH386" s="49"/>
      <c r="DI386" s="49"/>
      <c r="DJ386" s="49"/>
      <c r="DK386" s="49"/>
      <c r="DL386" s="49"/>
      <c r="DM386" s="49"/>
      <c r="DN386" s="49"/>
      <c r="DO386" s="49"/>
      <c r="DP386" s="49"/>
      <c r="DQ386" s="49"/>
      <c r="DR386" s="49"/>
      <c r="DS386" s="49"/>
      <c r="DT386" s="49"/>
      <c r="DU386" s="49"/>
      <c r="DV386" s="49"/>
      <c r="DW386" s="49"/>
      <c r="DX386" s="49"/>
      <c r="DY386" s="49"/>
      <c r="DZ386" s="49"/>
      <c r="EA386" s="49"/>
      <c r="EB386" s="49"/>
      <c r="EC386" s="49"/>
      <c r="ED386" s="49"/>
      <c r="EE386" s="49"/>
      <c r="EF386" s="49"/>
      <c r="EG386" s="49"/>
      <c r="EH386" s="49"/>
      <c r="EI386" s="49"/>
      <c r="EJ386" s="49"/>
      <c r="EK386" s="49"/>
      <c r="EL386" s="49"/>
      <c r="EM386" s="49"/>
      <c r="EN386" s="49"/>
      <c r="EO386" s="49"/>
      <c r="EP386" s="49"/>
      <c r="EQ386" s="49"/>
      <c r="ER386" s="49"/>
      <c r="ES386" s="49"/>
      <c r="ET386" s="49"/>
      <c r="EU386" s="49"/>
      <c r="EV386" s="49"/>
      <c r="EW386" s="49"/>
      <c r="EX386" s="49"/>
      <c r="EY386" s="49"/>
      <c r="EZ386" s="49"/>
      <c r="FA386" s="49"/>
    </row>
    <row r="387" spans="1:157" s="210" customFormat="1" x14ac:dyDescent="0.25">
      <c r="A387" s="113">
        <f>IF(AND('[1]Cockpit Retorno'!$E$67=Sim,Mestre!M387=Mestre!$M$98),0,1)</f>
        <v>1</v>
      </c>
      <c r="B387" s="113">
        <f>IF(AND('[1]Cockpit Retorno'!$E$67=Sim,Mestre!L387=Mestre!$L$48),0,1)</f>
        <v>1</v>
      </c>
      <c r="C387" s="113">
        <f>IF(AND('[1]Cockpit Retorno'!$E$67=Sim,Mestre!M387=Mestre!$M$97),0,1)</f>
        <v>1</v>
      </c>
      <c r="D387" s="148" t="s">
        <v>7</v>
      </c>
      <c r="E387" s="115"/>
      <c r="F387" s="116" t="s">
        <v>107</v>
      </c>
      <c r="G387" s="149"/>
      <c r="H387" s="150" t="s">
        <v>7</v>
      </c>
      <c r="I387" s="151" t="str">
        <f t="shared" si="86"/>
        <v>Mercadorias</v>
      </c>
      <c r="J387" s="150" t="s">
        <v>15</v>
      </c>
      <c r="K387" s="152" t="s">
        <v>7</v>
      </c>
      <c r="L387" s="153" t="s">
        <v>28</v>
      </c>
      <c r="M387" s="154" t="s">
        <v>552</v>
      </c>
      <c r="N387" s="155" t="s">
        <v>544</v>
      </c>
      <c r="O387" s="155" t="s">
        <v>545</v>
      </c>
      <c r="P387" s="155" t="s">
        <v>43</v>
      </c>
      <c r="Q387" s="155" t="s">
        <v>43</v>
      </c>
      <c r="R387" s="155" t="s">
        <v>43</v>
      </c>
      <c r="S387" s="156" t="s">
        <v>43</v>
      </c>
      <c r="T387" s="156" t="s">
        <v>43</v>
      </c>
      <c r="U387" s="150" t="s">
        <v>43</v>
      </c>
      <c r="V387" s="150" t="s">
        <v>43</v>
      </c>
      <c r="W387" s="150" t="s">
        <v>43</v>
      </c>
      <c r="X387" s="157" t="s">
        <v>558</v>
      </c>
      <c r="Y387" s="150">
        <v>63</v>
      </c>
      <c r="Z387" s="150" t="s">
        <v>43</v>
      </c>
      <c r="AA387" s="158">
        <v>0</v>
      </c>
      <c r="AB387" s="155" t="s">
        <v>43</v>
      </c>
      <c r="AC387" s="150" t="s">
        <v>43</v>
      </c>
      <c r="AD387" s="155" t="s">
        <v>43</v>
      </c>
      <c r="AE387" s="155"/>
      <c r="AF387" s="150" t="s">
        <v>43</v>
      </c>
      <c r="AG387" s="159"/>
      <c r="AH387" s="159">
        <v>122.9367</v>
      </c>
      <c r="AI387" s="202">
        <v>9.7500000000000003E-2</v>
      </c>
      <c r="AJ387" s="161">
        <v>7.0000000000000007E-2</v>
      </c>
      <c r="AK387" s="162"/>
      <c r="AL387" s="163"/>
      <c r="AM387" s="164">
        <f>(((IF(L387=$L$101,1,IF(L387=$L$47,1,0))*(AH387*(1-AK387)))*AG387)*(1-AL387))</f>
        <v>0</v>
      </c>
      <c r="AN387" s="165">
        <f>IF(K387=$K$50,AM387,IF(K387=$K$53,AM387,IF(K387=$K$54,AM387,IF(K387=$K$55,AM387,IF(K387=$K$56,AM387,IF(K387=$K$57,AM387,IF(K387=$K$58,AM387,IF(K387=$K$65,AM387,IF(K387=$K$66,AM387,IF(K387=$K$67,AM387,IF(K387=$K$68,AM387,IF(K387=$K$69,AM387,IF(K387=$K$51,AM387,(AM387*(1+AI387)))))))))))))))</f>
        <v>0</v>
      </c>
      <c r="AO387" s="166">
        <v>1.4</v>
      </c>
      <c r="AP387" s="160">
        <f t="shared" si="87"/>
        <v>0</v>
      </c>
      <c r="AQ387" s="167">
        <f t="shared" si="95"/>
        <v>0</v>
      </c>
      <c r="AR387" s="160">
        <f t="shared" si="88"/>
        <v>0</v>
      </c>
      <c r="AS387" s="168">
        <f t="shared" si="89"/>
        <v>0</v>
      </c>
      <c r="AT387" s="169" t="str">
        <f>K387</f>
        <v>MI</v>
      </c>
      <c r="AU387" s="169" t="str">
        <f>I387</f>
        <v>Mercadorias</v>
      </c>
      <c r="AV387" s="170"/>
      <c r="AW387" s="171">
        <f>IF(K387=$K$50,0,IF(K387=$K$53,0,IF(K387=$K$54,0,IF(K387=$K$55,0,IF(K387=$K$56,0,IF(K387=$K$57,0,IF(K387=$K$58,0,IF(K387=$K$65,0,IF(K387=$K$66,0,IF(K387=$K$67,0,IF(K387=$K$68,0,IF(K387=$K$69,0,IF(K387=$K$51,0,1))))))))))))*AM387*AI387)</f>
        <v>0</v>
      </c>
      <c r="AX387" s="172">
        <f>IF(K387=$K$50,0,IF(K387=$K$53,0,IF(K387=$K$54,0,IF(K387=$K$55,0,IF(K387=$K$56,0,IF(K387=$K$57,0,IF(K387=$K$58,0,IF(K387=$K$65,0,IF(K387=$K$66,0,IF(K387=$K$67,0,IF(K387=$K$68,0,IF(K387=$K$69,0,IF(K387=$K$51,0,1))))))))))))*AM387*AJ387*$AX$94)</f>
        <v>0</v>
      </c>
      <c r="AY387" s="172">
        <f>IF(K387=$K$53,0,IF(K387=$K$54,0,IF(K387=$K$55,0,IF(K387=$K$56,0,IF(K387=$K$58,0,IF(K387=$K$50,0,IF(K387=$K$65,0,IF(K387=$K$57,0,IF(K387=$K$51,0,AM387*$AY$102)))))))))</f>
        <v>0</v>
      </c>
      <c r="AZ387" s="172">
        <f>IF(K387=$K$53,0,IF(K387=$K$54,0,IF(K387=$K$55,0,IF(K387=$K$56,0,IF(K387=$K$58,0,IF(K387=$K$50,0,IF(K387=$K$65,0,IF(K387=$K$57,0,IF(K387=$K$51,0,AM387*$AZ$102)))))))))</f>
        <v>0</v>
      </c>
      <c r="BA387" s="172">
        <f t="shared" si="90"/>
        <v>0</v>
      </c>
      <c r="BB387" s="173">
        <f>IF($BA$97=1,AQ387*$BB$102,IF(K387=$K$50,0,IF(K387=$K$53,0,IF(K387=$K$54,0,IF(K387=$K$55,0,IF(K387=$K$56,0,IF(K387=$K$57,0,IF(K387=$K$58,0,IF(K387=$K$65,0,IF(K387=$K$66,0,IF(K387=$K$67,0,IF(K387=$K$68,0,IF(K387=$K$69,0,IF(K387=$K$51,0,1)))))))))))*AQ387*$BB$102)))</f>
        <v>0</v>
      </c>
      <c r="BC387" s="172">
        <f t="shared" si="91"/>
        <v>0</v>
      </c>
      <c r="BD387" s="172">
        <f t="shared" si="92"/>
        <v>0</v>
      </c>
      <c r="BE387" s="172">
        <f>IF($BE$95=I387,$BE$97,IF(I387=$BE$96,$BE$97,1))*($BE$102*AQ387)*$AZ$97</f>
        <v>0</v>
      </c>
      <c r="BF387" s="172">
        <f>IF('[1]Cockpit Retorno'!$C$65=Sim,Mestre!BA387,SUM(BB387:BE387)+(IF(K387=$K$56,AQ387*MOE_IRRF_LR,0)))</f>
        <v>0</v>
      </c>
      <c r="BG387" s="174">
        <f>IF(AA387&gt;0,0,IF(Z387=$Z$82,AG387*1,(IF(Z387=$Z$81,AG387*1,0))))</f>
        <v>0</v>
      </c>
      <c r="BH387" s="174">
        <f>IF(AA387&gt;0,0,IF(Z387=$Z$83,AG387*1,IF(Z387=$Z$81,AG387*1,0)))</f>
        <v>0</v>
      </c>
      <c r="BI387" s="174">
        <f>IF(AA387&gt;0,0,IF(Z387=$Z$84,AG387*1,IF(Z387=$Z$93,AG387*2,IF(Z387=$Z$100,AG387,IF(Z387=$Z$81,AG387*2,IF(Z387=$Z$80,AG387*1,IF(Z387=$Z$79,AG387*3,IF(Z387=$Z$78,AG387*2,0))))))))</f>
        <v>0</v>
      </c>
      <c r="BJ387" s="174">
        <f>IF(AA387&gt;0,0,IF(Z387=$Z$85,AG387,IF(Z387=$Z$93,AG387,IF(Z387=$Z$100,AG387,IF(Z387=$Z$81,AG387*1,IF(Z387=$Z$80,AG387*2,IF(Z387=$Z$79,AG387*2,IF(Z387=$Z$78,AG387*2,0))))))))</f>
        <v>0</v>
      </c>
      <c r="BK387" s="174">
        <f>IF(AA387&gt;0,0,IF(Z387=$Z$92,AG387,0))</f>
        <v>0</v>
      </c>
      <c r="BL387" s="174">
        <f>IF(AA387&gt;0,0,IF(Z387=$Z$91,AG387,0))</f>
        <v>0</v>
      </c>
      <c r="BM387" s="174">
        <f>IF(AA387&gt;0,0,IF(Z387=$Z$86,AG387,0))</f>
        <v>0</v>
      </c>
      <c r="BN387" s="174">
        <f>IF(AA387&gt;0,0,IF(Z387=$Z$87,AG387,0))</f>
        <v>0</v>
      </c>
      <c r="BO387" s="174">
        <f>IF(AA387&gt;0,0,IF(Z387=$Z$88,AG387,0))</f>
        <v>0</v>
      </c>
      <c r="BP387" s="174">
        <f>IF(AA387&gt;0,0,IF(Z387=$Z$89,AG387,0))</f>
        <v>0</v>
      </c>
      <c r="BQ387" s="174">
        <f>IF(AA387&gt;0,0,IF(Z387=$Z$90,AG387,0))</f>
        <v>0</v>
      </c>
      <c r="BR387" s="174">
        <f>IF(Z387=$Z$82,AA387*AG387,0)</f>
        <v>0</v>
      </c>
      <c r="BS387" s="174">
        <f>IF(Z387=$Z$83,AA387*AG387,0)</f>
        <v>0</v>
      </c>
      <c r="BT387" s="174">
        <f>IF(AA387&lt;1,0,IF(Z387=$Z$84,AA387*AG387,IF(Z387=$Z$93,"ERRO",IF(Z387=$Z$100,"ERRO",0))))</f>
        <v>0</v>
      </c>
      <c r="BU387" s="174">
        <f>IF(AA387&lt;1,0,IF(Z387=$Z$85,AA387*AG387,IF(Z387=$Z$93,"ERRO",IF(Z387=$Z$100,"ERRO",0))))</f>
        <v>0</v>
      </c>
      <c r="BV387" s="174">
        <f>IF(Z387=$Z$92,AA387*AG387,0)</f>
        <v>0</v>
      </c>
      <c r="BW387" s="174">
        <f>IF(Z387=$Z$91,AA387*AG387,0)</f>
        <v>0</v>
      </c>
      <c r="BX387" s="174">
        <f>IF(Z387=$Z$86,AA387*AG387,0)</f>
        <v>0</v>
      </c>
      <c r="BY387" s="174">
        <f>IF(Z387=$Z$87,AA387*AG387,0)</f>
        <v>0</v>
      </c>
      <c r="BZ387" s="174">
        <f>IF(Z387=$Z$88,AA387*AG387,0)</f>
        <v>0</v>
      </c>
      <c r="CA387" s="174">
        <f>IF(Z387=$Z$89,AA387*AG387,0)</f>
        <v>0</v>
      </c>
      <c r="CB387" s="174">
        <f>IF(Z387=$Z$90,AA387*AG387,0)</f>
        <v>0</v>
      </c>
      <c r="CC387" s="175">
        <f>IFERROR(IF(L387=$L$49,AG387*AH387*(1+AI387)*(1-AK387)*(1-AL387),0),0)</f>
        <v>0</v>
      </c>
      <c r="CD387" s="203">
        <f>IF(I387=$CD$97,1,IF(I387=$CD$100,2,IF(K387=$K$66,1,IF(K387=$K$69,1,3))))</f>
        <v>1</v>
      </c>
      <c r="CE387" s="203">
        <f t="shared" si="14"/>
        <v>1.07</v>
      </c>
      <c r="CF387" s="204">
        <f t="shared" si="75"/>
        <v>1.2353999999999998</v>
      </c>
      <c r="CG387" s="203">
        <f t="shared" si="15"/>
        <v>1.42</v>
      </c>
      <c r="CH387" s="204">
        <f t="shared" si="76"/>
        <v>1.5478000000000001</v>
      </c>
      <c r="CI387" s="203">
        <f t="shared" si="16"/>
        <v>1.7</v>
      </c>
      <c r="CJ387" s="205">
        <f t="shared" si="77"/>
        <v>1.0486</v>
      </c>
      <c r="CK387" s="205">
        <f t="shared" si="78"/>
        <v>1.148922</v>
      </c>
      <c r="CL387" s="205">
        <f t="shared" si="79"/>
        <v>1.3915999999999999</v>
      </c>
      <c r="CM387" s="205">
        <f t="shared" si="80"/>
        <v>1.501366</v>
      </c>
      <c r="CN387" s="206">
        <f t="shared" si="81"/>
        <v>1.6319999999999999</v>
      </c>
      <c r="CO387" s="204">
        <f t="shared" si="82"/>
        <v>1.006656</v>
      </c>
      <c r="CP387" s="207">
        <f t="shared" si="83"/>
        <v>0</v>
      </c>
      <c r="CQ387" s="208">
        <f t="shared" si="84"/>
        <v>0</v>
      </c>
      <c r="CR387" s="209">
        <f t="shared" si="93"/>
        <v>0</v>
      </c>
      <c r="CS387" s="49"/>
      <c r="CT387" s="49"/>
      <c r="CU387" s="49"/>
      <c r="CV387" s="49"/>
      <c r="CW387" s="49"/>
      <c r="CX387" s="49"/>
      <c r="CY387" s="49"/>
      <c r="CZ387" s="49"/>
      <c r="DA387" s="49"/>
      <c r="DB387" s="49"/>
      <c r="DC387" s="49"/>
      <c r="DD387" s="49"/>
      <c r="DE387" s="49"/>
      <c r="DF387" s="49"/>
      <c r="DG387" s="49"/>
      <c r="DH387" s="49"/>
      <c r="DI387" s="49"/>
      <c r="DJ387" s="49"/>
      <c r="DK387" s="49"/>
      <c r="DL387" s="49"/>
      <c r="DM387" s="49"/>
      <c r="DN387" s="49"/>
      <c r="DO387" s="49"/>
      <c r="DP387" s="49"/>
      <c r="DQ387" s="49"/>
      <c r="DR387" s="49"/>
      <c r="DS387" s="49"/>
      <c r="DT387" s="49"/>
      <c r="DU387" s="49"/>
      <c r="DV387" s="49"/>
      <c r="DW387" s="49"/>
      <c r="DX387" s="49"/>
      <c r="DY387" s="49"/>
      <c r="DZ387" s="49"/>
      <c r="EA387" s="49"/>
      <c r="EB387" s="49"/>
      <c r="EC387" s="49"/>
      <c r="ED387" s="49"/>
      <c r="EE387" s="49"/>
      <c r="EF387" s="49"/>
      <c r="EG387" s="49"/>
      <c r="EH387" s="49"/>
      <c r="EI387" s="49"/>
      <c r="EJ387" s="49"/>
      <c r="EK387" s="49"/>
      <c r="EL387" s="49"/>
      <c r="EM387" s="49"/>
      <c r="EN387" s="49"/>
      <c r="EO387" s="49"/>
      <c r="EP387" s="49"/>
      <c r="EQ387" s="49"/>
      <c r="ER387" s="49"/>
      <c r="ES387" s="49"/>
      <c r="ET387" s="49"/>
      <c r="EU387" s="49"/>
      <c r="EV387" s="49"/>
      <c r="EW387" s="49"/>
      <c r="EX387" s="49"/>
      <c r="EY387" s="49"/>
      <c r="EZ387" s="49"/>
      <c r="FA387" s="49"/>
    </row>
    <row r="388" spans="1:157" s="210" customFormat="1" x14ac:dyDescent="0.25">
      <c r="A388" s="113">
        <f>IF(AND('[1]Cockpit Retorno'!$E$67=Sim,Mestre!M388=Mestre!$M$98),0,1)</f>
        <v>1</v>
      </c>
      <c r="B388" s="113">
        <f>IF(AND('[1]Cockpit Retorno'!$E$67=Sim,Mestre!L388=Mestre!$L$48),0,1)</f>
        <v>1</v>
      </c>
      <c r="C388" s="113">
        <f>IF(AND('[1]Cockpit Retorno'!$E$67=Sim,Mestre!M388=Mestre!$M$97),0,1)</f>
        <v>1</v>
      </c>
      <c r="D388" s="148" t="s">
        <v>7</v>
      </c>
      <c r="E388" s="115"/>
      <c r="F388" s="116" t="s">
        <v>107</v>
      </c>
      <c r="G388" s="149"/>
      <c r="H388" s="150" t="s">
        <v>7</v>
      </c>
      <c r="I388" s="151" t="str">
        <f>VLOOKUP(K388,$N$74:$O$95,2)</f>
        <v>Mercadorias</v>
      </c>
      <c r="J388" s="150" t="s">
        <v>15</v>
      </c>
      <c r="K388" s="152" t="s">
        <v>7</v>
      </c>
      <c r="L388" s="153" t="s">
        <v>28</v>
      </c>
      <c r="M388" s="154" t="s">
        <v>552</v>
      </c>
      <c r="N388" s="155" t="s">
        <v>544</v>
      </c>
      <c r="O388" s="155" t="s">
        <v>545</v>
      </c>
      <c r="P388" s="155" t="s">
        <v>43</v>
      </c>
      <c r="Q388" s="155" t="s">
        <v>43</v>
      </c>
      <c r="R388" s="155" t="s">
        <v>43</v>
      </c>
      <c r="S388" s="156" t="s">
        <v>43</v>
      </c>
      <c r="T388" s="156" t="s">
        <v>43</v>
      </c>
      <c r="U388" s="150" t="s">
        <v>43</v>
      </c>
      <c r="V388" s="150" t="s">
        <v>43</v>
      </c>
      <c r="W388" s="150" t="s">
        <v>43</v>
      </c>
      <c r="X388" s="157" t="s">
        <v>559</v>
      </c>
      <c r="Y388" s="150">
        <v>51</v>
      </c>
      <c r="Z388" s="150" t="s">
        <v>43</v>
      </c>
      <c r="AA388" s="158">
        <v>0</v>
      </c>
      <c r="AB388" s="155" t="s">
        <v>43</v>
      </c>
      <c r="AC388" s="150" t="s">
        <v>43</v>
      </c>
      <c r="AD388" s="155" t="s">
        <v>43</v>
      </c>
      <c r="AE388" s="155"/>
      <c r="AF388" s="150" t="s">
        <v>43</v>
      </c>
      <c r="AG388" s="159"/>
      <c r="AH388" s="159">
        <v>122.9367</v>
      </c>
      <c r="AI388" s="202">
        <v>9.7500000000000003E-2</v>
      </c>
      <c r="AJ388" s="161">
        <v>7.0000000000000007E-2</v>
      </c>
      <c r="AK388" s="162"/>
      <c r="AL388" s="163"/>
      <c r="AM388" s="164">
        <f>(((IF(L388=$L$101,1,IF(L388=$L$47,1,0))*(AH388*(1-AK388)))*AG388)*(1-AL388))</f>
        <v>0</v>
      </c>
      <c r="AN388" s="165">
        <f>IF(K388=$K$50,AM388,IF(K388=$K$53,AM388,IF(K388=$K$54,AM388,IF(K388=$K$55,AM388,IF(K388=$K$56,AM388,IF(K388=$K$57,AM388,IF(K388=$K$58,AM388,IF(K388=$K$65,AM388,IF(K388=$K$66,AM388,IF(K388=$K$67,AM388,IF(K388=$K$68,AM388,IF(K388=$K$69,AM388,IF(K388=$K$51,AM388,(AM388*(1+AI388)))))))))))))))</f>
        <v>0</v>
      </c>
      <c r="AO388" s="166">
        <v>1.4</v>
      </c>
      <c r="AP388" s="160">
        <f>AM388*AO388</f>
        <v>0</v>
      </c>
      <c r="AQ388" s="167">
        <f t="shared" si="95"/>
        <v>0</v>
      </c>
      <c r="AR388" s="160">
        <f>AO388*AN388</f>
        <v>0</v>
      </c>
      <c r="AS388" s="168">
        <f>IFERROR(IF($AX$94=0,(CQ388/AN388),CQ388/AM388),0)</f>
        <v>0</v>
      </c>
      <c r="AT388" s="169" t="str">
        <f>K388</f>
        <v>MI</v>
      </c>
      <c r="AU388" s="169" t="str">
        <f>I388</f>
        <v>Mercadorias</v>
      </c>
      <c r="AV388" s="170"/>
      <c r="AW388" s="171">
        <f>IF(K388=$K$50,0,IF(K388=$K$53,0,IF(K388=$K$54,0,IF(K388=$K$55,0,IF(K388=$K$56,0,IF(K388=$K$57,0,IF(K388=$K$58,0,IF(K388=$K$65,0,IF(K388=$K$66,0,IF(K388=$K$67,0,IF(K388=$K$68,0,IF(K388=$K$69,0,IF(K388=$K$51,0,1))))))))))))*AM388*AI388)</f>
        <v>0</v>
      </c>
      <c r="AX388" s="172">
        <f>IF(K388=$K$50,0,IF(K388=$K$53,0,IF(K388=$K$54,0,IF(K388=$K$55,0,IF(K388=$K$56,0,IF(K388=$K$57,0,IF(K388=$K$58,0,IF(K388=$K$65,0,IF(K388=$K$66,0,IF(K388=$K$67,0,IF(K388=$K$68,0,IF(K388=$K$69,0,IF(K388=$K$51,0,1))))))))))))*AM388*AJ388*$AX$94)</f>
        <v>0</v>
      </c>
      <c r="AY388" s="172">
        <f>IF(K388=$K$53,0,IF(K388=$K$54,0,IF(K388=$K$55,0,IF(K388=$K$56,0,IF(K388=$K$58,0,IF(K388=$K$50,0,IF(K388=$K$65,0,IF(K388=$K$57,0,IF(K388=$K$51,0,AM388*$AY$102)))))))))</f>
        <v>0</v>
      </c>
      <c r="AZ388" s="172">
        <f>IF(K388=$K$53,0,IF(K388=$K$54,0,IF(K388=$K$55,0,IF(K388=$K$56,0,IF(K388=$K$58,0,IF(K388=$K$50,0,IF(K388=$K$65,0,IF(K388=$K$57,0,IF(K388=$K$51,0,AM388*$AZ$102)))))))))</f>
        <v>0</v>
      </c>
      <c r="BA388" s="172">
        <f>AZ388+AY388+AX388</f>
        <v>0</v>
      </c>
      <c r="BB388" s="173">
        <f>IF($BA$97=1,AQ388*$BB$102,IF(K388=$K$50,0,IF(K388=$K$53,0,IF(K388=$K$54,0,IF(K388=$K$55,0,IF(K388=$K$56,0,IF(K388=$K$57,0,IF(K388=$K$58,0,IF(K388=$K$65,0,IF(K388=$K$66,0,IF(K388=$K$67,0,IF(K388=$K$68,0,IF(K388=$K$69,0,IF(K388=$K$51,0,1)))))))))))*AQ388*$BB$102)))</f>
        <v>0</v>
      </c>
      <c r="BC388" s="172">
        <f>AQ388*$BC$102</f>
        <v>0</v>
      </c>
      <c r="BD388" s="172">
        <f>$BD$102*AQ388</f>
        <v>0</v>
      </c>
      <c r="BE388" s="172">
        <f>IF($BE$95=I388,$BE$97,IF(I388=$BE$96,$BE$97,1))*($BE$102*AQ388)*$AZ$97</f>
        <v>0</v>
      </c>
      <c r="BF388" s="172">
        <f>IF('[1]Cockpit Retorno'!$C$65=Sim,Mestre!BA388,SUM(BB388:BE388)+(IF(K388=$K$56,AQ388*MOE_IRRF_LR,0)))</f>
        <v>0</v>
      </c>
      <c r="BG388" s="174">
        <f>IF(AA388&gt;0,0,IF(Z388=$Z$82,AG388*1,(IF(Z388=$Z$81,AG388*1,0))))</f>
        <v>0</v>
      </c>
      <c r="BH388" s="174">
        <f>IF(AA388&gt;0,0,IF(Z388=$Z$83,AG388*1,IF(Z388=$Z$81,AG388*1,0)))</f>
        <v>0</v>
      </c>
      <c r="BI388" s="174">
        <f>IF(AA388&gt;0,0,IF(Z388=$Z$84,AG388*1,IF(Z388=$Z$93,AG388*2,IF(Z388=$Z$100,AG388,IF(Z388=$Z$81,AG388*2,IF(Z388=$Z$80,AG388*1,IF(Z388=$Z$79,AG388*3,IF(Z388=$Z$78,AG388*2,0))))))))</f>
        <v>0</v>
      </c>
      <c r="BJ388" s="174">
        <f>IF(AA388&gt;0,0,IF(Z388=$Z$85,AG388,IF(Z388=$Z$93,AG388,IF(Z388=$Z$100,AG388,IF(Z388=$Z$81,AG388*1,IF(Z388=$Z$80,AG388*2,IF(Z388=$Z$79,AG388*2,IF(Z388=$Z$78,AG388*2,0))))))))</f>
        <v>0</v>
      </c>
      <c r="BK388" s="174">
        <f>IF(AA388&gt;0,0,IF(Z388=$Z$92,AG388,0))</f>
        <v>0</v>
      </c>
      <c r="BL388" s="174">
        <f>IF(AA388&gt;0,0,IF(Z388=$Z$91,AG388,0))</f>
        <v>0</v>
      </c>
      <c r="BM388" s="174">
        <f>IF(AA388&gt;0,0,IF(Z388=$Z$86,AG388,0))</f>
        <v>0</v>
      </c>
      <c r="BN388" s="174">
        <f>IF(AA388&gt;0,0,IF(Z388=$Z$87,AG388,0))</f>
        <v>0</v>
      </c>
      <c r="BO388" s="174">
        <f>IF(AA388&gt;0,0,IF(Z388=$Z$88,AG388,0))</f>
        <v>0</v>
      </c>
      <c r="BP388" s="174">
        <f>IF(AA388&gt;0,0,IF(Z388=$Z$89,AG388,0))</f>
        <v>0</v>
      </c>
      <c r="BQ388" s="174">
        <f>IF(AA388&gt;0,0,IF(Z388=$Z$90,AG388,0))</f>
        <v>0</v>
      </c>
      <c r="BR388" s="174">
        <f>IF(Z388=$Z$82,AA388*AG388,0)</f>
        <v>0</v>
      </c>
      <c r="BS388" s="174">
        <f>IF(Z388=$Z$83,AA388*AG388,0)</f>
        <v>0</v>
      </c>
      <c r="BT388" s="174">
        <f>IF(AA388&lt;1,0,IF(Z388=$Z$84,AA388*AG388,IF(Z388=$Z$93,"ERRO",IF(Z388=$Z$100,"ERRO",0))))</f>
        <v>0</v>
      </c>
      <c r="BU388" s="174">
        <f>IF(AA388&lt;1,0,IF(Z388=$Z$85,AA388*AG388,IF(Z388=$Z$93,"ERRO",IF(Z388=$Z$100,"ERRO",0))))</f>
        <v>0</v>
      </c>
      <c r="BV388" s="174">
        <f>IF(Z388=$Z$92,AA388*AG388,0)</f>
        <v>0</v>
      </c>
      <c r="BW388" s="174">
        <f>IF(Z388=$Z$91,AA388*AG388,0)</f>
        <v>0</v>
      </c>
      <c r="BX388" s="174">
        <f>IF(Z388=$Z$86,AA388*AG388,0)</f>
        <v>0</v>
      </c>
      <c r="BY388" s="174">
        <f>IF(Z388=$Z$87,AA388*AG388,0)</f>
        <v>0</v>
      </c>
      <c r="BZ388" s="174">
        <f>IF(Z388=$Z$88,AA388*AG388,0)</f>
        <v>0</v>
      </c>
      <c r="CA388" s="174">
        <f>IF(Z388=$Z$89,AA388*AG388,0)</f>
        <v>0</v>
      </c>
      <c r="CB388" s="174">
        <f>IF(Z388=$Z$90,AA388*AG388,0)</f>
        <v>0</v>
      </c>
      <c r="CC388" s="175">
        <f>IFERROR(IF(L388=$L$49,AG388*AH388*(1+AI388)*(1-AK388)*(1-AL388),0),0)</f>
        <v>0</v>
      </c>
      <c r="CD388" s="203">
        <f>IF(I388=$CD$97,1,IF(I388=$CD$100,2,IF(K388=$K$66,1,IF(K388=$K$69,1,3))))</f>
        <v>1</v>
      </c>
      <c r="CE388" s="203">
        <f>IF($CD388=1,1.07,IF($CD388=2,1.07,1.3))</f>
        <v>1.07</v>
      </c>
      <c r="CF388" s="204">
        <f t="shared" si="75"/>
        <v>1.2353999999999998</v>
      </c>
      <c r="CG388" s="203">
        <f>IF($CD388=1,1.42,IF($CD388=2,1.47,2))</f>
        <v>1.42</v>
      </c>
      <c r="CH388" s="204">
        <f t="shared" si="76"/>
        <v>1.5478000000000001</v>
      </c>
      <c r="CI388" s="203">
        <f>IF($CD388=1,1.7,IF($CD388=2,1.7,2.4))</f>
        <v>1.7</v>
      </c>
      <c r="CJ388" s="205">
        <f>CE388*$CJ$102</f>
        <v>1.0486</v>
      </c>
      <c r="CK388" s="205">
        <f>CF388*$CK$102</f>
        <v>1.148922</v>
      </c>
      <c r="CL388" s="205">
        <f>CG388*$CL$102</f>
        <v>1.3915999999999999</v>
      </c>
      <c r="CM388" s="205">
        <f>CH388*$CM$102</f>
        <v>1.501366</v>
      </c>
      <c r="CN388" s="206">
        <f>CI388*$CN$102</f>
        <v>1.6319999999999999</v>
      </c>
      <c r="CO388" s="204">
        <f>CJ388*$CO$102</f>
        <v>1.006656</v>
      </c>
      <c r="CP388" s="207">
        <f>BF388-BA388</f>
        <v>0</v>
      </c>
      <c r="CQ388" s="208">
        <f>AQ388-CP388</f>
        <v>0</v>
      </c>
      <c r="CR388" s="209">
        <f>BC388+BD388</f>
        <v>0</v>
      </c>
      <c r="CS388" s="49"/>
      <c r="CT388" s="49"/>
      <c r="CU388" s="49"/>
      <c r="CV388" s="49"/>
      <c r="CW388" s="49"/>
      <c r="CX388" s="49"/>
      <c r="CY388" s="49"/>
      <c r="CZ388" s="49"/>
      <c r="DA388" s="49"/>
      <c r="DB388" s="49"/>
      <c r="DC388" s="49"/>
      <c r="DD388" s="49"/>
      <c r="DE388" s="49"/>
      <c r="DF388" s="49"/>
      <c r="DG388" s="49"/>
      <c r="DH388" s="49"/>
      <c r="DI388" s="49"/>
      <c r="DJ388" s="49"/>
      <c r="DK388" s="49"/>
      <c r="DL388" s="49"/>
      <c r="DM388" s="49"/>
      <c r="DN388" s="49"/>
      <c r="DO388" s="49"/>
      <c r="DP388" s="49"/>
      <c r="DQ388" s="49"/>
      <c r="DR388" s="49"/>
      <c r="DS388" s="49"/>
      <c r="DT388" s="49"/>
      <c r="DU388" s="49"/>
      <c r="DV388" s="49"/>
      <c r="DW388" s="49"/>
      <c r="DX388" s="49"/>
      <c r="DY388" s="49"/>
      <c r="DZ388" s="49"/>
      <c r="EA388" s="49"/>
      <c r="EB388" s="49"/>
      <c r="EC388" s="49"/>
      <c r="ED388" s="49"/>
      <c r="EE388" s="49"/>
      <c r="EF388" s="49"/>
      <c r="EG388" s="49"/>
      <c r="EH388" s="49"/>
      <c r="EI388" s="49"/>
      <c r="EJ388" s="49"/>
      <c r="EK388" s="49"/>
      <c r="EL388" s="49"/>
      <c r="EM388" s="49"/>
      <c r="EN388" s="49"/>
      <c r="EO388" s="49"/>
      <c r="EP388" s="49"/>
      <c r="EQ388" s="49"/>
      <c r="ER388" s="49"/>
      <c r="ES388" s="49"/>
      <c r="ET388" s="49"/>
      <c r="EU388" s="49"/>
      <c r="EV388" s="49"/>
      <c r="EW388" s="49"/>
      <c r="EX388" s="49"/>
      <c r="EY388" s="49"/>
      <c r="EZ388" s="49"/>
      <c r="FA388" s="49"/>
    </row>
    <row r="389" spans="1:157" s="210" customFormat="1" x14ac:dyDescent="0.25">
      <c r="A389" s="113">
        <f>IF(AND('[1]Cockpit Retorno'!$E$67=Sim,Mestre!M389=Mestre!$M$98),0,1)</f>
        <v>1</v>
      </c>
      <c r="B389" s="113">
        <f>IF(AND('[1]Cockpit Retorno'!$E$67=Sim,Mestre!L389=Mestre!$L$48),0,1)</f>
        <v>1</v>
      </c>
      <c r="C389" s="113">
        <f>IF(AND('[1]Cockpit Retorno'!$E$67=Sim,Mestre!M389=Mestre!$M$97),0,1)</f>
        <v>1</v>
      </c>
      <c r="D389" s="148" t="s">
        <v>7</v>
      </c>
      <c r="E389" s="115"/>
      <c r="F389" s="116" t="s">
        <v>107</v>
      </c>
      <c r="G389" s="149"/>
      <c r="H389" s="150" t="s">
        <v>7</v>
      </c>
      <c r="I389" s="151" t="str">
        <f t="shared" si="86"/>
        <v>Mercadorias</v>
      </c>
      <c r="J389" s="150" t="s">
        <v>15</v>
      </c>
      <c r="K389" s="152" t="s">
        <v>7</v>
      </c>
      <c r="L389" s="153" t="s">
        <v>28</v>
      </c>
      <c r="M389" s="154" t="s">
        <v>465</v>
      </c>
      <c r="N389" s="155" t="s">
        <v>544</v>
      </c>
      <c r="O389" s="155" t="s">
        <v>473</v>
      </c>
      <c r="P389" s="155" t="s">
        <v>43</v>
      </c>
      <c r="Q389" s="155" t="s">
        <v>43</v>
      </c>
      <c r="R389" s="155" t="s">
        <v>43</v>
      </c>
      <c r="S389" s="156" t="s">
        <v>43</v>
      </c>
      <c r="T389" s="156" t="s">
        <v>43</v>
      </c>
      <c r="U389" s="150" t="s">
        <v>43</v>
      </c>
      <c r="V389" s="150" t="s">
        <v>43</v>
      </c>
      <c r="W389" s="150" t="s">
        <v>43</v>
      </c>
      <c r="X389" s="157" t="s">
        <v>560</v>
      </c>
      <c r="Y389" s="150">
        <v>24</v>
      </c>
      <c r="Z389" s="150" t="s">
        <v>43</v>
      </c>
      <c r="AA389" s="158">
        <v>0</v>
      </c>
      <c r="AB389" s="155" t="s">
        <v>43</v>
      </c>
      <c r="AC389" s="150" t="s">
        <v>43</v>
      </c>
      <c r="AD389" s="155" t="s">
        <v>43</v>
      </c>
      <c r="AE389" s="155"/>
      <c r="AF389" s="150" t="s">
        <v>43</v>
      </c>
      <c r="AG389" s="159"/>
      <c r="AH389" s="159">
        <v>210.35680230000003</v>
      </c>
      <c r="AI389" s="202">
        <v>0</v>
      </c>
      <c r="AJ389" s="161">
        <v>0.12</v>
      </c>
      <c r="AK389" s="162"/>
      <c r="AL389" s="163"/>
      <c r="AM389" s="164">
        <f>(((IF(L389=$L$101,1,IF(L389=$L$47,1,0))*(AH389*(1-AK389)))*AG389)*(1-AL389))</f>
        <v>0</v>
      </c>
      <c r="AN389" s="165">
        <f>IF(K389=$K$50,AM389,IF(K389=$K$53,AM389,IF(K389=$K$54,AM389,IF(K389=$K$55,AM389,IF(K389=$K$56,AM389,IF(K389=$K$57,AM389,IF(K389=$K$58,AM389,IF(K389=$K$65,AM389,IF(K389=$K$66,AM389,IF(K389=$K$67,AM389,IF(K389=$K$68,AM389,IF(K389=$K$69,AM389,IF(K389=$K$51,AM389,(AM389*(1+AI389)))))))))))))))</f>
        <v>0</v>
      </c>
      <c r="AO389" s="166">
        <v>1.4</v>
      </c>
      <c r="AP389" s="160">
        <f t="shared" si="87"/>
        <v>0</v>
      </c>
      <c r="AQ389" s="167">
        <f t="shared" si="95"/>
        <v>0</v>
      </c>
      <c r="AR389" s="160">
        <f t="shared" si="88"/>
        <v>0</v>
      </c>
      <c r="AS389" s="168">
        <f t="shared" si="89"/>
        <v>0</v>
      </c>
      <c r="AT389" s="169" t="str">
        <f>K389</f>
        <v>MI</v>
      </c>
      <c r="AU389" s="169" t="str">
        <f>I389</f>
        <v>Mercadorias</v>
      </c>
      <c r="AV389" s="170"/>
      <c r="AW389" s="171">
        <f>IF(K389=$K$50,0,IF(K389=$K$53,0,IF(K389=$K$54,0,IF(K389=$K$55,0,IF(K389=$K$56,0,IF(K389=$K$57,0,IF(K389=$K$58,0,IF(K389=$K$65,0,IF(K389=$K$66,0,IF(K389=$K$67,0,IF(K389=$K$68,0,IF(K389=$K$69,0,IF(K389=$K$51,0,1))))))))))))*AM389*AI389)</f>
        <v>0</v>
      </c>
      <c r="AX389" s="172">
        <f>IF(K389=$K$50,0,IF(K389=$K$53,0,IF(K389=$K$54,0,IF(K389=$K$55,0,IF(K389=$K$56,0,IF(K389=$K$57,0,IF(K389=$K$58,0,IF(K389=$K$65,0,IF(K389=$K$66,0,IF(K389=$K$67,0,IF(K389=$K$68,0,IF(K389=$K$69,0,IF(K389=$K$51,0,1))))))))))))*AM389*AJ389*$AX$94)</f>
        <v>0</v>
      </c>
      <c r="AY389" s="172">
        <f>IF(K389=$K$53,0,IF(K389=$K$54,0,IF(K389=$K$55,0,IF(K389=$K$56,0,IF(K389=$K$58,0,IF(K389=$K$50,0,IF(K389=$K$65,0,IF(K389=$K$57,0,IF(K389=$K$51,0,AM389*$AY$102)))))))))</f>
        <v>0</v>
      </c>
      <c r="AZ389" s="172">
        <f>IF(K389=$K$53,0,IF(K389=$K$54,0,IF(K389=$K$55,0,IF(K389=$K$56,0,IF(K389=$K$58,0,IF(K389=$K$50,0,IF(K389=$K$65,0,IF(K389=$K$57,0,IF(K389=$K$51,0,AM389*$AZ$102)))))))))</f>
        <v>0</v>
      </c>
      <c r="BA389" s="172">
        <f t="shared" si="90"/>
        <v>0</v>
      </c>
      <c r="BB389" s="173">
        <f>IF($BA$97=1,AQ389*$BB$102,IF(K389=$K$50,0,IF(K389=$K$53,0,IF(K389=$K$54,0,IF(K389=$K$55,0,IF(K389=$K$56,0,IF(K389=$K$57,0,IF(K389=$K$58,0,IF(K389=$K$65,0,IF(K389=$K$66,0,IF(K389=$K$67,0,IF(K389=$K$68,0,IF(K389=$K$69,0,IF(K389=$K$51,0,1)))))))))))*AQ389*$BB$102)))</f>
        <v>0</v>
      </c>
      <c r="BC389" s="172">
        <f t="shared" si="91"/>
        <v>0</v>
      </c>
      <c r="BD389" s="172">
        <f t="shared" si="92"/>
        <v>0</v>
      </c>
      <c r="BE389" s="172">
        <f>IF($BE$95=I389,$BE$97,IF(I389=$BE$96,$BE$97,1))*($BE$102*AQ389)*$AZ$97</f>
        <v>0</v>
      </c>
      <c r="BF389" s="172">
        <f>IF('[1]Cockpit Retorno'!$C$65=Sim,Mestre!BA389,SUM(BB389:BE389)+(IF(K389=$K$56,AQ389*MOE_IRRF_LR,0)))</f>
        <v>0</v>
      </c>
      <c r="BG389" s="174">
        <f>IF(AA389&gt;0,0,IF(Z389=$Z$82,AG389*1,(IF(Z389=$Z$81,AG389*1,0))))</f>
        <v>0</v>
      </c>
      <c r="BH389" s="174">
        <f>IF(AA389&gt;0,0,IF(Z389=$Z$83,AG389*1,IF(Z389=$Z$81,AG389*1,0)))</f>
        <v>0</v>
      </c>
      <c r="BI389" s="174">
        <f>IF(AA389&gt;0,0,IF(Z389=$Z$84,AG389*1,IF(Z389=$Z$93,AG389*2,IF(Z389=$Z$100,AG389,IF(Z389=$Z$81,AG389*2,IF(Z389=$Z$80,AG389*1,IF(Z389=$Z$79,AG389*3,IF(Z389=$Z$78,AG389*2,0))))))))</f>
        <v>0</v>
      </c>
      <c r="BJ389" s="174">
        <f>IF(AA389&gt;0,0,IF(Z389=$Z$85,AG389,IF(Z389=$Z$93,AG389,IF(Z389=$Z$100,AG389,IF(Z389=$Z$81,AG389*1,IF(Z389=$Z$80,AG389*2,IF(Z389=$Z$79,AG389*2,IF(Z389=$Z$78,AG389*2,0))))))))</f>
        <v>0</v>
      </c>
      <c r="BK389" s="174">
        <f>IF(AA389&gt;0,0,IF(Z389=$Z$92,AG389,0))</f>
        <v>0</v>
      </c>
      <c r="BL389" s="174">
        <f>IF(AA389&gt;0,0,IF(Z389=$Z$91,AG389,0))</f>
        <v>0</v>
      </c>
      <c r="BM389" s="174">
        <f>IF(AA389&gt;0,0,IF(Z389=$Z$86,AG389,0))</f>
        <v>0</v>
      </c>
      <c r="BN389" s="174">
        <f>IF(AA389&gt;0,0,IF(Z389=$Z$87,AG389,0))</f>
        <v>0</v>
      </c>
      <c r="BO389" s="174">
        <f>IF(AA389&gt;0,0,IF(Z389=$Z$88,AG389,0))</f>
        <v>0</v>
      </c>
      <c r="BP389" s="174">
        <f>IF(AA389&gt;0,0,IF(Z389=$Z$89,AG389,0))</f>
        <v>0</v>
      </c>
      <c r="BQ389" s="174">
        <f>IF(AA389&gt;0,0,IF(Z389=$Z$90,AG389,0))</f>
        <v>0</v>
      </c>
      <c r="BR389" s="174">
        <f>IF(Z389=$Z$82,AA389*AG389,0)</f>
        <v>0</v>
      </c>
      <c r="BS389" s="174">
        <f>IF(Z389=$Z$83,AA389*AG389,0)</f>
        <v>0</v>
      </c>
      <c r="BT389" s="174">
        <f>IF(AA389&lt;1,0,IF(Z389=$Z$84,AA389*AG389,IF(Z389=$Z$93,"ERRO",IF(Z389=$Z$100,"ERRO",0))))</f>
        <v>0</v>
      </c>
      <c r="BU389" s="174">
        <f>IF(AA389&lt;1,0,IF(Z389=$Z$85,AA389*AG389,IF(Z389=$Z$93,"ERRO",IF(Z389=$Z$100,"ERRO",0))))</f>
        <v>0</v>
      </c>
      <c r="BV389" s="174">
        <f>IF(Z389=$Z$92,AA389*AG389,0)</f>
        <v>0</v>
      </c>
      <c r="BW389" s="174">
        <f>IF(Z389=$Z$91,AA389*AG389,0)</f>
        <v>0</v>
      </c>
      <c r="BX389" s="174">
        <f>IF(Z389=$Z$86,AA389*AG389,0)</f>
        <v>0</v>
      </c>
      <c r="BY389" s="174">
        <f>IF(Z389=$Z$87,AA389*AG389,0)</f>
        <v>0</v>
      </c>
      <c r="BZ389" s="174">
        <f>IF(Z389=$Z$88,AA389*AG389,0)</f>
        <v>0</v>
      </c>
      <c r="CA389" s="174">
        <f>IF(Z389=$Z$89,AA389*AG389,0)</f>
        <v>0</v>
      </c>
      <c r="CB389" s="174">
        <f>IF(Z389=$Z$90,AA389*AG389,0)</f>
        <v>0</v>
      </c>
      <c r="CC389" s="175">
        <f>IFERROR(IF(L389=$L$49,AG389*AH389*(1+AI389)*(1-AK389)*(1-AL389),0),0)</f>
        <v>0</v>
      </c>
      <c r="CD389" s="203">
        <f>IF(I389=$CD$97,1,IF(I389=$CD$100,2,IF(K389=$K$66,1,IF(K389=$K$69,1,3))))</f>
        <v>1</v>
      </c>
      <c r="CE389" s="203">
        <f t="shared" si="14"/>
        <v>1.07</v>
      </c>
      <c r="CF389" s="204">
        <f t="shared" si="75"/>
        <v>1.2353999999999998</v>
      </c>
      <c r="CG389" s="203">
        <f t="shared" si="15"/>
        <v>1.42</v>
      </c>
      <c r="CH389" s="204">
        <f t="shared" si="76"/>
        <v>1.5478000000000001</v>
      </c>
      <c r="CI389" s="203">
        <f t="shared" si="16"/>
        <v>1.7</v>
      </c>
      <c r="CJ389" s="205">
        <f t="shared" si="77"/>
        <v>1.0486</v>
      </c>
      <c r="CK389" s="205">
        <f t="shared" si="78"/>
        <v>1.148922</v>
      </c>
      <c r="CL389" s="205">
        <f t="shared" si="79"/>
        <v>1.3915999999999999</v>
      </c>
      <c r="CM389" s="205">
        <f t="shared" si="80"/>
        <v>1.501366</v>
      </c>
      <c r="CN389" s="206">
        <f t="shared" si="81"/>
        <v>1.6319999999999999</v>
      </c>
      <c r="CO389" s="204">
        <f t="shared" si="82"/>
        <v>1.006656</v>
      </c>
      <c r="CP389" s="207">
        <f t="shared" si="83"/>
        <v>0</v>
      </c>
      <c r="CQ389" s="208">
        <f t="shared" si="84"/>
        <v>0</v>
      </c>
      <c r="CR389" s="209">
        <f t="shared" si="93"/>
        <v>0</v>
      </c>
      <c r="CS389" s="49"/>
      <c r="CT389" s="49"/>
      <c r="CU389" s="49"/>
      <c r="CV389" s="49"/>
      <c r="CW389" s="49"/>
      <c r="CX389" s="49"/>
      <c r="CY389" s="49"/>
      <c r="CZ389" s="49"/>
      <c r="DA389" s="49"/>
      <c r="DB389" s="49"/>
      <c r="DC389" s="49"/>
      <c r="DD389" s="49"/>
      <c r="DE389" s="49"/>
      <c r="DF389" s="49"/>
      <c r="DG389" s="49"/>
      <c r="DH389" s="49"/>
      <c r="DI389" s="49"/>
      <c r="DJ389" s="49"/>
      <c r="DK389" s="49"/>
      <c r="DL389" s="49"/>
      <c r="DM389" s="49"/>
      <c r="DN389" s="49"/>
      <c r="DO389" s="49"/>
      <c r="DP389" s="49"/>
      <c r="DQ389" s="49"/>
      <c r="DR389" s="49"/>
      <c r="DS389" s="49"/>
      <c r="DT389" s="49"/>
      <c r="DU389" s="49"/>
      <c r="DV389" s="49"/>
      <c r="DW389" s="49"/>
      <c r="DX389" s="49"/>
      <c r="DY389" s="49"/>
      <c r="DZ389" s="49"/>
      <c r="EA389" s="49"/>
      <c r="EB389" s="49"/>
      <c r="EC389" s="49"/>
      <c r="ED389" s="49"/>
      <c r="EE389" s="49"/>
      <c r="EF389" s="49"/>
      <c r="EG389" s="49"/>
      <c r="EH389" s="49"/>
      <c r="EI389" s="49"/>
      <c r="EJ389" s="49"/>
      <c r="EK389" s="49"/>
      <c r="EL389" s="49"/>
      <c r="EM389" s="49"/>
      <c r="EN389" s="49"/>
      <c r="EO389" s="49"/>
      <c r="EP389" s="49"/>
      <c r="EQ389" s="49"/>
      <c r="ER389" s="49"/>
      <c r="ES389" s="49"/>
      <c r="ET389" s="49"/>
      <c r="EU389" s="49"/>
      <c r="EV389" s="49"/>
      <c r="EW389" s="49"/>
      <c r="EX389" s="49"/>
      <c r="EY389" s="49"/>
      <c r="EZ389" s="49"/>
      <c r="FA389" s="49"/>
    </row>
    <row r="390" spans="1:157" s="210" customFormat="1" ht="51" x14ac:dyDescent="0.25">
      <c r="A390" s="113">
        <f>IF(AND('[1]Cockpit Retorno'!$E$67=Sim,Mestre!M390=Mestre!$M$98),0,1)</f>
        <v>1</v>
      </c>
      <c r="B390" s="113">
        <f>IF(AND('[1]Cockpit Retorno'!$E$67=Sim,Mestre!L390=Mestre!$L$48),0,1)</f>
        <v>1</v>
      </c>
      <c r="C390" s="113">
        <f>IF(AND('[1]Cockpit Retorno'!$E$67=Sim,Mestre!M390=Mestre!$M$97),0,1)</f>
        <v>1</v>
      </c>
      <c r="D390" s="148" t="s">
        <v>7</v>
      </c>
      <c r="E390" s="115"/>
      <c r="F390" s="116" t="s">
        <v>107</v>
      </c>
      <c r="G390" s="149"/>
      <c r="H390" s="150" t="s">
        <v>7</v>
      </c>
      <c r="I390" s="151" t="str">
        <f t="shared" si="86"/>
        <v>Mercadorias</v>
      </c>
      <c r="J390" s="150" t="s">
        <v>15</v>
      </c>
      <c r="K390" s="152" t="s">
        <v>7</v>
      </c>
      <c r="L390" s="153" t="s">
        <v>28</v>
      </c>
      <c r="M390" s="154" t="s">
        <v>561</v>
      </c>
      <c r="N390" s="155" t="s">
        <v>544</v>
      </c>
      <c r="O390" s="155" t="s">
        <v>562</v>
      </c>
      <c r="P390" s="155" t="s">
        <v>43</v>
      </c>
      <c r="Q390" s="155" t="s">
        <v>43</v>
      </c>
      <c r="R390" s="155" t="s">
        <v>43</v>
      </c>
      <c r="S390" s="156" t="s">
        <v>43</v>
      </c>
      <c r="T390" s="156" t="s">
        <v>43</v>
      </c>
      <c r="U390" s="150" t="s">
        <v>43</v>
      </c>
      <c r="V390" s="150" t="s">
        <v>43</v>
      </c>
      <c r="W390" s="150" t="s">
        <v>43</v>
      </c>
      <c r="X390" s="157" t="s">
        <v>475</v>
      </c>
      <c r="Y390" s="150">
        <v>1476</v>
      </c>
      <c r="Z390" s="150" t="s">
        <v>43</v>
      </c>
      <c r="AA390" s="158">
        <v>0</v>
      </c>
      <c r="AB390" s="155" t="s">
        <v>43</v>
      </c>
      <c r="AC390" s="150" t="s">
        <v>43</v>
      </c>
      <c r="AD390" s="155" t="s">
        <v>43</v>
      </c>
      <c r="AE390" s="155"/>
      <c r="AF390" s="150" t="s">
        <v>43</v>
      </c>
      <c r="AG390" s="159"/>
      <c r="AH390" s="211">
        <v>42.761400000000002</v>
      </c>
      <c r="AI390" s="202">
        <v>0</v>
      </c>
      <c r="AJ390" s="161">
        <v>7.0000000000000007E-2</v>
      </c>
      <c r="AK390" s="162"/>
      <c r="AL390" s="163"/>
      <c r="AM390" s="164">
        <f>(((IF(L390=$L$101,1,IF(L390=$L$47,1,0))*(AH390*(1-AK390)))*AG390)*(1-AL390))</f>
        <v>0</v>
      </c>
      <c r="AN390" s="165">
        <f>IF(K390=$K$50,AM390,IF(K390=$K$53,AM390,IF(K390=$K$54,AM390,IF(K390=$K$55,AM390,IF(K390=$K$56,AM390,IF(K390=$K$57,AM390,IF(K390=$K$58,AM390,IF(K390=$K$65,AM390,IF(K390=$K$66,AM390,IF(K390=$K$67,AM390,IF(K390=$K$68,AM390,IF(K390=$K$69,AM390,IF(K390=$K$51,AM390,(AM390*(1+AI390)))))))))))))))</f>
        <v>0</v>
      </c>
      <c r="AO390" s="166">
        <v>1.4</v>
      </c>
      <c r="AP390" s="160">
        <f t="shared" si="87"/>
        <v>0</v>
      </c>
      <c r="AQ390" s="167">
        <f t="shared" si="95"/>
        <v>0</v>
      </c>
      <c r="AR390" s="160">
        <f t="shared" si="88"/>
        <v>0</v>
      </c>
      <c r="AS390" s="168">
        <f t="shared" si="89"/>
        <v>0</v>
      </c>
      <c r="AT390" s="169" t="str">
        <f>K390</f>
        <v>MI</v>
      </c>
      <c r="AU390" s="169" t="str">
        <f>I390</f>
        <v>Mercadorias</v>
      </c>
      <c r="AV390" s="170"/>
      <c r="AW390" s="171">
        <f>IF(K390=$K$50,0,IF(K390=$K$53,0,IF(K390=$K$54,0,IF(K390=$K$55,0,IF(K390=$K$56,0,IF(K390=$K$57,0,IF(K390=$K$58,0,IF(K390=$K$65,0,IF(K390=$K$66,0,IF(K390=$K$67,0,IF(K390=$K$68,0,IF(K390=$K$69,0,IF(K390=$K$51,0,1))))))))))))*AM390*AI390)</f>
        <v>0</v>
      </c>
      <c r="AX390" s="172">
        <f>IF(K390=$K$50,0,IF(K390=$K$53,0,IF(K390=$K$54,0,IF(K390=$K$55,0,IF(K390=$K$56,0,IF(K390=$K$57,0,IF(K390=$K$58,0,IF(K390=$K$65,0,IF(K390=$K$66,0,IF(K390=$K$67,0,IF(K390=$K$68,0,IF(K390=$K$69,0,IF(K390=$K$51,0,1))))))))))))*AM390*AJ390*$AX$94)</f>
        <v>0</v>
      </c>
      <c r="AY390" s="172">
        <f>IF(K390=$K$53,0,IF(K390=$K$54,0,IF(K390=$K$55,0,IF(K390=$K$56,0,IF(K390=$K$58,0,IF(K390=$K$50,0,IF(K390=$K$65,0,IF(K390=$K$57,0,IF(K390=$K$51,0,AM390*$AY$102)))))))))</f>
        <v>0</v>
      </c>
      <c r="AZ390" s="172">
        <f>IF(K390=$K$53,0,IF(K390=$K$54,0,IF(K390=$K$55,0,IF(K390=$K$56,0,IF(K390=$K$58,0,IF(K390=$K$50,0,IF(K390=$K$65,0,IF(K390=$K$57,0,IF(K390=$K$51,0,AM390*$AZ$102)))))))))</f>
        <v>0</v>
      </c>
      <c r="BA390" s="172">
        <f t="shared" si="90"/>
        <v>0</v>
      </c>
      <c r="BB390" s="173">
        <f>IF($BA$97=1,AQ390*$BB$102,IF(K390=$K$50,0,IF(K390=$K$53,0,IF(K390=$K$54,0,IF(K390=$K$55,0,IF(K390=$K$56,0,IF(K390=$K$57,0,IF(K390=$K$58,0,IF(K390=$K$65,0,IF(K390=$K$66,0,IF(K390=$K$67,0,IF(K390=$K$68,0,IF(K390=$K$69,0,IF(K390=$K$51,0,1)))))))))))*AQ390*$BB$102)))</f>
        <v>0</v>
      </c>
      <c r="BC390" s="172">
        <f t="shared" si="91"/>
        <v>0</v>
      </c>
      <c r="BD390" s="172">
        <f t="shared" si="92"/>
        <v>0</v>
      </c>
      <c r="BE390" s="172">
        <f>IF($BE$95=I390,$BE$97,IF(I390=$BE$96,$BE$97,1))*($BE$102*AQ390)*$AZ$97</f>
        <v>0</v>
      </c>
      <c r="BF390" s="172">
        <f>IF('[1]Cockpit Retorno'!$C$65=Sim,Mestre!BA390,SUM(BB390:BE390)+(IF(K390=$K$56,AQ390*MOE_IRRF_LR,0)))</f>
        <v>0</v>
      </c>
      <c r="BG390" s="174">
        <f>IF(AA390&gt;0,0,IF(Z390=$Z$82,AG390*1,(IF(Z390=$Z$81,AG390*1,0))))</f>
        <v>0</v>
      </c>
      <c r="BH390" s="174">
        <f>IF(AA390&gt;0,0,IF(Z390=$Z$83,AG390*1,IF(Z390=$Z$81,AG390*1,0)))</f>
        <v>0</v>
      </c>
      <c r="BI390" s="174">
        <f>IF(AA390&gt;0,0,IF(Z390=$Z$84,AG390*1,IF(Z390=$Z$93,AG390*2,IF(Z390=$Z$100,AG390,IF(Z390=$Z$81,AG390*2,IF(Z390=$Z$80,AG390*1,IF(Z390=$Z$79,AG390*3,IF(Z390=$Z$78,AG390*2,0))))))))</f>
        <v>0</v>
      </c>
      <c r="BJ390" s="174">
        <f>IF(AA390&gt;0,0,IF(Z390=$Z$85,AG390,IF(Z390=$Z$93,AG390,IF(Z390=$Z$100,AG390,IF(Z390=$Z$81,AG390*1,IF(Z390=$Z$80,AG390*2,IF(Z390=$Z$79,AG390*2,IF(Z390=$Z$78,AG390*2,0))))))))</f>
        <v>0</v>
      </c>
      <c r="BK390" s="174">
        <f>IF(AA390&gt;0,0,IF(Z390=$Z$92,AG390,0))</f>
        <v>0</v>
      </c>
      <c r="BL390" s="174">
        <f>IF(AA390&gt;0,0,IF(Z390=$Z$91,AG390,0))</f>
        <v>0</v>
      </c>
      <c r="BM390" s="174">
        <f>IF(AA390&gt;0,0,IF(Z390=$Z$86,AG390,0))</f>
        <v>0</v>
      </c>
      <c r="BN390" s="174">
        <f>IF(AA390&gt;0,0,IF(Z390=$Z$87,AG390,0))</f>
        <v>0</v>
      </c>
      <c r="BO390" s="174">
        <f>IF(AA390&gt;0,0,IF(Z390=$Z$88,AG390,0))</f>
        <v>0</v>
      </c>
      <c r="BP390" s="174">
        <f>IF(AA390&gt;0,0,IF(Z390=$Z$89,AG390,0))</f>
        <v>0</v>
      </c>
      <c r="BQ390" s="174">
        <f>IF(AA390&gt;0,0,IF(Z390=$Z$90,AG390,0))</f>
        <v>0</v>
      </c>
      <c r="BR390" s="174">
        <f>IF(Z390=$Z$82,AA390*AG390,0)</f>
        <v>0</v>
      </c>
      <c r="BS390" s="174">
        <f>IF(Z390=$Z$83,AA390*AG390,0)</f>
        <v>0</v>
      </c>
      <c r="BT390" s="174">
        <f>IF(AA390&lt;1,0,IF(Z390=$Z$84,AA390*AG390,IF(Z390=$Z$93,"ERRO",IF(Z390=$Z$100,"ERRO",0))))</f>
        <v>0</v>
      </c>
      <c r="BU390" s="174">
        <f>IF(AA390&lt;1,0,IF(Z390=$Z$85,AA390*AG390,IF(Z390=$Z$93,"ERRO",IF(Z390=$Z$100,"ERRO",0))))</f>
        <v>0</v>
      </c>
      <c r="BV390" s="174">
        <f>IF(Z390=$Z$92,AA390*AG390,0)</f>
        <v>0</v>
      </c>
      <c r="BW390" s="174">
        <f>IF(Z390=$Z$91,AA390*AG390,0)</f>
        <v>0</v>
      </c>
      <c r="BX390" s="174">
        <f>IF(Z390=$Z$86,AA390*AG390,0)</f>
        <v>0</v>
      </c>
      <c r="BY390" s="174">
        <f>IF(Z390=$Z$87,AA390*AG390,0)</f>
        <v>0</v>
      </c>
      <c r="BZ390" s="174">
        <f>IF(Z390=$Z$88,AA390*AG390,0)</f>
        <v>0</v>
      </c>
      <c r="CA390" s="174">
        <f>IF(Z390=$Z$89,AA390*AG390,0)</f>
        <v>0</v>
      </c>
      <c r="CB390" s="174">
        <f>IF(Z390=$Z$90,AA390*AG390,0)</f>
        <v>0</v>
      </c>
      <c r="CC390" s="175">
        <f>IFERROR(IF(L390=$L$49,AG390*AH390*(1+AI390)*(1-AK390)*(1-AL390),0),0)</f>
        <v>0</v>
      </c>
      <c r="CD390" s="203">
        <f>IF(I390=$CD$97,1,IF(I390=$CD$100,2,IF(K390=$K$66,1,IF(K390=$K$69,1,3))))</f>
        <v>1</v>
      </c>
      <c r="CE390" s="203">
        <f t="shared" si="14"/>
        <v>1.07</v>
      </c>
      <c r="CF390" s="204">
        <f t="shared" si="75"/>
        <v>1.2353999999999998</v>
      </c>
      <c r="CG390" s="203">
        <f t="shared" si="15"/>
        <v>1.42</v>
      </c>
      <c r="CH390" s="204">
        <f t="shared" si="76"/>
        <v>1.5478000000000001</v>
      </c>
      <c r="CI390" s="203">
        <f t="shared" si="16"/>
        <v>1.7</v>
      </c>
      <c r="CJ390" s="205">
        <f t="shared" si="77"/>
        <v>1.0486</v>
      </c>
      <c r="CK390" s="205">
        <f t="shared" si="78"/>
        <v>1.148922</v>
      </c>
      <c r="CL390" s="205">
        <f t="shared" si="79"/>
        <v>1.3915999999999999</v>
      </c>
      <c r="CM390" s="205">
        <f t="shared" si="80"/>
        <v>1.501366</v>
      </c>
      <c r="CN390" s="206">
        <f t="shared" si="81"/>
        <v>1.6319999999999999</v>
      </c>
      <c r="CO390" s="204">
        <f t="shared" si="82"/>
        <v>1.006656</v>
      </c>
      <c r="CP390" s="207">
        <f t="shared" si="83"/>
        <v>0</v>
      </c>
      <c r="CQ390" s="208">
        <f t="shared" si="84"/>
        <v>0</v>
      </c>
      <c r="CR390" s="209">
        <f t="shared" si="93"/>
        <v>0</v>
      </c>
      <c r="CS390" s="49"/>
      <c r="CT390" s="49"/>
      <c r="CU390" s="49"/>
      <c r="CV390" s="49"/>
      <c r="CW390" s="49"/>
      <c r="CX390" s="49"/>
      <c r="CY390" s="49"/>
      <c r="CZ390" s="49"/>
      <c r="DA390" s="49"/>
      <c r="DB390" s="49"/>
      <c r="DC390" s="49"/>
      <c r="DD390" s="49"/>
      <c r="DE390" s="49"/>
      <c r="DF390" s="49"/>
      <c r="DG390" s="49"/>
      <c r="DH390" s="49"/>
      <c r="DI390" s="49"/>
      <c r="DJ390" s="49"/>
      <c r="DK390" s="49"/>
      <c r="DL390" s="49"/>
      <c r="DM390" s="49"/>
      <c r="DN390" s="49"/>
      <c r="DO390" s="49"/>
      <c r="DP390" s="49"/>
      <c r="DQ390" s="49"/>
      <c r="DR390" s="49"/>
      <c r="DS390" s="49"/>
      <c r="DT390" s="49"/>
      <c r="DU390" s="49"/>
      <c r="DV390" s="49"/>
      <c r="DW390" s="49"/>
      <c r="DX390" s="49"/>
      <c r="DY390" s="49"/>
      <c r="DZ390" s="49"/>
      <c r="EA390" s="49"/>
      <c r="EB390" s="49"/>
      <c r="EC390" s="49"/>
      <c r="ED390" s="49"/>
      <c r="EE390" s="49"/>
      <c r="EF390" s="49"/>
      <c r="EG390" s="49"/>
      <c r="EH390" s="49"/>
      <c r="EI390" s="49"/>
      <c r="EJ390" s="49"/>
      <c r="EK390" s="49"/>
      <c r="EL390" s="49"/>
      <c r="EM390" s="49"/>
      <c r="EN390" s="49"/>
      <c r="EO390" s="49"/>
      <c r="EP390" s="49"/>
      <c r="EQ390" s="49"/>
      <c r="ER390" s="49"/>
      <c r="ES390" s="49"/>
      <c r="ET390" s="49"/>
      <c r="EU390" s="49"/>
      <c r="EV390" s="49"/>
      <c r="EW390" s="49"/>
      <c r="EX390" s="49"/>
      <c r="EY390" s="49"/>
      <c r="EZ390" s="49"/>
      <c r="FA390" s="49"/>
    </row>
    <row r="391" spans="1:157" s="210" customFormat="1" ht="51" x14ac:dyDescent="0.25">
      <c r="A391" s="113">
        <f>IF(AND('[1]Cockpit Retorno'!$E$67=Sim,Mestre!M391=Mestre!$M$98),0,1)</f>
        <v>1</v>
      </c>
      <c r="B391" s="113">
        <f>IF(AND('[1]Cockpit Retorno'!$E$67=Sim,Mestre!L391=Mestre!$L$48),0,1)</f>
        <v>1</v>
      </c>
      <c r="C391" s="113">
        <f>IF(AND('[1]Cockpit Retorno'!$E$67=Sim,Mestre!M391=Mestre!$M$97),0,1)</f>
        <v>1</v>
      </c>
      <c r="D391" s="148" t="s">
        <v>7</v>
      </c>
      <c r="E391" s="115"/>
      <c r="F391" s="116" t="s">
        <v>107</v>
      </c>
      <c r="G391" s="149"/>
      <c r="H391" s="150" t="s">
        <v>7</v>
      </c>
      <c r="I391" s="151" t="str">
        <f t="shared" si="86"/>
        <v>Mercadorias</v>
      </c>
      <c r="J391" s="150" t="s">
        <v>15</v>
      </c>
      <c r="K391" s="152" t="s">
        <v>7</v>
      </c>
      <c r="L391" s="153" t="s">
        <v>28</v>
      </c>
      <c r="M391" s="154" t="s">
        <v>417</v>
      </c>
      <c r="N391" s="155" t="s">
        <v>544</v>
      </c>
      <c r="O391" s="155" t="s">
        <v>562</v>
      </c>
      <c r="P391" s="155" t="s">
        <v>43</v>
      </c>
      <c r="Q391" s="155" t="s">
        <v>43</v>
      </c>
      <c r="R391" s="155" t="s">
        <v>43</v>
      </c>
      <c r="S391" s="156" t="s">
        <v>43</v>
      </c>
      <c r="T391" s="156" t="s">
        <v>43</v>
      </c>
      <c r="U391" s="150" t="s">
        <v>43</v>
      </c>
      <c r="V391" s="150" t="s">
        <v>43</v>
      </c>
      <c r="W391" s="150" t="s">
        <v>43</v>
      </c>
      <c r="X391" s="157" t="s">
        <v>481</v>
      </c>
      <c r="Y391" s="150">
        <v>57</v>
      </c>
      <c r="Z391" s="150" t="s">
        <v>43</v>
      </c>
      <c r="AA391" s="158">
        <v>0</v>
      </c>
      <c r="AB391" s="155" t="s">
        <v>43</v>
      </c>
      <c r="AC391" s="150" t="s">
        <v>43</v>
      </c>
      <c r="AD391" s="155" t="s">
        <v>43</v>
      </c>
      <c r="AE391" s="155"/>
      <c r="AF391" s="150" t="s">
        <v>43</v>
      </c>
      <c r="AG391" s="159"/>
      <c r="AH391" s="211">
        <v>84.304500000000004</v>
      </c>
      <c r="AI391" s="202">
        <v>0</v>
      </c>
      <c r="AJ391" s="161">
        <v>0.12</v>
      </c>
      <c r="AK391" s="162"/>
      <c r="AL391" s="163"/>
      <c r="AM391" s="164">
        <f>(((IF(L391=$L$101,1,IF(L391=$L$47,1,0))*(AH391*(1-AK391)))*AG391)*(1-AL391))</f>
        <v>0</v>
      </c>
      <c r="AN391" s="165">
        <f>IF(K391=$K$50,AM391,IF(K391=$K$53,AM391,IF(K391=$K$54,AM391,IF(K391=$K$55,AM391,IF(K391=$K$56,AM391,IF(K391=$K$57,AM391,IF(K391=$K$58,AM391,IF(K391=$K$65,AM391,IF(K391=$K$66,AM391,IF(K391=$K$67,AM391,IF(K391=$K$68,AM391,IF(K391=$K$69,AM391,IF(K391=$K$51,AM391,(AM391*(1+AI391)))))))))))))))</f>
        <v>0</v>
      </c>
      <c r="AO391" s="166">
        <v>1.4</v>
      </c>
      <c r="AP391" s="160">
        <f t="shared" si="87"/>
        <v>0</v>
      </c>
      <c r="AQ391" s="167">
        <f t="shared" si="95"/>
        <v>0</v>
      </c>
      <c r="AR391" s="160">
        <f t="shared" si="88"/>
        <v>0</v>
      </c>
      <c r="AS391" s="168">
        <f t="shared" si="89"/>
        <v>0</v>
      </c>
      <c r="AT391" s="169" t="str">
        <f>K391</f>
        <v>MI</v>
      </c>
      <c r="AU391" s="169" t="str">
        <f>I391</f>
        <v>Mercadorias</v>
      </c>
      <c r="AV391" s="170"/>
      <c r="AW391" s="171">
        <f>IF(K391=$K$50,0,IF(K391=$K$53,0,IF(K391=$K$54,0,IF(K391=$K$55,0,IF(K391=$K$56,0,IF(K391=$K$57,0,IF(K391=$K$58,0,IF(K391=$K$65,0,IF(K391=$K$66,0,IF(K391=$K$67,0,IF(K391=$K$68,0,IF(K391=$K$69,0,IF(K391=$K$51,0,1))))))))))))*AM391*AI391)</f>
        <v>0</v>
      </c>
      <c r="AX391" s="172">
        <f>IF(K391=$K$50,0,IF(K391=$K$53,0,IF(K391=$K$54,0,IF(K391=$K$55,0,IF(K391=$K$56,0,IF(K391=$K$57,0,IF(K391=$K$58,0,IF(K391=$K$65,0,IF(K391=$K$66,0,IF(K391=$K$67,0,IF(K391=$K$68,0,IF(K391=$K$69,0,IF(K391=$K$51,0,1))))))))))))*AM391*AJ391*$AX$94)</f>
        <v>0</v>
      </c>
      <c r="AY391" s="172">
        <f>IF(K391=$K$53,0,IF(K391=$K$54,0,IF(K391=$K$55,0,IF(K391=$K$56,0,IF(K391=$K$58,0,IF(K391=$K$50,0,IF(K391=$K$65,0,IF(K391=$K$57,0,IF(K391=$K$51,0,AM391*$AY$102)))))))))</f>
        <v>0</v>
      </c>
      <c r="AZ391" s="172">
        <f>IF(K391=$K$53,0,IF(K391=$K$54,0,IF(K391=$K$55,0,IF(K391=$K$56,0,IF(K391=$K$58,0,IF(K391=$K$50,0,IF(K391=$K$65,0,IF(K391=$K$57,0,IF(K391=$K$51,0,AM391*$AZ$102)))))))))</f>
        <v>0</v>
      </c>
      <c r="BA391" s="172">
        <f t="shared" si="90"/>
        <v>0</v>
      </c>
      <c r="BB391" s="173">
        <f>IF($BA$97=1,AQ391*$BB$102,IF(K391=$K$50,0,IF(K391=$K$53,0,IF(K391=$K$54,0,IF(K391=$K$55,0,IF(K391=$K$56,0,IF(K391=$K$57,0,IF(K391=$K$58,0,IF(K391=$K$65,0,IF(K391=$K$66,0,IF(K391=$K$67,0,IF(K391=$K$68,0,IF(K391=$K$69,0,IF(K391=$K$51,0,1)))))))))))*AQ391*$BB$102)))</f>
        <v>0</v>
      </c>
      <c r="BC391" s="172">
        <f t="shared" si="91"/>
        <v>0</v>
      </c>
      <c r="BD391" s="172">
        <f t="shared" si="92"/>
        <v>0</v>
      </c>
      <c r="BE391" s="172">
        <f>IF($BE$95=I391,$BE$97,IF(I391=$BE$96,$BE$97,1))*($BE$102*AQ391)*$AZ$97</f>
        <v>0</v>
      </c>
      <c r="BF391" s="172">
        <f>IF('[1]Cockpit Retorno'!$C$65=Sim,Mestre!BA391,SUM(BB391:BE391)+(IF(K391=$K$56,AQ391*MOE_IRRF_LR,0)))</f>
        <v>0</v>
      </c>
      <c r="BG391" s="174">
        <f>IF(AA391&gt;0,0,IF(Z391=$Z$82,AG391*1,(IF(Z391=$Z$81,AG391*1,0))))</f>
        <v>0</v>
      </c>
      <c r="BH391" s="174">
        <f>IF(AA391&gt;0,0,IF(Z391=$Z$83,AG391*1,IF(Z391=$Z$81,AG391*1,0)))</f>
        <v>0</v>
      </c>
      <c r="BI391" s="174">
        <f>IF(AA391&gt;0,0,IF(Z391=$Z$84,AG391*1,IF(Z391=$Z$93,AG391*2,IF(Z391=$Z$100,AG391,IF(Z391=$Z$81,AG391*2,IF(Z391=$Z$80,AG391*1,IF(Z391=$Z$79,AG391*3,IF(Z391=$Z$78,AG391*2,0))))))))</f>
        <v>0</v>
      </c>
      <c r="BJ391" s="174">
        <f>IF(AA391&gt;0,0,IF(Z391=$Z$85,AG391,IF(Z391=$Z$93,AG391,IF(Z391=$Z$100,AG391,IF(Z391=$Z$81,AG391*1,IF(Z391=$Z$80,AG391*2,IF(Z391=$Z$79,AG391*2,IF(Z391=$Z$78,AG391*2,0))))))))</f>
        <v>0</v>
      </c>
      <c r="BK391" s="174">
        <f>IF(AA391&gt;0,0,IF(Z391=$Z$92,AG391,0))</f>
        <v>0</v>
      </c>
      <c r="BL391" s="174">
        <f>IF(AA391&gt;0,0,IF(Z391=$Z$91,AG391,0))</f>
        <v>0</v>
      </c>
      <c r="BM391" s="174">
        <f>IF(AA391&gt;0,0,IF(Z391=$Z$86,AG391,0))</f>
        <v>0</v>
      </c>
      <c r="BN391" s="174">
        <f>IF(AA391&gt;0,0,IF(Z391=$Z$87,AG391,0))</f>
        <v>0</v>
      </c>
      <c r="BO391" s="174">
        <f>IF(AA391&gt;0,0,IF(Z391=$Z$88,AG391,0))</f>
        <v>0</v>
      </c>
      <c r="BP391" s="174">
        <f>IF(AA391&gt;0,0,IF(Z391=$Z$89,AG391,0))</f>
        <v>0</v>
      </c>
      <c r="BQ391" s="174">
        <f>IF(AA391&gt;0,0,IF(Z391=$Z$90,AG391,0))</f>
        <v>0</v>
      </c>
      <c r="BR391" s="174">
        <f>IF(Z391=$Z$82,AA391*AG391,0)</f>
        <v>0</v>
      </c>
      <c r="BS391" s="174">
        <f>IF(Z391=$Z$83,AA391*AG391,0)</f>
        <v>0</v>
      </c>
      <c r="BT391" s="174">
        <f>IF(AA391&lt;1,0,IF(Z391=$Z$84,AA391*AG391,IF(Z391=$Z$93,"ERRO",IF(Z391=$Z$100,"ERRO",0))))</f>
        <v>0</v>
      </c>
      <c r="BU391" s="174">
        <f>IF(AA391&lt;1,0,IF(Z391=$Z$85,AA391*AG391,IF(Z391=$Z$93,"ERRO",IF(Z391=$Z$100,"ERRO",0))))</f>
        <v>0</v>
      </c>
      <c r="BV391" s="174">
        <f>IF(Z391=$Z$92,AA391*AG391,0)</f>
        <v>0</v>
      </c>
      <c r="BW391" s="174">
        <f>IF(Z391=$Z$91,AA391*AG391,0)</f>
        <v>0</v>
      </c>
      <c r="BX391" s="174">
        <f>IF(Z391=$Z$86,AA391*AG391,0)</f>
        <v>0</v>
      </c>
      <c r="BY391" s="174">
        <f>IF(Z391=$Z$87,AA391*AG391,0)</f>
        <v>0</v>
      </c>
      <c r="BZ391" s="174">
        <f>IF(Z391=$Z$88,AA391*AG391,0)</f>
        <v>0</v>
      </c>
      <c r="CA391" s="174">
        <f>IF(Z391=$Z$89,AA391*AG391,0)</f>
        <v>0</v>
      </c>
      <c r="CB391" s="174">
        <f>IF(Z391=$Z$90,AA391*AG391,0)</f>
        <v>0</v>
      </c>
      <c r="CC391" s="175">
        <f>IFERROR(IF(L391=$L$49,AG391*AH391*(1+AI391)*(1-AK391)*(1-AL391),0),0)</f>
        <v>0</v>
      </c>
      <c r="CD391" s="203">
        <f>IF(I391=$CD$97,1,IF(I391=$CD$100,2,IF(K391=$K$66,1,IF(K391=$K$69,1,3))))</f>
        <v>1</v>
      </c>
      <c r="CE391" s="203">
        <f>IF($CD391=1,1.07,IF($CD391=2,1.07,1.3))</f>
        <v>1.07</v>
      </c>
      <c r="CF391" s="204">
        <f t="shared" si="75"/>
        <v>1.2353999999999998</v>
      </c>
      <c r="CG391" s="203">
        <f>IF($CD391=1,1.42,IF($CD391=2,1.47,2))</f>
        <v>1.42</v>
      </c>
      <c r="CH391" s="204">
        <f t="shared" si="76"/>
        <v>1.5478000000000001</v>
      </c>
      <c r="CI391" s="203">
        <f>IF($CD391=1,1.7,IF($CD391=2,1.7,2.4))</f>
        <v>1.7</v>
      </c>
      <c r="CJ391" s="205">
        <f t="shared" si="77"/>
        <v>1.0486</v>
      </c>
      <c r="CK391" s="205">
        <f t="shared" si="78"/>
        <v>1.148922</v>
      </c>
      <c r="CL391" s="205">
        <f t="shared" si="79"/>
        <v>1.3915999999999999</v>
      </c>
      <c r="CM391" s="205">
        <f t="shared" si="80"/>
        <v>1.501366</v>
      </c>
      <c r="CN391" s="206">
        <f t="shared" si="81"/>
        <v>1.6319999999999999</v>
      </c>
      <c r="CO391" s="204">
        <f t="shared" si="82"/>
        <v>1.006656</v>
      </c>
      <c r="CP391" s="207">
        <f t="shared" si="83"/>
        <v>0</v>
      </c>
      <c r="CQ391" s="208">
        <f t="shared" si="84"/>
        <v>0</v>
      </c>
      <c r="CR391" s="209">
        <f>BC391+BD391</f>
        <v>0</v>
      </c>
      <c r="CS391" s="49"/>
      <c r="CT391" s="49"/>
      <c r="CU391" s="49"/>
      <c r="CV391" s="49"/>
      <c r="CW391" s="49"/>
      <c r="CX391" s="49"/>
      <c r="CY391" s="49"/>
      <c r="CZ391" s="49"/>
      <c r="DA391" s="49"/>
      <c r="DB391" s="49"/>
      <c r="DC391" s="49"/>
      <c r="DD391" s="49"/>
      <c r="DE391" s="49"/>
      <c r="DF391" s="49"/>
      <c r="DG391" s="49"/>
      <c r="DH391" s="49"/>
      <c r="DI391" s="49"/>
      <c r="DJ391" s="49"/>
      <c r="DK391" s="49"/>
      <c r="DL391" s="49"/>
      <c r="DM391" s="49"/>
      <c r="DN391" s="49"/>
      <c r="DO391" s="49"/>
      <c r="DP391" s="49"/>
      <c r="DQ391" s="49"/>
      <c r="DR391" s="49"/>
      <c r="DS391" s="49"/>
      <c r="DT391" s="49"/>
      <c r="DU391" s="49"/>
      <c r="DV391" s="49"/>
      <c r="DW391" s="49"/>
      <c r="DX391" s="49"/>
      <c r="DY391" s="49"/>
      <c r="DZ391" s="49"/>
      <c r="EA391" s="49"/>
      <c r="EB391" s="49"/>
      <c r="EC391" s="49"/>
      <c r="ED391" s="49"/>
      <c r="EE391" s="49"/>
      <c r="EF391" s="49"/>
      <c r="EG391" s="49"/>
      <c r="EH391" s="49"/>
      <c r="EI391" s="49"/>
      <c r="EJ391" s="49"/>
      <c r="EK391" s="49"/>
      <c r="EL391" s="49"/>
      <c r="EM391" s="49"/>
      <c r="EN391" s="49"/>
      <c r="EO391" s="49"/>
      <c r="EP391" s="49"/>
      <c r="EQ391" s="49"/>
      <c r="ER391" s="49"/>
      <c r="ES391" s="49"/>
      <c r="ET391" s="49"/>
      <c r="EU391" s="49"/>
      <c r="EV391" s="49"/>
      <c r="EW391" s="49"/>
      <c r="EX391" s="49"/>
      <c r="EY391" s="49"/>
      <c r="EZ391" s="49"/>
      <c r="FA391" s="49"/>
    </row>
    <row r="392" spans="1:157" s="210" customFormat="1" ht="25.5" x14ac:dyDescent="0.25">
      <c r="A392" s="113">
        <f>IF(AND('[1]Cockpit Retorno'!$E$67=Sim,Mestre!M392=Mestre!$M$98),0,1)</f>
        <v>1</v>
      </c>
      <c r="B392" s="113">
        <f>IF(AND('[1]Cockpit Retorno'!$E$67=Sim,Mestre!L392=Mestre!$L$48),0,1)</f>
        <v>1</v>
      </c>
      <c r="C392" s="113">
        <f>IF(AND('[1]Cockpit Retorno'!$E$67=Sim,Mestre!M392=Mestre!$M$97),0,1)</f>
        <v>1</v>
      </c>
      <c r="D392" s="148" t="s">
        <v>7</v>
      </c>
      <c r="E392" s="115"/>
      <c r="F392" s="116" t="s">
        <v>107</v>
      </c>
      <c r="G392" s="149"/>
      <c r="H392" s="150" t="s">
        <v>7</v>
      </c>
      <c r="I392" s="151" t="str">
        <f t="shared" si="86"/>
        <v>Mercadorias</v>
      </c>
      <c r="J392" s="150" t="s">
        <v>15</v>
      </c>
      <c r="K392" s="152" t="s">
        <v>7</v>
      </c>
      <c r="L392" s="153" t="s">
        <v>28</v>
      </c>
      <c r="M392" s="154" t="s">
        <v>361</v>
      </c>
      <c r="N392" s="155" t="s">
        <v>544</v>
      </c>
      <c r="O392" s="155" t="s">
        <v>563</v>
      </c>
      <c r="P392" s="155" t="s">
        <v>43</v>
      </c>
      <c r="Q392" s="155" t="s">
        <v>43</v>
      </c>
      <c r="R392" s="155" t="s">
        <v>43</v>
      </c>
      <c r="S392" s="156" t="s">
        <v>43</v>
      </c>
      <c r="T392" s="156" t="s">
        <v>43</v>
      </c>
      <c r="U392" s="150" t="s">
        <v>43</v>
      </c>
      <c r="V392" s="150" t="s">
        <v>43</v>
      </c>
      <c r="W392" s="150" t="s">
        <v>43</v>
      </c>
      <c r="X392" s="157" t="s">
        <v>476</v>
      </c>
      <c r="Y392" s="150">
        <v>2125.44</v>
      </c>
      <c r="Z392" s="150" t="s">
        <v>43</v>
      </c>
      <c r="AA392" s="158">
        <v>0</v>
      </c>
      <c r="AB392" s="155" t="s">
        <v>43</v>
      </c>
      <c r="AC392" s="150" t="s">
        <v>43</v>
      </c>
      <c r="AD392" s="155" t="s">
        <v>43</v>
      </c>
      <c r="AE392" s="155"/>
      <c r="AF392" s="150" t="s">
        <v>43</v>
      </c>
      <c r="AG392" s="159"/>
      <c r="AH392" s="159">
        <v>6.2310000000000008</v>
      </c>
      <c r="AI392" s="202">
        <v>0</v>
      </c>
      <c r="AJ392" s="161">
        <v>0.12</v>
      </c>
      <c r="AK392" s="162"/>
      <c r="AL392" s="163"/>
      <c r="AM392" s="164">
        <f>(((IF(L392=$L$101,1,IF(L392=$L$47,1,0))*(AH392*(1-AK392)))*AG392)*(1-AL392))</f>
        <v>0</v>
      </c>
      <c r="AN392" s="165">
        <f>IF(K392=$K$50,AM392,IF(K392=$K$53,AM392,IF(K392=$K$54,AM392,IF(K392=$K$55,AM392,IF(K392=$K$56,AM392,IF(K392=$K$57,AM392,IF(K392=$K$58,AM392,IF(K392=$K$65,AM392,IF(K392=$K$66,AM392,IF(K392=$K$67,AM392,IF(K392=$K$68,AM392,IF(K392=$K$69,AM392,IF(K392=$K$51,AM392,(AM392*(1+AI392)))))))))))))))</f>
        <v>0</v>
      </c>
      <c r="AO392" s="166">
        <v>1.4</v>
      </c>
      <c r="AP392" s="160">
        <f t="shared" si="87"/>
        <v>0</v>
      </c>
      <c r="AQ392" s="167">
        <f t="shared" si="95"/>
        <v>0</v>
      </c>
      <c r="AR392" s="160">
        <f t="shared" si="88"/>
        <v>0</v>
      </c>
      <c r="AS392" s="168">
        <f t="shared" si="89"/>
        <v>0</v>
      </c>
      <c r="AT392" s="169" t="str">
        <f>K392</f>
        <v>MI</v>
      </c>
      <c r="AU392" s="169" t="str">
        <f>I392</f>
        <v>Mercadorias</v>
      </c>
      <c r="AV392" s="170"/>
      <c r="AW392" s="171">
        <f>IF(K392=$K$50,0,IF(K392=$K$53,0,IF(K392=$K$54,0,IF(K392=$K$55,0,IF(K392=$K$56,0,IF(K392=$K$57,0,IF(K392=$K$58,0,IF(K392=$K$65,0,IF(K392=$K$66,0,IF(K392=$K$67,0,IF(K392=$K$68,0,IF(K392=$K$69,0,IF(K392=$K$51,0,1))))))))))))*AM392*AI392)</f>
        <v>0</v>
      </c>
      <c r="AX392" s="172">
        <f>IF(K392=$K$50,0,IF(K392=$K$53,0,IF(K392=$K$54,0,IF(K392=$K$55,0,IF(K392=$K$56,0,IF(K392=$K$57,0,IF(K392=$K$58,0,IF(K392=$K$65,0,IF(K392=$K$66,0,IF(K392=$K$67,0,IF(K392=$K$68,0,IF(K392=$K$69,0,IF(K392=$K$51,0,1))))))))))))*AM392*AJ392*$AX$94)</f>
        <v>0</v>
      </c>
      <c r="AY392" s="172">
        <f>IF(K392=$K$53,0,IF(K392=$K$54,0,IF(K392=$K$55,0,IF(K392=$K$56,0,IF(K392=$K$58,0,IF(K392=$K$50,0,IF(K392=$K$65,0,IF(K392=$K$57,0,IF(K392=$K$51,0,AM392*$AY$102)))))))))</f>
        <v>0</v>
      </c>
      <c r="AZ392" s="172">
        <f>IF(K392=$K$53,0,IF(K392=$K$54,0,IF(K392=$K$55,0,IF(K392=$K$56,0,IF(K392=$K$58,0,IF(K392=$K$50,0,IF(K392=$K$65,0,IF(K392=$K$57,0,IF(K392=$K$51,0,AM392*$AZ$102)))))))))</f>
        <v>0</v>
      </c>
      <c r="BA392" s="172">
        <f t="shared" si="90"/>
        <v>0</v>
      </c>
      <c r="BB392" s="173">
        <f>IF($BA$97=1,AQ392*$BB$102,IF(K392=$K$50,0,IF(K392=$K$53,0,IF(K392=$K$54,0,IF(K392=$K$55,0,IF(K392=$K$56,0,IF(K392=$K$57,0,IF(K392=$K$58,0,IF(K392=$K$65,0,IF(K392=$K$66,0,IF(K392=$K$67,0,IF(K392=$K$68,0,IF(K392=$K$69,0,IF(K392=$K$51,0,1)))))))))))*AQ392*$BB$102)))</f>
        <v>0</v>
      </c>
      <c r="BC392" s="172">
        <f t="shared" si="91"/>
        <v>0</v>
      </c>
      <c r="BD392" s="172">
        <f t="shared" si="92"/>
        <v>0</v>
      </c>
      <c r="BE392" s="172">
        <f>IF($BE$95=I392,$BE$97,IF(I392=$BE$96,$BE$97,1))*($BE$102*AQ392)*$AZ$97</f>
        <v>0</v>
      </c>
      <c r="BF392" s="172">
        <f>IF('[1]Cockpit Retorno'!$C$65=Sim,Mestre!BA392,SUM(BB392:BE392)+(IF(K392=$K$56,AQ392*MOE_IRRF_LR,0)))</f>
        <v>0</v>
      </c>
      <c r="BG392" s="174">
        <f>IF(AA392&gt;0,0,IF(Z392=$Z$82,AG392*1,(IF(Z392=$Z$81,AG392*1,0))))</f>
        <v>0</v>
      </c>
      <c r="BH392" s="174">
        <f>IF(AA392&gt;0,0,IF(Z392=$Z$83,AG392*1,IF(Z392=$Z$81,AG392*1,0)))</f>
        <v>0</v>
      </c>
      <c r="BI392" s="174">
        <f>IF(AA392&gt;0,0,IF(Z392=$Z$84,AG392*1,IF(Z392=$Z$93,AG392*2,IF(Z392=$Z$100,AG392,IF(Z392=$Z$81,AG392*2,IF(Z392=$Z$80,AG392*1,IF(Z392=$Z$79,AG392*3,IF(Z392=$Z$78,AG392*2,0))))))))</f>
        <v>0</v>
      </c>
      <c r="BJ392" s="174">
        <f>IF(AA392&gt;0,0,IF(Z392=$Z$85,AG392,IF(Z392=$Z$93,AG392,IF(Z392=$Z$100,AG392,IF(Z392=$Z$81,AG392*1,IF(Z392=$Z$80,AG392*2,IF(Z392=$Z$79,AG392*2,IF(Z392=$Z$78,AG392*2,0))))))))</f>
        <v>0</v>
      </c>
      <c r="BK392" s="174">
        <f>IF(AA392&gt;0,0,IF(Z392=$Z$92,AG392,0))</f>
        <v>0</v>
      </c>
      <c r="BL392" s="174">
        <f>IF(AA392&gt;0,0,IF(Z392=$Z$91,AG392,0))</f>
        <v>0</v>
      </c>
      <c r="BM392" s="174">
        <f>IF(AA392&gt;0,0,IF(Z392=$Z$86,AG392,0))</f>
        <v>0</v>
      </c>
      <c r="BN392" s="174">
        <f>IF(AA392&gt;0,0,IF(Z392=$Z$87,AG392,0))</f>
        <v>0</v>
      </c>
      <c r="BO392" s="174">
        <f>IF(AA392&gt;0,0,IF(Z392=$Z$88,AG392,0))</f>
        <v>0</v>
      </c>
      <c r="BP392" s="174">
        <f>IF(AA392&gt;0,0,IF(Z392=$Z$89,AG392,0))</f>
        <v>0</v>
      </c>
      <c r="BQ392" s="174">
        <f>IF(AA392&gt;0,0,IF(Z392=$Z$90,AG392,0))</f>
        <v>0</v>
      </c>
      <c r="BR392" s="174">
        <f>IF(Z392=$Z$82,AA392*AG392,0)</f>
        <v>0</v>
      </c>
      <c r="BS392" s="174">
        <f>IF(Z392=$Z$83,AA392*AG392,0)</f>
        <v>0</v>
      </c>
      <c r="BT392" s="174">
        <f>IF(AA392&lt;1,0,IF(Z392=$Z$84,AA392*AG392,IF(Z392=$Z$93,"ERRO",IF(Z392=$Z$100,"ERRO",0))))</f>
        <v>0</v>
      </c>
      <c r="BU392" s="174">
        <f>IF(AA392&lt;1,0,IF(Z392=$Z$85,AA392*AG392,IF(Z392=$Z$93,"ERRO",IF(Z392=$Z$100,"ERRO",0))))</f>
        <v>0</v>
      </c>
      <c r="BV392" s="174">
        <f>IF(Z392=$Z$92,AA392*AG392,0)</f>
        <v>0</v>
      </c>
      <c r="BW392" s="174">
        <f>IF(Z392=$Z$91,AA392*AG392,0)</f>
        <v>0</v>
      </c>
      <c r="BX392" s="174">
        <f>IF(Z392=$Z$86,AA392*AG392,0)</f>
        <v>0</v>
      </c>
      <c r="BY392" s="174">
        <f>IF(Z392=$Z$87,AA392*AG392,0)</f>
        <v>0</v>
      </c>
      <c r="BZ392" s="174">
        <f>IF(Z392=$Z$88,AA392*AG392,0)</f>
        <v>0</v>
      </c>
      <c r="CA392" s="174">
        <f>IF(Z392=$Z$89,AA392*AG392,0)</f>
        <v>0</v>
      </c>
      <c r="CB392" s="174">
        <f>IF(Z392=$Z$90,AA392*AG392,0)</f>
        <v>0</v>
      </c>
      <c r="CC392" s="175">
        <f>IFERROR(IF(L392=$L$49,AG392*AH392*(1+AI392)*(1-AK392)*(1-AL392),0),0)</f>
        <v>0</v>
      </c>
      <c r="CD392" s="203">
        <f>IF(I392=$CD$97,1,IF(I392=$CD$100,2,IF(K392=$K$66,1,IF(K392=$K$69,1,3))))</f>
        <v>1</v>
      </c>
      <c r="CE392" s="203">
        <f t="shared" si="14"/>
        <v>1.07</v>
      </c>
      <c r="CF392" s="204">
        <f t="shared" si="75"/>
        <v>1.2353999999999998</v>
      </c>
      <c r="CG392" s="203">
        <f t="shared" si="15"/>
        <v>1.42</v>
      </c>
      <c r="CH392" s="204">
        <f t="shared" si="76"/>
        <v>1.5478000000000001</v>
      </c>
      <c r="CI392" s="203">
        <f t="shared" si="16"/>
        <v>1.7</v>
      </c>
      <c r="CJ392" s="205">
        <f t="shared" si="77"/>
        <v>1.0486</v>
      </c>
      <c r="CK392" s="205">
        <f t="shared" si="78"/>
        <v>1.148922</v>
      </c>
      <c r="CL392" s="205">
        <f t="shared" si="79"/>
        <v>1.3915999999999999</v>
      </c>
      <c r="CM392" s="205">
        <f t="shared" si="80"/>
        <v>1.501366</v>
      </c>
      <c r="CN392" s="206">
        <f t="shared" si="81"/>
        <v>1.6319999999999999</v>
      </c>
      <c r="CO392" s="204">
        <f t="shared" si="82"/>
        <v>1.006656</v>
      </c>
      <c r="CP392" s="207">
        <f t="shared" si="83"/>
        <v>0</v>
      </c>
      <c r="CQ392" s="208">
        <f t="shared" si="84"/>
        <v>0</v>
      </c>
      <c r="CR392" s="209">
        <f t="shared" si="93"/>
        <v>0</v>
      </c>
      <c r="CS392" s="49"/>
      <c r="CT392" s="49"/>
      <c r="CU392" s="49"/>
      <c r="CV392" s="49"/>
      <c r="CW392" s="49"/>
      <c r="CX392" s="49"/>
      <c r="CY392" s="49"/>
      <c r="CZ392" s="49"/>
      <c r="DA392" s="49"/>
      <c r="DB392" s="49"/>
      <c r="DC392" s="49"/>
      <c r="DD392" s="49"/>
      <c r="DE392" s="49"/>
      <c r="DF392" s="49"/>
      <c r="DG392" s="49"/>
      <c r="DH392" s="49"/>
      <c r="DI392" s="49"/>
      <c r="DJ392" s="49"/>
      <c r="DK392" s="49"/>
      <c r="DL392" s="49"/>
      <c r="DM392" s="49"/>
      <c r="DN392" s="49"/>
      <c r="DO392" s="49"/>
      <c r="DP392" s="49"/>
      <c r="DQ392" s="49"/>
      <c r="DR392" s="49"/>
      <c r="DS392" s="49"/>
      <c r="DT392" s="49"/>
      <c r="DU392" s="49"/>
      <c r="DV392" s="49"/>
      <c r="DW392" s="49"/>
      <c r="DX392" s="49"/>
      <c r="DY392" s="49"/>
      <c r="DZ392" s="49"/>
      <c r="EA392" s="49"/>
      <c r="EB392" s="49"/>
      <c r="EC392" s="49"/>
      <c r="ED392" s="49"/>
      <c r="EE392" s="49"/>
      <c r="EF392" s="49"/>
      <c r="EG392" s="49"/>
      <c r="EH392" s="49"/>
      <c r="EI392" s="49"/>
      <c r="EJ392" s="49"/>
      <c r="EK392" s="49"/>
      <c r="EL392" s="49"/>
      <c r="EM392" s="49"/>
      <c r="EN392" s="49"/>
      <c r="EO392" s="49"/>
      <c r="EP392" s="49"/>
      <c r="EQ392" s="49"/>
      <c r="ER392" s="49"/>
      <c r="ES392" s="49"/>
      <c r="ET392" s="49"/>
      <c r="EU392" s="49"/>
      <c r="EV392" s="49"/>
      <c r="EW392" s="49"/>
      <c r="EX392" s="49"/>
      <c r="EY392" s="49"/>
      <c r="EZ392" s="49"/>
      <c r="FA392" s="49"/>
    </row>
    <row r="393" spans="1:157" s="210" customFormat="1" ht="25.5" x14ac:dyDescent="0.25">
      <c r="A393" s="113">
        <f>IF(AND('[1]Cockpit Retorno'!$E$67=Sim,Mestre!M393=Mestre!$M$98),0,1)</f>
        <v>1</v>
      </c>
      <c r="B393" s="113">
        <f>IF(AND('[1]Cockpit Retorno'!$E$67=Sim,Mestre!L393=Mestre!$L$48),0,1)</f>
        <v>1</v>
      </c>
      <c r="C393" s="113">
        <f>IF(AND('[1]Cockpit Retorno'!$E$67=Sim,Mestre!M393=Mestre!$M$97),0,1)</f>
        <v>1</v>
      </c>
      <c r="D393" s="148" t="s">
        <v>7</v>
      </c>
      <c r="E393" s="115"/>
      <c r="F393" s="116" t="s">
        <v>107</v>
      </c>
      <c r="G393" s="149"/>
      <c r="H393" s="150" t="s">
        <v>7</v>
      </c>
      <c r="I393" s="151" t="str">
        <f t="shared" si="86"/>
        <v>Mercadorias</v>
      </c>
      <c r="J393" s="150" t="s">
        <v>15</v>
      </c>
      <c r="K393" s="152" t="s">
        <v>7</v>
      </c>
      <c r="L393" s="153" t="s">
        <v>28</v>
      </c>
      <c r="M393" s="154" t="s">
        <v>465</v>
      </c>
      <c r="N393" s="155" t="s">
        <v>544</v>
      </c>
      <c r="O393" s="155" t="s">
        <v>473</v>
      </c>
      <c r="P393" s="155" t="s">
        <v>43</v>
      </c>
      <c r="Q393" s="155" t="s">
        <v>43</v>
      </c>
      <c r="R393" s="155" t="s">
        <v>43</v>
      </c>
      <c r="S393" s="156" t="s">
        <v>43</v>
      </c>
      <c r="T393" s="156" t="s">
        <v>43</v>
      </c>
      <c r="U393" s="150" t="s">
        <v>43</v>
      </c>
      <c r="V393" s="150" t="s">
        <v>43</v>
      </c>
      <c r="W393" s="150" t="s">
        <v>43</v>
      </c>
      <c r="X393" s="157" t="s">
        <v>564</v>
      </c>
      <c r="Y393" s="150">
        <v>738</v>
      </c>
      <c r="Z393" s="150" t="s">
        <v>43</v>
      </c>
      <c r="AA393" s="158">
        <v>0</v>
      </c>
      <c r="AB393" s="155" t="s">
        <v>43</v>
      </c>
      <c r="AC393" s="150" t="s">
        <v>43</v>
      </c>
      <c r="AD393" s="155" t="s">
        <v>43</v>
      </c>
      <c r="AE393" s="155"/>
      <c r="AF393" s="150" t="s">
        <v>43</v>
      </c>
      <c r="AG393" s="159"/>
      <c r="AH393" s="159">
        <v>74.33489999999999</v>
      </c>
      <c r="AI393" s="202">
        <v>0</v>
      </c>
      <c r="AJ393" s="161">
        <v>0.12</v>
      </c>
      <c r="AK393" s="162"/>
      <c r="AL393" s="163"/>
      <c r="AM393" s="164">
        <f>(((IF(L393=$L$101,1,IF(L393=$L$47,1,0))*(AH393*(1-AK393)))*AG393)*(1-AL393))</f>
        <v>0</v>
      </c>
      <c r="AN393" s="165">
        <f>IF(K393=$K$50,AM393,IF(K393=$K$53,AM393,IF(K393=$K$54,AM393,IF(K393=$K$55,AM393,IF(K393=$K$56,AM393,IF(K393=$K$57,AM393,IF(K393=$K$58,AM393,IF(K393=$K$65,AM393,IF(K393=$K$66,AM393,IF(K393=$K$67,AM393,IF(K393=$K$68,AM393,IF(K393=$K$69,AM393,IF(K393=$K$51,AM393,(AM393*(1+AI393)))))))))))))))</f>
        <v>0</v>
      </c>
      <c r="AO393" s="166">
        <v>1.4</v>
      </c>
      <c r="AP393" s="160">
        <f t="shared" si="87"/>
        <v>0</v>
      </c>
      <c r="AQ393" s="167">
        <f t="shared" si="95"/>
        <v>0</v>
      </c>
      <c r="AR393" s="160">
        <f t="shared" si="88"/>
        <v>0</v>
      </c>
      <c r="AS393" s="168">
        <f t="shared" si="89"/>
        <v>0</v>
      </c>
      <c r="AT393" s="169" t="str">
        <f>K393</f>
        <v>MI</v>
      </c>
      <c r="AU393" s="169" t="str">
        <f>I393</f>
        <v>Mercadorias</v>
      </c>
      <c r="AV393" s="170"/>
      <c r="AW393" s="171">
        <f>IF(K393=$K$50,0,IF(K393=$K$53,0,IF(K393=$K$54,0,IF(K393=$K$55,0,IF(K393=$K$56,0,IF(K393=$K$57,0,IF(K393=$K$58,0,IF(K393=$K$65,0,IF(K393=$K$66,0,IF(K393=$K$67,0,IF(K393=$K$68,0,IF(K393=$K$69,0,IF(K393=$K$51,0,1))))))))))))*AM393*AI393)</f>
        <v>0</v>
      </c>
      <c r="AX393" s="172">
        <f>IF(K393=$K$50,0,IF(K393=$K$53,0,IF(K393=$K$54,0,IF(K393=$K$55,0,IF(K393=$K$56,0,IF(K393=$K$57,0,IF(K393=$K$58,0,IF(K393=$K$65,0,IF(K393=$K$66,0,IF(K393=$K$67,0,IF(K393=$K$68,0,IF(K393=$K$69,0,IF(K393=$K$51,0,1))))))))))))*AM393*AJ393*$AX$94)</f>
        <v>0</v>
      </c>
      <c r="AY393" s="172">
        <f>IF(K393=$K$53,0,IF(K393=$K$54,0,IF(K393=$K$55,0,IF(K393=$K$56,0,IF(K393=$K$58,0,IF(K393=$K$50,0,IF(K393=$K$65,0,IF(K393=$K$57,0,IF(K393=$K$51,0,AM393*$AY$102)))))))))</f>
        <v>0</v>
      </c>
      <c r="AZ393" s="172">
        <f>IF(K393=$K$53,0,IF(K393=$K$54,0,IF(K393=$K$55,0,IF(K393=$K$56,0,IF(K393=$K$58,0,IF(K393=$K$50,0,IF(K393=$K$65,0,IF(K393=$K$57,0,IF(K393=$K$51,0,AM393*$AZ$102)))))))))</f>
        <v>0</v>
      </c>
      <c r="BA393" s="172">
        <f t="shared" si="90"/>
        <v>0</v>
      </c>
      <c r="BB393" s="173">
        <f>IF($BA$97=1,AQ393*$BB$102,IF(K393=$K$50,0,IF(K393=$K$53,0,IF(K393=$K$54,0,IF(K393=$K$55,0,IF(K393=$K$56,0,IF(K393=$K$57,0,IF(K393=$K$58,0,IF(K393=$K$65,0,IF(K393=$K$66,0,IF(K393=$K$67,0,IF(K393=$K$68,0,IF(K393=$K$69,0,IF(K393=$K$51,0,1)))))))))))*AQ393*$BB$102)))</f>
        <v>0</v>
      </c>
      <c r="BC393" s="172">
        <f t="shared" si="91"/>
        <v>0</v>
      </c>
      <c r="BD393" s="172">
        <f t="shared" si="92"/>
        <v>0</v>
      </c>
      <c r="BE393" s="172">
        <f>IF($BE$95=I393,$BE$97,IF(I393=$BE$96,$BE$97,1))*($BE$102*AQ393)*$AZ$97</f>
        <v>0</v>
      </c>
      <c r="BF393" s="172">
        <f>IF('[1]Cockpit Retorno'!$C$65=Sim,Mestre!BA393,SUM(BB393:BE393)+(IF(K393=$K$56,AQ393*MOE_IRRF_LR,0)))</f>
        <v>0</v>
      </c>
      <c r="BG393" s="174">
        <f>IF(AA393&gt;0,0,IF(Z393=$Z$82,AG393*1,(IF(Z393=$Z$81,AG393*1,0))))</f>
        <v>0</v>
      </c>
      <c r="BH393" s="174">
        <f>IF(AA393&gt;0,0,IF(Z393=$Z$83,AG393*1,IF(Z393=$Z$81,AG393*1,0)))</f>
        <v>0</v>
      </c>
      <c r="BI393" s="174">
        <f>IF(AA393&gt;0,0,IF(Z393=$Z$84,AG393*1,IF(Z393=$Z$93,AG393*2,IF(Z393=$Z$100,AG393,IF(Z393=$Z$81,AG393*2,IF(Z393=$Z$80,AG393*1,IF(Z393=$Z$79,AG393*3,IF(Z393=$Z$78,AG393*2,0))))))))</f>
        <v>0</v>
      </c>
      <c r="BJ393" s="174">
        <f>IF(AA393&gt;0,0,IF(Z393=$Z$85,AG393,IF(Z393=$Z$93,AG393,IF(Z393=$Z$100,AG393,IF(Z393=$Z$81,AG393*1,IF(Z393=$Z$80,AG393*2,IF(Z393=$Z$79,AG393*2,IF(Z393=$Z$78,AG393*2,0))))))))</f>
        <v>0</v>
      </c>
      <c r="BK393" s="174">
        <f>IF(AA393&gt;0,0,IF(Z393=$Z$92,AG393,0))</f>
        <v>0</v>
      </c>
      <c r="BL393" s="174">
        <f>IF(AA393&gt;0,0,IF(Z393=$Z$91,AG393,0))</f>
        <v>0</v>
      </c>
      <c r="BM393" s="174">
        <f>IF(AA393&gt;0,0,IF(Z393=$Z$86,AG393,0))</f>
        <v>0</v>
      </c>
      <c r="BN393" s="174">
        <f>IF(AA393&gt;0,0,IF(Z393=$Z$87,AG393,0))</f>
        <v>0</v>
      </c>
      <c r="BO393" s="174">
        <f>IF(AA393&gt;0,0,IF(Z393=$Z$88,AG393,0))</f>
        <v>0</v>
      </c>
      <c r="BP393" s="174">
        <f>IF(AA393&gt;0,0,IF(Z393=$Z$89,AG393,0))</f>
        <v>0</v>
      </c>
      <c r="BQ393" s="174">
        <f>IF(AA393&gt;0,0,IF(Z393=$Z$90,AG393,0))</f>
        <v>0</v>
      </c>
      <c r="BR393" s="174">
        <f>IF(Z393=$Z$82,AA393*AG393,0)</f>
        <v>0</v>
      </c>
      <c r="BS393" s="174">
        <f>IF(Z393=$Z$83,AA393*AG393,0)</f>
        <v>0</v>
      </c>
      <c r="BT393" s="174">
        <f>IF(AA393&lt;1,0,IF(Z393=$Z$84,AA393*AG393,IF(Z393=$Z$93,"ERRO",IF(Z393=$Z$100,"ERRO",0))))</f>
        <v>0</v>
      </c>
      <c r="BU393" s="174">
        <f>IF(AA393&lt;1,0,IF(Z393=$Z$85,AA393*AG393,IF(Z393=$Z$93,"ERRO",IF(Z393=$Z$100,"ERRO",0))))</f>
        <v>0</v>
      </c>
      <c r="BV393" s="174">
        <f>IF(Z393=$Z$92,AA393*AG393,0)</f>
        <v>0</v>
      </c>
      <c r="BW393" s="174">
        <f>IF(Z393=$Z$91,AA393*AG393,0)</f>
        <v>0</v>
      </c>
      <c r="BX393" s="174">
        <f>IF(Z393=$Z$86,AA393*AG393,0)</f>
        <v>0</v>
      </c>
      <c r="BY393" s="174">
        <f>IF(Z393=$Z$87,AA393*AG393,0)</f>
        <v>0</v>
      </c>
      <c r="BZ393" s="174">
        <f>IF(Z393=$Z$88,AA393*AG393,0)</f>
        <v>0</v>
      </c>
      <c r="CA393" s="174">
        <f>IF(Z393=$Z$89,AA393*AG393,0)</f>
        <v>0</v>
      </c>
      <c r="CB393" s="174">
        <f>IF(Z393=$Z$90,AA393*AG393,0)</f>
        <v>0</v>
      </c>
      <c r="CC393" s="175">
        <f>IFERROR(IF(L393=$L$49,AG393*AH393*(1+AI393)*(1-AK393)*(1-AL393),0),0)</f>
        <v>0</v>
      </c>
      <c r="CD393" s="203">
        <f>IF(I393=$CD$97,1,IF(I393=$CD$100,2,IF(K393=$K$66,1,IF(K393=$K$69,1,3))))</f>
        <v>1</v>
      </c>
      <c r="CE393" s="203">
        <f t="shared" si="14"/>
        <v>1.07</v>
      </c>
      <c r="CF393" s="204">
        <f t="shared" si="75"/>
        <v>1.2353999999999998</v>
      </c>
      <c r="CG393" s="203">
        <f t="shared" si="15"/>
        <v>1.42</v>
      </c>
      <c r="CH393" s="204">
        <f t="shared" si="76"/>
        <v>1.5478000000000001</v>
      </c>
      <c r="CI393" s="203">
        <f t="shared" si="16"/>
        <v>1.7</v>
      </c>
      <c r="CJ393" s="205">
        <f t="shared" si="77"/>
        <v>1.0486</v>
      </c>
      <c r="CK393" s="205">
        <f t="shared" si="78"/>
        <v>1.148922</v>
      </c>
      <c r="CL393" s="205">
        <f t="shared" si="79"/>
        <v>1.3915999999999999</v>
      </c>
      <c r="CM393" s="205">
        <f t="shared" si="80"/>
        <v>1.501366</v>
      </c>
      <c r="CN393" s="206">
        <f t="shared" si="81"/>
        <v>1.6319999999999999</v>
      </c>
      <c r="CO393" s="204">
        <f t="shared" si="82"/>
        <v>1.006656</v>
      </c>
      <c r="CP393" s="207">
        <f t="shared" si="83"/>
        <v>0</v>
      </c>
      <c r="CQ393" s="208">
        <f t="shared" si="84"/>
        <v>0</v>
      </c>
      <c r="CR393" s="209">
        <f t="shared" si="93"/>
        <v>0</v>
      </c>
      <c r="CS393" s="49"/>
      <c r="CT393" s="49"/>
      <c r="CU393" s="49"/>
      <c r="CV393" s="49"/>
      <c r="CW393" s="49"/>
      <c r="CX393" s="49"/>
      <c r="CY393" s="49"/>
      <c r="CZ393" s="49"/>
      <c r="DA393" s="49"/>
      <c r="DB393" s="49"/>
      <c r="DC393" s="49"/>
      <c r="DD393" s="49"/>
      <c r="DE393" s="49"/>
      <c r="DF393" s="49"/>
      <c r="DG393" s="49"/>
      <c r="DH393" s="49"/>
      <c r="DI393" s="49"/>
      <c r="DJ393" s="49"/>
      <c r="DK393" s="49"/>
      <c r="DL393" s="49"/>
      <c r="DM393" s="49"/>
      <c r="DN393" s="49"/>
      <c r="DO393" s="49"/>
      <c r="DP393" s="49"/>
      <c r="DQ393" s="49"/>
      <c r="DR393" s="49"/>
      <c r="DS393" s="49"/>
      <c r="DT393" s="49"/>
      <c r="DU393" s="49"/>
      <c r="DV393" s="49"/>
      <c r="DW393" s="49"/>
      <c r="DX393" s="49"/>
      <c r="DY393" s="49"/>
      <c r="DZ393" s="49"/>
      <c r="EA393" s="49"/>
      <c r="EB393" s="49"/>
      <c r="EC393" s="49"/>
      <c r="ED393" s="49"/>
      <c r="EE393" s="49"/>
      <c r="EF393" s="49"/>
      <c r="EG393" s="49"/>
      <c r="EH393" s="49"/>
      <c r="EI393" s="49"/>
      <c r="EJ393" s="49"/>
      <c r="EK393" s="49"/>
      <c r="EL393" s="49"/>
      <c r="EM393" s="49"/>
      <c r="EN393" s="49"/>
      <c r="EO393" s="49"/>
      <c r="EP393" s="49"/>
      <c r="EQ393" s="49"/>
      <c r="ER393" s="49"/>
      <c r="ES393" s="49"/>
      <c r="ET393" s="49"/>
      <c r="EU393" s="49"/>
      <c r="EV393" s="49"/>
      <c r="EW393" s="49"/>
      <c r="EX393" s="49"/>
      <c r="EY393" s="49"/>
      <c r="EZ393" s="49"/>
      <c r="FA393" s="49"/>
    </row>
    <row r="394" spans="1:157" s="210" customFormat="1" ht="25.5" x14ac:dyDescent="0.25">
      <c r="A394" s="113">
        <f>IF(AND('[1]Cockpit Retorno'!$E$67=Sim,Mestre!M394=Mestre!$M$98),0,1)</f>
        <v>1</v>
      </c>
      <c r="B394" s="113">
        <f>IF(AND('[1]Cockpit Retorno'!$E$67=Sim,Mestre!L394=Mestre!$L$48),0,1)</f>
        <v>1</v>
      </c>
      <c r="C394" s="113">
        <f>IF(AND('[1]Cockpit Retorno'!$E$67=Sim,Mestre!M394=Mestre!$M$97),0,1)</f>
        <v>1</v>
      </c>
      <c r="D394" s="148" t="s">
        <v>7</v>
      </c>
      <c r="E394" s="115"/>
      <c r="F394" s="116" t="s">
        <v>107</v>
      </c>
      <c r="G394" s="149"/>
      <c r="H394" s="150" t="s">
        <v>7</v>
      </c>
      <c r="I394" s="151" t="str">
        <f t="shared" si="86"/>
        <v>Mercadorias</v>
      </c>
      <c r="J394" s="150" t="s">
        <v>15</v>
      </c>
      <c r="K394" s="152" t="s">
        <v>7</v>
      </c>
      <c r="L394" s="153" t="s">
        <v>28</v>
      </c>
      <c r="M394" s="154" t="s">
        <v>465</v>
      </c>
      <c r="N394" s="155" t="s">
        <v>544</v>
      </c>
      <c r="O394" s="155" t="s">
        <v>473</v>
      </c>
      <c r="P394" s="155" t="s">
        <v>43</v>
      </c>
      <c r="Q394" s="155" t="s">
        <v>43</v>
      </c>
      <c r="R394" s="155" t="s">
        <v>43</v>
      </c>
      <c r="S394" s="156" t="s">
        <v>43</v>
      </c>
      <c r="T394" s="156" t="s">
        <v>43</v>
      </c>
      <c r="U394" s="150" t="s">
        <v>43</v>
      </c>
      <c r="V394" s="150" t="s">
        <v>43</v>
      </c>
      <c r="W394" s="150" t="s">
        <v>43</v>
      </c>
      <c r="X394" s="157" t="s">
        <v>565</v>
      </c>
      <c r="Y394" s="150">
        <v>36</v>
      </c>
      <c r="Z394" s="150" t="s">
        <v>43</v>
      </c>
      <c r="AA394" s="158">
        <v>0</v>
      </c>
      <c r="AB394" s="155" t="s">
        <v>43</v>
      </c>
      <c r="AC394" s="150" t="s">
        <v>43</v>
      </c>
      <c r="AD394" s="155" t="s">
        <v>43</v>
      </c>
      <c r="AE394" s="155"/>
      <c r="AF394" s="150" t="s">
        <v>43</v>
      </c>
      <c r="AG394" s="159"/>
      <c r="AH394" s="159">
        <v>74.33489999999999</v>
      </c>
      <c r="AI394" s="202">
        <v>0</v>
      </c>
      <c r="AJ394" s="161">
        <v>0.12</v>
      </c>
      <c r="AK394" s="162"/>
      <c r="AL394" s="163"/>
      <c r="AM394" s="164">
        <f>(((IF(L394=$L$101,1,IF(L394=$L$47,1,0))*(AH394*(1-AK394)))*AG394)*(1-AL394))</f>
        <v>0</v>
      </c>
      <c r="AN394" s="165">
        <f>IF(K394=$K$50,AM394,IF(K394=$K$53,AM394,IF(K394=$K$54,AM394,IF(K394=$K$55,AM394,IF(K394=$K$56,AM394,IF(K394=$K$57,AM394,IF(K394=$K$58,AM394,IF(K394=$K$65,AM394,IF(K394=$K$66,AM394,IF(K394=$K$67,AM394,IF(K394=$K$68,AM394,IF(K394=$K$69,AM394,IF(K394=$K$51,AM394,(AM394*(1+AI394)))))))))))))))</f>
        <v>0</v>
      </c>
      <c r="AO394" s="166">
        <v>1.4</v>
      </c>
      <c r="AP394" s="160">
        <f t="shared" si="87"/>
        <v>0</v>
      </c>
      <c r="AQ394" s="167">
        <f t="shared" si="95"/>
        <v>0</v>
      </c>
      <c r="AR394" s="160">
        <f t="shared" si="88"/>
        <v>0</v>
      </c>
      <c r="AS394" s="168">
        <f t="shared" si="89"/>
        <v>0</v>
      </c>
      <c r="AT394" s="169" t="str">
        <f>K394</f>
        <v>MI</v>
      </c>
      <c r="AU394" s="169" t="str">
        <f>I394</f>
        <v>Mercadorias</v>
      </c>
      <c r="AV394" s="170"/>
      <c r="AW394" s="171">
        <f>IF(K394=$K$50,0,IF(K394=$K$53,0,IF(K394=$K$54,0,IF(K394=$K$55,0,IF(K394=$K$56,0,IF(K394=$K$57,0,IF(K394=$K$58,0,IF(K394=$K$65,0,IF(K394=$K$66,0,IF(K394=$K$67,0,IF(K394=$K$68,0,IF(K394=$K$69,0,IF(K394=$K$51,0,1))))))))))))*AM394*AI394)</f>
        <v>0</v>
      </c>
      <c r="AX394" s="172">
        <f>IF(K394=$K$50,0,IF(K394=$K$53,0,IF(K394=$K$54,0,IF(K394=$K$55,0,IF(K394=$K$56,0,IF(K394=$K$57,0,IF(K394=$K$58,0,IF(K394=$K$65,0,IF(K394=$K$66,0,IF(K394=$K$67,0,IF(K394=$K$68,0,IF(K394=$K$69,0,IF(K394=$K$51,0,1))))))))))))*AM394*AJ394*$AX$94)</f>
        <v>0</v>
      </c>
      <c r="AY394" s="172">
        <f>IF(K394=$K$53,0,IF(K394=$K$54,0,IF(K394=$K$55,0,IF(K394=$K$56,0,IF(K394=$K$58,0,IF(K394=$K$50,0,IF(K394=$K$65,0,IF(K394=$K$57,0,IF(K394=$K$51,0,AM394*$AY$102)))))))))</f>
        <v>0</v>
      </c>
      <c r="AZ394" s="172">
        <f>IF(K394=$K$53,0,IF(K394=$K$54,0,IF(K394=$K$55,0,IF(K394=$K$56,0,IF(K394=$K$58,0,IF(K394=$K$50,0,IF(K394=$K$65,0,IF(K394=$K$57,0,IF(K394=$K$51,0,AM394*$AZ$102)))))))))</f>
        <v>0</v>
      </c>
      <c r="BA394" s="172">
        <f t="shared" si="90"/>
        <v>0</v>
      </c>
      <c r="BB394" s="173">
        <f>IF($BA$97=1,AQ394*$BB$102,IF(K394=$K$50,0,IF(K394=$K$53,0,IF(K394=$K$54,0,IF(K394=$K$55,0,IF(K394=$K$56,0,IF(K394=$K$57,0,IF(K394=$K$58,0,IF(K394=$K$65,0,IF(K394=$K$66,0,IF(K394=$K$67,0,IF(K394=$K$68,0,IF(K394=$K$69,0,IF(K394=$K$51,0,1)))))))))))*AQ394*$BB$102)))</f>
        <v>0</v>
      </c>
      <c r="BC394" s="172">
        <f t="shared" si="91"/>
        <v>0</v>
      </c>
      <c r="BD394" s="172">
        <f t="shared" si="92"/>
        <v>0</v>
      </c>
      <c r="BE394" s="172">
        <f>IF($BE$95=I394,$BE$97,IF(I394=$BE$96,$BE$97,1))*($BE$102*AQ394)*$AZ$97</f>
        <v>0</v>
      </c>
      <c r="BF394" s="172">
        <f>IF('[1]Cockpit Retorno'!$C$65=Sim,Mestre!BA394,SUM(BB394:BE394)+(IF(K394=$K$56,AQ394*MOE_IRRF_LR,0)))</f>
        <v>0</v>
      </c>
      <c r="BG394" s="174">
        <f>IF(AA394&gt;0,0,IF(Z394=$Z$82,AG394*1,(IF(Z394=$Z$81,AG394*1,0))))</f>
        <v>0</v>
      </c>
      <c r="BH394" s="174">
        <f>IF(AA394&gt;0,0,IF(Z394=$Z$83,AG394*1,IF(Z394=$Z$81,AG394*1,0)))</f>
        <v>0</v>
      </c>
      <c r="BI394" s="174">
        <f>IF(AA394&gt;0,0,IF(Z394=$Z$84,AG394*1,IF(Z394=$Z$93,AG394*2,IF(Z394=$Z$100,AG394,IF(Z394=$Z$81,AG394*2,IF(Z394=$Z$80,AG394*1,IF(Z394=$Z$79,AG394*3,IF(Z394=$Z$78,AG394*2,0))))))))</f>
        <v>0</v>
      </c>
      <c r="BJ394" s="174">
        <f>IF(AA394&gt;0,0,IF(Z394=$Z$85,AG394,IF(Z394=$Z$93,AG394,IF(Z394=$Z$100,AG394,IF(Z394=$Z$81,AG394*1,IF(Z394=$Z$80,AG394*2,IF(Z394=$Z$79,AG394*2,IF(Z394=$Z$78,AG394*2,0))))))))</f>
        <v>0</v>
      </c>
      <c r="BK394" s="174">
        <f>IF(AA394&gt;0,0,IF(Z394=$Z$92,AG394,0))</f>
        <v>0</v>
      </c>
      <c r="BL394" s="174">
        <f>IF(AA394&gt;0,0,IF(Z394=$Z$91,AG394,0))</f>
        <v>0</v>
      </c>
      <c r="BM394" s="174">
        <f>IF(AA394&gt;0,0,IF(Z394=$Z$86,AG394,0))</f>
        <v>0</v>
      </c>
      <c r="BN394" s="174">
        <f>IF(AA394&gt;0,0,IF(Z394=$Z$87,AG394,0))</f>
        <v>0</v>
      </c>
      <c r="BO394" s="174">
        <f>IF(AA394&gt;0,0,IF(Z394=$Z$88,AG394,0))</f>
        <v>0</v>
      </c>
      <c r="BP394" s="174">
        <f>IF(AA394&gt;0,0,IF(Z394=$Z$89,AG394,0))</f>
        <v>0</v>
      </c>
      <c r="BQ394" s="174">
        <f>IF(AA394&gt;0,0,IF(Z394=$Z$90,AG394,0))</f>
        <v>0</v>
      </c>
      <c r="BR394" s="174">
        <f>IF(Z394=$Z$82,AA394*AG394,0)</f>
        <v>0</v>
      </c>
      <c r="BS394" s="174">
        <f>IF(Z394=$Z$83,AA394*AG394,0)</f>
        <v>0</v>
      </c>
      <c r="BT394" s="174">
        <f>IF(AA394&lt;1,0,IF(Z394=$Z$84,AA394*AG394,IF(Z394=$Z$93,"ERRO",IF(Z394=$Z$100,"ERRO",0))))</f>
        <v>0</v>
      </c>
      <c r="BU394" s="174">
        <f>IF(AA394&lt;1,0,IF(Z394=$Z$85,AA394*AG394,IF(Z394=$Z$93,"ERRO",IF(Z394=$Z$100,"ERRO",0))))</f>
        <v>0</v>
      </c>
      <c r="BV394" s="174">
        <f>IF(Z394=$Z$92,AA394*AG394,0)</f>
        <v>0</v>
      </c>
      <c r="BW394" s="174">
        <f>IF(Z394=$Z$91,AA394*AG394,0)</f>
        <v>0</v>
      </c>
      <c r="BX394" s="174">
        <f>IF(Z394=$Z$86,AA394*AG394,0)</f>
        <v>0</v>
      </c>
      <c r="BY394" s="174">
        <f>IF(Z394=$Z$87,AA394*AG394,0)</f>
        <v>0</v>
      </c>
      <c r="BZ394" s="174">
        <f>IF(Z394=$Z$88,AA394*AG394,0)</f>
        <v>0</v>
      </c>
      <c r="CA394" s="174">
        <f>IF(Z394=$Z$89,AA394*AG394,0)</f>
        <v>0</v>
      </c>
      <c r="CB394" s="174">
        <f>IF(Z394=$Z$90,AA394*AG394,0)</f>
        <v>0</v>
      </c>
      <c r="CC394" s="175">
        <f>IFERROR(IF(L394=$L$49,AG394*AH394*(1+AI394)*(1-AK394)*(1-AL394),0),0)</f>
        <v>0</v>
      </c>
      <c r="CD394" s="203">
        <f>IF(I394=$CD$97,1,IF(I394=$CD$100,2,IF(K394=$K$66,1,IF(K394=$K$69,1,3))))</f>
        <v>1</v>
      </c>
      <c r="CE394" s="203">
        <f>IF($CD394=1,1.07,IF($CD394=2,1.07,1.3))</f>
        <v>1.07</v>
      </c>
      <c r="CF394" s="204">
        <f t="shared" si="75"/>
        <v>1.2353999999999998</v>
      </c>
      <c r="CG394" s="203">
        <f>IF($CD394=1,1.42,IF($CD394=2,1.47,2))</f>
        <v>1.42</v>
      </c>
      <c r="CH394" s="204">
        <f t="shared" si="76"/>
        <v>1.5478000000000001</v>
      </c>
      <c r="CI394" s="203">
        <f>IF($CD394=1,1.7,IF($CD394=2,1.7,2.4))</f>
        <v>1.7</v>
      </c>
      <c r="CJ394" s="205">
        <f t="shared" si="77"/>
        <v>1.0486</v>
      </c>
      <c r="CK394" s="205">
        <f t="shared" si="78"/>
        <v>1.148922</v>
      </c>
      <c r="CL394" s="205">
        <f t="shared" si="79"/>
        <v>1.3915999999999999</v>
      </c>
      <c r="CM394" s="205">
        <f t="shared" si="80"/>
        <v>1.501366</v>
      </c>
      <c r="CN394" s="206">
        <f t="shared" si="81"/>
        <v>1.6319999999999999</v>
      </c>
      <c r="CO394" s="204">
        <f t="shared" si="82"/>
        <v>1.006656</v>
      </c>
      <c r="CP394" s="207">
        <f t="shared" si="83"/>
        <v>0</v>
      </c>
      <c r="CQ394" s="208">
        <f t="shared" si="84"/>
        <v>0</v>
      </c>
      <c r="CR394" s="209">
        <f>BC394+BD394</f>
        <v>0</v>
      </c>
      <c r="CS394" s="49"/>
      <c r="CT394" s="49"/>
      <c r="CU394" s="49"/>
      <c r="CV394" s="49"/>
      <c r="CW394" s="49"/>
      <c r="CX394" s="49"/>
      <c r="CY394" s="49"/>
      <c r="CZ394" s="49"/>
      <c r="DA394" s="49"/>
      <c r="DB394" s="49"/>
      <c r="DC394" s="49"/>
      <c r="DD394" s="49"/>
      <c r="DE394" s="49"/>
      <c r="DF394" s="49"/>
      <c r="DG394" s="49"/>
      <c r="DH394" s="49"/>
      <c r="DI394" s="49"/>
      <c r="DJ394" s="49"/>
      <c r="DK394" s="49"/>
      <c r="DL394" s="49"/>
      <c r="DM394" s="49"/>
      <c r="DN394" s="49"/>
      <c r="DO394" s="49"/>
      <c r="DP394" s="49"/>
      <c r="DQ394" s="49"/>
      <c r="DR394" s="49"/>
      <c r="DS394" s="49"/>
      <c r="DT394" s="49"/>
      <c r="DU394" s="49"/>
      <c r="DV394" s="49"/>
      <c r="DW394" s="49"/>
      <c r="DX394" s="49"/>
      <c r="DY394" s="49"/>
      <c r="DZ394" s="49"/>
      <c r="EA394" s="49"/>
      <c r="EB394" s="49"/>
      <c r="EC394" s="49"/>
      <c r="ED394" s="49"/>
      <c r="EE394" s="49"/>
      <c r="EF394" s="49"/>
      <c r="EG394" s="49"/>
      <c r="EH394" s="49"/>
      <c r="EI394" s="49"/>
      <c r="EJ394" s="49"/>
      <c r="EK394" s="49"/>
      <c r="EL394" s="49"/>
      <c r="EM394" s="49"/>
      <c r="EN394" s="49"/>
      <c r="EO394" s="49"/>
      <c r="EP394" s="49"/>
      <c r="EQ394" s="49"/>
      <c r="ER394" s="49"/>
      <c r="ES394" s="49"/>
      <c r="ET394" s="49"/>
      <c r="EU394" s="49"/>
      <c r="EV394" s="49"/>
      <c r="EW394" s="49"/>
      <c r="EX394" s="49"/>
      <c r="EY394" s="49"/>
      <c r="EZ394" s="49"/>
      <c r="FA394" s="49"/>
    </row>
    <row r="395" spans="1:157" s="210" customFormat="1" x14ac:dyDescent="0.25">
      <c r="A395" s="113">
        <f>IF(AND('[1]Cockpit Retorno'!$E$67=Sim,Mestre!M395=Mestre!$M$98),0,1)</f>
        <v>1</v>
      </c>
      <c r="B395" s="113">
        <f>IF(AND('[1]Cockpit Retorno'!$E$67=Sim,Mestre!L395=Mestre!$L$48),0,1)</f>
        <v>1</v>
      </c>
      <c r="C395" s="113">
        <f>IF(AND('[1]Cockpit Retorno'!$E$67=Sim,Mestre!M395=Mestre!$M$97),0,1)</f>
        <v>1</v>
      </c>
      <c r="D395" s="148" t="s">
        <v>7</v>
      </c>
      <c r="E395" s="115"/>
      <c r="F395" s="116" t="s">
        <v>107</v>
      </c>
      <c r="G395" s="149"/>
      <c r="H395" s="150" t="s">
        <v>7</v>
      </c>
      <c r="I395" s="151" t="str">
        <f t="shared" si="86"/>
        <v>Mercadorias</v>
      </c>
      <c r="J395" s="150" t="s">
        <v>15</v>
      </c>
      <c r="K395" s="152" t="s">
        <v>7</v>
      </c>
      <c r="L395" s="153" t="s">
        <v>28</v>
      </c>
      <c r="M395" s="154" t="s">
        <v>437</v>
      </c>
      <c r="N395" s="155" t="s">
        <v>544</v>
      </c>
      <c r="O395" s="155" t="s">
        <v>566</v>
      </c>
      <c r="P395" s="155" t="s">
        <v>43</v>
      </c>
      <c r="Q395" s="155" t="s">
        <v>43</v>
      </c>
      <c r="R395" s="155" t="s">
        <v>43</v>
      </c>
      <c r="S395" s="156" t="s">
        <v>43</v>
      </c>
      <c r="T395" s="156" t="s">
        <v>43</v>
      </c>
      <c r="U395" s="150" t="s">
        <v>43</v>
      </c>
      <c r="V395" s="150" t="s">
        <v>43</v>
      </c>
      <c r="W395" s="150" t="s">
        <v>43</v>
      </c>
      <c r="X395" s="157" t="s">
        <v>567</v>
      </c>
      <c r="Y395" s="150">
        <v>7940</v>
      </c>
      <c r="Z395" s="150" t="s">
        <v>43</v>
      </c>
      <c r="AA395" s="158">
        <v>0</v>
      </c>
      <c r="AB395" s="155" t="s">
        <v>43</v>
      </c>
      <c r="AC395" s="150" t="s">
        <v>43</v>
      </c>
      <c r="AD395" s="155" t="s">
        <v>43</v>
      </c>
      <c r="AE395" s="155"/>
      <c r="AF395" s="150" t="s">
        <v>43</v>
      </c>
      <c r="AG395" s="159"/>
      <c r="AH395" s="159">
        <v>7.44</v>
      </c>
      <c r="AI395" s="202">
        <v>0</v>
      </c>
      <c r="AJ395" s="161">
        <v>7.0000000000000007E-2</v>
      </c>
      <c r="AK395" s="162"/>
      <c r="AL395" s="163"/>
      <c r="AM395" s="164">
        <f>(((IF(L395=$L$101,1,IF(L395=$L$47,1,0))*(AH395*(1-AK395)))*AG395)*(1-AL395))</f>
        <v>0</v>
      </c>
      <c r="AN395" s="165">
        <f>IF(K395=$K$50,AM395,IF(K395=$K$53,AM395,IF(K395=$K$54,AM395,IF(K395=$K$55,AM395,IF(K395=$K$56,AM395,IF(K395=$K$57,AM395,IF(K395=$K$58,AM395,IF(K395=$K$65,AM395,IF(K395=$K$66,AM395,IF(K395=$K$67,AM395,IF(K395=$K$68,AM395,IF(K395=$K$69,AM395,IF(K395=$K$51,AM395,(AM395*(1+AI395)))))))))))))))</f>
        <v>0</v>
      </c>
      <c r="AO395" s="166">
        <v>1.4</v>
      </c>
      <c r="AP395" s="160">
        <f t="shared" si="87"/>
        <v>0</v>
      </c>
      <c r="AQ395" s="167">
        <f t="shared" si="95"/>
        <v>0</v>
      </c>
      <c r="AR395" s="160">
        <f t="shared" si="88"/>
        <v>0</v>
      </c>
      <c r="AS395" s="168">
        <f t="shared" si="89"/>
        <v>0</v>
      </c>
      <c r="AT395" s="169" t="str">
        <f>K395</f>
        <v>MI</v>
      </c>
      <c r="AU395" s="169" t="str">
        <f>I395</f>
        <v>Mercadorias</v>
      </c>
      <c r="AV395" s="170"/>
      <c r="AW395" s="171">
        <f>IF(K395=$K$50,0,IF(K395=$K$53,0,IF(K395=$K$54,0,IF(K395=$K$55,0,IF(K395=$K$56,0,IF(K395=$K$57,0,IF(K395=$K$58,0,IF(K395=$K$65,0,IF(K395=$K$66,0,IF(K395=$K$67,0,IF(K395=$K$68,0,IF(K395=$K$69,0,IF(K395=$K$51,0,1))))))))))))*AM395*AI395)</f>
        <v>0</v>
      </c>
      <c r="AX395" s="172">
        <f>IF(K395=$K$50,0,IF(K395=$K$53,0,IF(K395=$K$54,0,IF(K395=$K$55,0,IF(K395=$K$56,0,IF(K395=$K$57,0,IF(K395=$K$58,0,IF(K395=$K$65,0,IF(K395=$K$66,0,IF(K395=$K$67,0,IF(K395=$K$68,0,IF(K395=$K$69,0,IF(K395=$K$51,0,1))))))))))))*AM395*AJ395*$AX$94)</f>
        <v>0</v>
      </c>
      <c r="AY395" s="172">
        <f>IF(K395=$K$53,0,IF(K395=$K$54,0,IF(K395=$K$55,0,IF(K395=$K$56,0,IF(K395=$K$58,0,IF(K395=$K$50,0,IF(K395=$K$65,0,IF(K395=$K$57,0,IF(K395=$K$51,0,AM395*$AY$102)))))))))</f>
        <v>0</v>
      </c>
      <c r="AZ395" s="172">
        <f>IF(K395=$K$53,0,IF(K395=$K$54,0,IF(K395=$K$55,0,IF(K395=$K$56,0,IF(K395=$K$58,0,IF(K395=$K$50,0,IF(K395=$K$65,0,IF(K395=$K$57,0,IF(K395=$K$51,0,AM395*$AZ$102)))))))))</f>
        <v>0</v>
      </c>
      <c r="BA395" s="172">
        <f t="shared" si="90"/>
        <v>0</v>
      </c>
      <c r="BB395" s="173">
        <f>IF($BA$97=1,AQ395*$BB$102,IF(K395=$K$50,0,IF(K395=$K$53,0,IF(K395=$K$54,0,IF(K395=$K$55,0,IF(K395=$K$56,0,IF(K395=$K$57,0,IF(K395=$K$58,0,IF(K395=$K$65,0,IF(K395=$K$66,0,IF(K395=$K$67,0,IF(K395=$K$68,0,IF(K395=$K$69,0,IF(K395=$K$51,0,1)))))))))))*AQ395*$BB$102)))</f>
        <v>0</v>
      </c>
      <c r="BC395" s="172">
        <f t="shared" si="91"/>
        <v>0</v>
      </c>
      <c r="BD395" s="172">
        <f t="shared" si="92"/>
        <v>0</v>
      </c>
      <c r="BE395" s="172">
        <f>IF($BE$95=I395,$BE$97,IF(I395=$BE$96,$BE$97,1))*($BE$102*AQ395)*$AZ$97</f>
        <v>0</v>
      </c>
      <c r="BF395" s="172">
        <f>IF('[1]Cockpit Retorno'!$C$65=Sim,Mestre!BA395,SUM(BB395:BE395)+(IF(K395=$K$56,AQ395*MOE_IRRF_LR,0)))</f>
        <v>0</v>
      </c>
      <c r="BG395" s="174">
        <f>IF(AA395&gt;0,0,IF(Z395=$Z$82,AG395*1,(IF(Z395=$Z$81,AG395*1,0))))</f>
        <v>0</v>
      </c>
      <c r="BH395" s="174">
        <f>IF(AA395&gt;0,0,IF(Z395=$Z$83,AG395*1,IF(Z395=$Z$81,AG395*1,0)))</f>
        <v>0</v>
      </c>
      <c r="BI395" s="174">
        <f>IF(AA395&gt;0,0,IF(Z395=$Z$84,AG395*1,IF(Z395=$Z$93,AG395*2,IF(Z395=$Z$100,AG395,IF(Z395=$Z$81,AG395*2,IF(Z395=$Z$80,AG395*1,IF(Z395=$Z$79,AG395*3,IF(Z395=$Z$78,AG395*2,0))))))))</f>
        <v>0</v>
      </c>
      <c r="BJ395" s="174">
        <f>IF(AA395&gt;0,0,IF(Z395=$Z$85,AG395,IF(Z395=$Z$93,AG395,IF(Z395=$Z$100,AG395,IF(Z395=$Z$81,AG395*1,IF(Z395=$Z$80,AG395*2,IF(Z395=$Z$79,AG395*2,IF(Z395=$Z$78,AG395*2,0))))))))</f>
        <v>0</v>
      </c>
      <c r="BK395" s="174">
        <f>IF(AA395&gt;0,0,IF(Z395=$Z$92,AG395,0))</f>
        <v>0</v>
      </c>
      <c r="BL395" s="174">
        <f>IF(AA395&gt;0,0,IF(Z395=$Z$91,AG395,0))</f>
        <v>0</v>
      </c>
      <c r="BM395" s="174">
        <f>IF(AA395&gt;0,0,IF(Z395=$Z$86,AG395,0))</f>
        <v>0</v>
      </c>
      <c r="BN395" s="174">
        <f>IF(AA395&gt;0,0,IF(Z395=$Z$87,AG395,0))</f>
        <v>0</v>
      </c>
      <c r="BO395" s="174">
        <f>IF(AA395&gt;0,0,IF(Z395=$Z$88,AG395,0))</f>
        <v>0</v>
      </c>
      <c r="BP395" s="174">
        <f>IF(AA395&gt;0,0,IF(Z395=$Z$89,AG395,0))</f>
        <v>0</v>
      </c>
      <c r="BQ395" s="174">
        <f>IF(AA395&gt;0,0,IF(Z395=$Z$90,AG395,0))</f>
        <v>0</v>
      </c>
      <c r="BR395" s="174">
        <f>IF(Z395=$Z$82,AA395*AG395,0)</f>
        <v>0</v>
      </c>
      <c r="BS395" s="174">
        <f>IF(Z395=$Z$83,AA395*AG395,0)</f>
        <v>0</v>
      </c>
      <c r="BT395" s="174">
        <f>IF(AA395&lt;1,0,IF(Z395=$Z$84,AA395*AG395,IF(Z395=$Z$93,"ERRO",IF(Z395=$Z$100,"ERRO",0))))</f>
        <v>0</v>
      </c>
      <c r="BU395" s="174">
        <f>IF(AA395&lt;1,0,IF(Z395=$Z$85,AA395*AG395,IF(Z395=$Z$93,"ERRO",IF(Z395=$Z$100,"ERRO",0))))</f>
        <v>0</v>
      </c>
      <c r="BV395" s="174">
        <f>IF(Z395=$Z$92,AA395*AG395,0)</f>
        <v>0</v>
      </c>
      <c r="BW395" s="174">
        <f>IF(Z395=$Z$91,AA395*AG395,0)</f>
        <v>0</v>
      </c>
      <c r="BX395" s="174">
        <f>IF(Z395=$Z$86,AA395*AG395,0)</f>
        <v>0</v>
      </c>
      <c r="BY395" s="174">
        <f>IF(Z395=$Z$87,AA395*AG395,0)</f>
        <v>0</v>
      </c>
      <c r="BZ395" s="174">
        <f>IF(Z395=$Z$88,AA395*AG395,0)</f>
        <v>0</v>
      </c>
      <c r="CA395" s="174">
        <f>IF(Z395=$Z$89,AA395*AG395,0)</f>
        <v>0</v>
      </c>
      <c r="CB395" s="174">
        <f>IF(Z395=$Z$90,AA395*AG395,0)</f>
        <v>0</v>
      </c>
      <c r="CC395" s="175">
        <f>IFERROR(IF(L395=$L$49,AG395*AH395*(1+AI395)*(1-AK395)*(1-AL395),0),0)</f>
        <v>0</v>
      </c>
      <c r="CD395" s="203">
        <f>IF(I395=$CD$97,1,IF(I395=$CD$100,2,IF(K395=$K$66,1,IF(K395=$K$69,1,3))))</f>
        <v>1</v>
      </c>
      <c r="CE395" s="203">
        <f t="shared" si="14"/>
        <v>1.07</v>
      </c>
      <c r="CF395" s="204">
        <f t="shared" si="75"/>
        <v>1.2353999999999998</v>
      </c>
      <c r="CG395" s="203">
        <f t="shared" si="15"/>
        <v>1.42</v>
      </c>
      <c r="CH395" s="204">
        <f t="shared" si="76"/>
        <v>1.5478000000000001</v>
      </c>
      <c r="CI395" s="203">
        <f t="shared" si="16"/>
        <v>1.7</v>
      </c>
      <c r="CJ395" s="205">
        <f t="shared" si="77"/>
        <v>1.0486</v>
      </c>
      <c r="CK395" s="205">
        <f t="shared" si="78"/>
        <v>1.148922</v>
      </c>
      <c r="CL395" s="205">
        <f t="shared" si="79"/>
        <v>1.3915999999999999</v>
      </c>
      <c r="CM395" s="205">
        <f t="shared" si="80"/>
        <v>1.501366</v>
      </c>
      <c r="CN395" s="206">
        <f t="shared" si="81"/>
        <v>1.6319999999999999</v>
      </c>
      <c r="CO395" s="204">
        <f t="shared" si="82"/>
        <v>1.006656</v>
      </c>
      <c r="CP395" s="207">
        <f t="shared" si="83"/>
        <v>0</v>
      </c>
      <c r="CQ395" s="208">
        <f t="shared" si="84"/>
        <v>0</v>
      </c>
      <c r="CR395" s="209">
        <f t="shared" si="93"/>
        <v>0</v>
      </c>
      <c r="CS395" s="49"/>
      <c r="CT395" s="49"/>
      <c r="CU395" s="49"/>
      <c r="CV395" s="49"/>
      <c r="CW395" s="49"/>
      <c r="CX395" s="49"/>
      <c r="CY395" s="49"/>
      <c r="CZ395" s="49"/>
      <c r="DA395" s="49"/>
      <c r="DB395" s="49"/>
      <c r="DC395" s="49"/>
      <c r="DD395" s="49"/>
      <c r="DE395" s="49"/>
      <c r="DF395" s="49"/>
      <c r="DG395" s="49"/>
      <c r="DH395" s="49"/>
      <c r="DI395" s="49"/>
      <c r="DJ395" s="49"/>
      <c r="DK395" s="49"/>
      <c r="DL395" s="49"/>
      <c r="DM395" s="49"/>
      <c r="DN395" s="49"/>
      <c r="DO395" s="49"/>
      <c r="DP395" s="49"/>
      <c r="DQ395" s="49"/>
      <c r="DR395" s="49"/>
      <c r="DS395" s="49"/>
      <c r="DT395" s="49"/>
      <c r="DU395" s="49"/>
      <c r="DV395" s="49"/>
      <c r="DW395" s="49"/>
      <c r="DX395" s="49"/>
      <c r="DY395" s="49"/>
      <c r="DZ395" s="49"/>
      <c r="EA395" s="49"/>
      <c r="EB395" s="49"/>
      <c r="EC395" s="49"/>
      <c r="ED395" s="49"/>
      <c r="EE395" s="49"/>
      <c r="EF395" s="49"/>
      <c r="EG395" s="49"/>
      <c r="EH395" s="49"/>
      <c r="EI395" s="49"/>
      <c r="EJ395" s="49"/>
      <c r="EK395" s="49"/>
      <c r="EL395" s="49"/>
      <c r="EM395" s="49"/>
      <c r="EN395" s="49"/>
      <c r="EO395" s="49"/>
      <c r="EP395" s="49"/>
      <c r="EQ395" s="49"/>
      <c r="ER395" s="49"/>
      <c r="ES395" s="49"/>
      <c r="ET395" s="49"/>
      <c r="EU395" s="49"/>
      <c r="EV395" s="49"/>
      <c r="EW395" s="49"/>
      <c r="EX395" s="49"/>
      <c r="EY395" s="49"/>
      <c r="EZ395" s="49"/>
      <c r="FA395" s="49"/>
    </row>
    <row r="396" spans="1:157" s="210" customFormat="1" x14ac:dyDescent="0.25">
      <c r="A396" s="113">
        <f>IF(AND('[1]Cockpit Retorno'!$E$67=Sim,Mestre!M396=Mestre!$M$98),0,1)</f>
        <v>1</v>
      </c>
      <c r="B396" s="113">
        <f>IF(AND('[1]Cockpit Retorno'!$E$67=Sim,Mestre!L396=Mestre!$L$48),0,1)</f>
        <v>1</v>
      </c>
      <c r="C396" s="113">
        <f>IF(AND('[1]Cockpit Retorno'!$E$67=Sim,Mestre!M396=Mestre!$M$97),0,1)</f>
        <v>1</v>
      </c>
      <c r="D396" s="148" t="s">
        <v>7</v>
      </c>
      <c r="E396" s="115"/>
      <c r="F396" s="116" t="s">
        <v>107</v>
      </c>
      <c r="G396" s="149"/>
      <c r="H396" s="150" t="s">
        <v>7</v>
      </c>
      <c r="I396" s="151" t="str">
        <f t="shared" si="86"/>
        <v>Mercadorias</v>
      </c>
      <c r="J396" s="150" t="s">
        <v>15</v>
      </c>
      <c r="K396" s="152" t="s">
        <v>7</v>
      </c>
      <c r="L396" s="153" t="s">
        <v>28</v>
      </c>
      <c r="M396" s="154" t="s">
        <v>437</v>
      </c>
      <c r="N396" s="155" t="s">
        <v>544</v>
      </c>
      <c r="O396" s="155" t="s">
        <v>566</v>
      </c>
      <c r="P396" s="155" t="s">
        <v>43</v>
      </c>
      <c r="Q396" s="155" t="s">
        <v>43</v>
      </c>
      <c r="R396" s="155" t="s">
        <v>43</v>
      </c>
      <c r="S396" s="156" t="s">
        <v>43</v>
      </c>
      <c r="T396" s="156" t="s">
        <v>43</v>
      </c>
      <c r="U396" s="150" t="s">
        <v>43</v>
      </c>
      <c r="V396" s="150" t="s">
        <v>43</v>
      </c>
      <c r="W396" s="150" t="s">
        <v>43</v>
      </c>
      <c r="X396" s="157" t="s">
        <v>568</v>
      </c>
      <c r="Y396" s="150">
        <v>9925</v>
      </c>
      <c r="Z396" s="150" t="s">
        <v>43</v>
      </c>
      <c r="AA396" s="158">
        <v>0</v>
      </c>
      <c r="AB396" s="155" t="s">
        <v>43</v>
      </c>
      <c r="AC396" s="150" t="s">
        <v>43</v>
      </c>
      <c r="AD396" s="155" t="s">
        <v>43</v>
      </c>
      <c r="AE396" s="155"/>
      <c r="AF396" s="150" t="s">
        <v>43</v>
      </c>
      <c r="AG396" s="159"/>
      <c r="AH396" s="159">
        <v>12.09</v>
      </c>
      <c r="AI396" s="202">
        <v>0</v>
      </c>
      <c r="AJ396" s="161">
        <v>7.0000000000000007E-2</v>
      </c>
      <c r="AK396" s="162"/>
      <c r="AL396" s="163"/>
      <c r="AM396" s="164">
        <f>(((IF(L396=$L$101,1,IF(L396=$L$47,1,0))*(AH396*(1-AK396)))*AG396)*(1-AL396))</f>
        <v>0</v>
      </c>
      <c r="AN396" s="165">
        <f>IF(K396=$K$50,AM396,IF(K396=$K$53,AM396,IF(K396=$K$54,AM396,IF(K396=$K$55,AM396,IF(K396=$K$56,AM396,IF(K396=$K$57,AM396,IF(K396=$K$58,AM396,IF(K396=$K$65,AM396,IF(K396=$K$66,AM396,IF(K396=$K$67,AM396,IF(K396=$K$68,AM396,IF(K396=$K$69,AM396,IF(K396=$K$51,AM396,(AM396*(1+AI396)))))))))))))))</f>
        <v>0</v>
      </c>
      <c r="AO396" s="166">
        <v>1.4</v>
      </c>
      <c r="AP396" s="160">
        <f t="shared" si="87"/>
        <v>0</v>
      </c>
      <c r="AQ396" s="167">
        <f t="shared" si="95"/>
        <v>0</v>
      </c>
      <c r="AR396" s="160">
        <f t="shared" si="88"/>
        <v>0</v>
      </c>
      <c r="AS396" s="168">
        <f t="shared" si="89"/>
        <v>0</v>
      </c>
      <c r="AT396" s="169" t="str">
        <f>K396</f>
        <v>MI</v>
      </c>
      <c r="AU396" s="169" t="str">
        <f>I396</f>
        <v>Mercadorias</v>
      </c>
      <c r="AV396" s="170"/>
      <c r="AW396" s="171">
        <f>IF(K396=$K$50,0,IF(K396=$K$53,0,IF(K396=$K$54,0,IF(K396=$K$55,0,IF(K396=$K$56,0,IF(K396=$K$57,0,IF(K396=$K$58,0,IF(K396=$K$65,0,IF(K396=$K$66,0,IF(K396=$K$67,0,IF(K396=$K$68,0,IF(K396=$K$69,0,IF(K396=$K$51,0,1))))))))))))*AM396*AI396)</f>
        <v>0</v>
      </c>
      <c r="AX396" s="172">
        <f>IF(K396=$K$50,0,IF(K396=$K$53,0,IF(K396=$K$54,0,IF(K396=$K$55,0,IF(K396=$K$56,0,IF(K396=$K$57,0,IF(K396=$K$58,0,IF(K396=$K$65,0,IF(K396=$K$66,0,IF(K396=$K$67,0,IF(K396=$K$68,0,IF(K396=$K$69,0,IF(K396=$K$51,0,1))))))))))))*AM396*AJ396*$AX$94)</f>
        <v>0</v>
      </c>
      <c r="AY396" s="172">
        <f>IF(K396=$K$53,0,IF(K396=$K$54,0,IF(K396=$K$55,0,IF(K396=$K$56,0,IF(K396=$K$58,0,IF(K396=$K$50,0,IF(K396=$K$65,0,IF(K396=$K$57,0,IF(K396=$K$51,0,AM396*$AY$102)))))))))</f>
        <v>0</v>
      </c>
      <c r="AZ396" s="172">
        <f>IF(K396=$K$53,0,IF(K396=$K$54,0,IF(K396=$K$55,0,IF(K396=$K$56,0,IF(K396=$K$58,0,IF(K396=$K$50,0,IF(K396=$K$65,0,IF(K396=$K$57,0,IF(K396=$K$51,0,AM396*$AZ$102)))))))))</f>
        <v>0</v>
      </c>
      <c r="BA396" s="172">
        <f t="shared" si="90"/>
        <v>0</v>
      </c>
      <c r="BB396" s="173">
        <f>IF($BA$97=1,AQ396*$BB$102,IF(K396=$K$50,0,IF(K396=$K$53,0,IF(K396=$K$54,0,IF(K396=$K$55,0,IF(K396=$K$56,0,IF(K396=$K$57,0,IF(K396=$K$58,0,IF(K396=$K$65,0,IF(K396=$K$66,0,IF(K396=$K$67,0,IF(K396=$K$68,0,IF(K396=$K$69,0,IF(K396=$K$51,0,1)))))))))))*AQ396*$BB$102)))</f>
        <v>0</v>
      </c>
      <c r="BC396" s="172">
        <f t="shared" si="91"/>
        <v>0</v>
      </c>
      <c r="BD396" s="172">
        <f t="shared" si="92"/>
        <v>0</v>
      </c>
      <c r="BE396" s="172">
        <f>IF($BE$95=I396,$BE$97,IF(I396=$BE$96,$BE$97,1))*($BE$102*AQ396)*$AZ$97</f>
        <v>0</v>
      </c>
      <c r="BF396" s="172">
        <f>IF('[1]Cockpit Retorno'!$C$65=Sim,Mestre!BA396,SUM(BB396:BE396)+(IF(K396=$K$56,AQ396*MOE_IRRF_LR,0)))</f>
        <v>0</v>
      </c>
      <c r="BG396" s="174">
        <f>IF(AA396&gt;0,0,IF(Z396=$Z$82,AG396*1,(IF(Z396=$Z$81,AG396*1,0))))</f>
        <v>0</v>
      </c>
      <c r="BH396" s="174">
        <f>IF(AA396&gt;0,0,IF(Z396=$Z$83,AG396*1,IF(Z396=$Z$81,AG396*1,0)))</f>
        <v>0</v>
      </c>
      <c r="BI396" s="174">
        <f>IF(AA396&gt;0,0,IF(Z396=$Z$84,AG396*1,IF(Z396=$Z$93,AG396*2,IF(Z396=$Z$100,AG396,IF(Z396=$Z$81,AG396*2,IF(Z396=$Z$80,AG396*1,IF(Z396=$Z$79,AG396*3,IF(Z396=$Z$78,AG396*2,0))))))))</f>
        <v>0</v>
      </c>
      <c r="BJ396" s="174">
        <f>IF(AA396&gt;0,0,IF(Z396=$Z$85,AG396,IF(Z396=$Z$93,AG396,IF(Z396=$Z$100,AG396,IF(Z396=$Z$81,AG396*1,IF(Z396=$Z$80,AG396*2,IF(Z396=$Z$79,AG396*2,IF(Z396=$Z$78,AG396*2,0))))))))</f>
        <v>0</v>
      </c>
      <c r="BK396" s="174">
        <f>IF(AA396&gt;0,0,IF(Z396=$Z$92,AG396,0))</f>
        <v>0</v>
      </c>
      <c r="BL396" s="174">
        <f>IF(AA396&gt;0,0,IF(Z396=$Z$91,AG396,0))</f>
        <v>0</v>
      </c>
      <c r="BM396" s="174">
        <f>IF(AA396&gt;0,0,IF(Z396=$Z$86,AG396,0))</f>
        <v>0</v>
      </c>
      <c r="BN396" s="174">
        <f>IF(AA396&gt;0,0,IF(Z396=$Z$87,AG396,0))</f>
        <v>0</v>
      </c>
      <c r="BO396" s="174">
        <f>IF(AA396&gt;0,0,IF(Z396=$Z$88,AG396,0))</f>
        <v>0</v>
      </c>
      <c r="BP396" s="174">
        <f>IF(AA396&gt;0,0,IF(Z396=$Z$89,AG396,0))</f>
        <v>0</v>
      </c>
      <c r="BQ396" s="174">
        <f>IF(AA396&gt;0,0,IF(Z396=$Z$90,AG396,0))</f>
        <v>0</v>
      </c>
      <c r="BR396" s="174">
        <f>IF(Z396=$Z$82,AA396*AG396,0)</f>
        <v>0</v>
      </c>
      <c r="BS396" s="174">
        <f>IF(Z396=$Z$83,AA396*AG396,0)</f>
        <v>0</v>
      </c>
      <c r="BT396" s="174">
        <f>IF(AA396&lt;1,0,IF(Z396=$Z$84,AA396*AG396,IF(Z396=$Z$93,"ERRO",IF(Z396=$Z$100,"ERRO",0))))</f>
        <v>0</v>
      </c>
      <c r="BU396" s="174">
        <f>IF(AA396&lt;1,0,IF(Z396=$Z$85,AA396*AG396,IF(Z396=$Z$93,"ERRO",IF(Z396=$Z$100,"ERRO",0))))</f>
        <v>0</v>
      </c>
      <c r="BV396" s="174">
        <f>IF(Z396=$Z$92,AA396*AG396,0)</f>
        <v>0</v>
      </c>
      <c r="BW396" s="174">
        <f>IF(Z396=$Z$91,AA396*AG396,0)</f>
        <v>0</v>
      </c>
      <c r="BX396" s="174">
        <f>IF(Z396=$Z$86,AA396*AG396,0)</f>
        <v>0</v>
      </c>
      <c r="BY396" s="174">
        <f>IF(Z396=$Z$87,AA396*AG396,0)</f>
        <v>0</v>
      </c>
      <c r="BZ396" s="174">
        <f>IF(Z396=$Z$88,AA396*AG396,0)</f>
        <v>0</v>
      </c>
      <c r="CA396" s="174">
        <f>IF(Z396=$Z$89,AA396*AG396,0)</f>
        <v>0</v>
      </c>
      <c r="CB396" s="174">
        <f>IF(Z396=$Z$90,AA396*AG396,0)</f>
        <v>0</v>
      </c>
      <c r="CC396" s="175">
        <f>IFERROR(IF(L396=$L$49,AG396*AH396*(1+AI396)*(1-AK396)*(1-AL396),0),0)</f>
        <v>0</v>
      </c>
      <c r="CD396" s="203">
        <f>IF(I396=$CD$97,1,IF(I396=$CD$100,2,IF(K396=$K$66,1,IF(K396=$K$69,1,3))))</f>
        <v>1</v>
      </c>
      <c r="CE396" s="203">
        <f t="shared" si="14"/>
        <v>1.07</v>
      </c>
      <c r="CF396" s="204">
        <f t="shared" si="75"/>
        <v>1.2353999999999998</v>
      </c>
      <c r="CG396" s="203">
        <f t="shared" si="15"/>
        <v>1.42</v>
      </c>
      <c r="CH396" s="204">
        <f t="shared" si="76"/>
        <v>1.5478000000000001</v>
      </c>
      <c r="CI396" s="203">
        <f t="shared" si="16"/>
        <v>1.7</v>
      </c>
      <c r="CJ396" s="205">
        <f t="shared" si="77"/>
        <v>1.0486</v>
      </c>
      <c r="CK396" s="205">
        <f t="shared" si="78"/>
        <v>1.148922</v>
      </c>
      <c r="CL396" s="205">
        <f t="shared" si="79"/>
        <v>1.3915999999999999</v>
      </c>
      <c r="CM396" s="205">
        <f t="shared" si="80"/>
        <v>1.501366</v>
      </c>
      <c r="CN396" s="206">
        <f t="shared" si="81"/>
        <v>1.6319999999999999</v>
      </c>
      <c r="CO396" s="204">
        <f t="shared" si="82"/>
        <v>1.006656</v>
      </c>
      <c r="CP396" s="207">
        <f t="shared" si="83"/>
        <v>0</v>
      </c>
      <c r="CQ396" s="208">
        <f t="shared" si="84"/>
        <v>0</v>
      </c>
      <c r="CR396" s="209">
        <f t="shared" si="93"/>
        <v>0</v>
      </c>
      <c r="CS396" s="49"/>
      <c r="CT396" s="49"/>
      <c r="CU396" s="49"/>
      <c r="CV396" s="49"/>
      <c r="CW396" s="49"/>
      <c r="CX396" s="49"/>
      <c r="CY396" s="49"/>
      <c r="CZ396" s="49"/>
      <c r="DA396" s="49"/>
      <c r="DB396" s="49"/>
      <c r="DC396" s="49"/>
      <c r="DD396" s="49"/>
      <c r="DE396" s="49"/>
      <c r="DF396" s="49"/>
      <c r="DG396" s="49"/>
      <c r="DH396" s="49"/>
      <c r="DI396" s="49"/>
      <c r="DJ396" s="49"/>
      <c r="DK396" s="49"/>
      <c r="DL396" s="49"/>
      <c r="DM396" s="49"/>
      <c r="DN396" s="49"/>
      <c r="DO396" s="49"/>
      <c r="DP396" s="49"/>
      <c r="DQ396" s="49"/>
      <c r="DR396" s="49"/>
      <c r="DS396" s="49"/>
      <c r="DT396" s="49"/>
      <c r="DU396" s="49"/>
      <c r="DV396" s="49"/>
      <c r="DW396" s="49"/>
      <c r="DX396" s="49"/>
      <c r="DY396" s="49"/>
      <c r="DZ396" s="49"/>
      <c r="EA396" s="49"/>
      <c r="EB396" s="49"/>
      <c r="EC396" s="49"/>
      <c r="ED396" s="49"/>
      <c r="EE396" s="49"/>
      <c r="EF396" s="49"/>
      <c r="EG396" s="49"/>
      <c r="EH396" s="49"/>
      <c r="EI396" s="49"/>
      <c r="EJ396" s="49"/>
      <c r="EK396" s="49"/>
      <c r="EL396" s="49"/>
      <c r="EM396" s="49"/>
      <c r="EN396" s="49"/>
      <c r="EO396" s="49"/>
      <c r="EP396" s="49"/>
      <c r="EQ396" s="49"/>
      <c r="ER396" s="49"/>
      <c r="ES396" s="49"/>
      <c r="ET396" s="49"/>
      <c r="EU396" s="49"/>
      <c r="EV396" s="49"/>
      <c r="EW396" s="49"/>
      <c r="EX396" s="49"/>
      <c r="EY396" s="49"/>
      <c r="EZ396" s="49"/>
      <c r="FA396" s="49"/>
    </row>
    <row r="397" spans="1:157" s="210" customFormat="1" ht="51" x14ac:dyDescent="0.25">
      <c r="A397" s="113">
        <f>IF(AND('[1]Cockpit Retorno'!$E$67=Sim,Mestre!M397=Mestre!$M$98),0,1)</f>
        <v>1</v>
      </c>
      <c r="B397" s="113">
        <f>IF(AND('[1]Cockpit Retorno'!$E$67=Sim,Mestre!L397=Mestre!$L$48),0,1)</f>
        <v>1</v>
      </c>
      <c r="C397" s="113">
        <f>IF(AND('[1]Cockpit Retorno'!$E$67=Sim,Mestre!M397=Mestre!$M$97),0,1)</f>
        <v>1</v>
      </c>
      <c r="D397" s="148" t="s">
        <v>7</v>
      </c>
      <c r="E397" s="115"/>
      <c r="F397" s="116" t="s">
        <v>107</v>
      </c>
      <c r="G397" s="149">
        <v>11</v>
      </c>
      <c r="H397" s="150" t="s">
        <v>7</v>
      </c>
      <c r="I397" s="151" t="str">
        <f t="shared" si="86"/>
        <v>Mercadorias</v>
      </c>
      <c r="J397" s="150" t="s">
        <v>15</v>
      </c>
      <c r="K397" s="152" t="s">
        <v>7</v>
      </c>
      <c r="L397" s="153" t="s">
        <v>21</v>
      </c>
      <c r="M397" s="154" t="s">
        <v>561</v>
      </c>
      <c r="N397" s="155" t="s">
        <v>342</v>
      </c>
      <c r="O397" s="155" t="s">
        <v>569</v>
      </c>
      <c r="P397" s="155" t="s">
        <v>43</v>
      </c>
      <c r="Q397" s="155" t="s">
        <v>43</v>
      </c>
      <c r="R397" s="155" t="s">
        <v>43</v>
      </c>
      <c r="S397" s="156" t="s">
        <v>43</v>
      </c>
      <c r="T397" s="156" t="s">
        <v>43</v>
      </c>
      <c r="U397" s="150" t="s">
        <v>43</v>
      </c>
      <c r="V397" s="150" t="s">
        <v>43</v>
      </c>
      <c r="W397" s="150" t="s">
        <v>43</v>
      </c>
      <c r="X397" s="157" t="s">
        <v>475</v>
      </c>
      <c r="Y397" s="150" t="s">
        <v>43</v>
      </c>
      <c r="Z397" s="150" t="s">
        <v>43</v>
      </c>
      <c r="AA397" s="158">
        <v>0</v>
      </c>
      <c r="AB397" s="155" t="s">
        <v>43</v>
      </c>
      <c r="AC397" s="150" t="s">
        <v>43</v>
      </c>
      <c r="AD397" s="155" t="s">
        <v>43</v>
      </c>
      <c r="AE397" s="155"/>
      <c r="AF397" s="150" t="s">
        <v>43</v>
      </c>
      <c r="AG397" s="159">
        <f>(AG398+AG399)*2</f>
        <v>580</v>
      </c>
      <c r="AH397" s="159">
        <v>43.207800000000006</v>
      </c>
      <c r="AI397" s="202">
        <v>0</v>
      </c>
      <c r="AJ397" s="161">
        <v>7.0000000000000007E-2</v>
      </c>
      <c r="AK397" s="162"/>
      <c r="AL397" s="163"/>
      <c r="AM397" s="164">
        <f>(((IF(L397=$L$101,1,IF(L397=$L$47,1,0))*(AH397*(1-AK397)))*AG397)*(1-AL397))</f>
        <v>0</v>
      </c>
      <c r="AN397" s="165">
        <f>IF(K397=$K$50,AM397,IF(K397=$K$53,AM397,IF(K397=$K$54,AM397,IF(K397=$K$55,AM397,IF(K397=$K$56,AM397,IF(K397=$K$57,AM397,IF(K397=$K$58,AM397,IF(K397=$K$65,AM397,IF(K397=$K$66,AM397,IF(K397=$K$67,AM397,IF(K397=$K$68,AM397,IF(K397=$K$69,AM397,IF(K397=$K$51,AM397,(AM397*(1+AI397)))))))))))))))</f>
        <v>0</v>
      </c>
      <c r="AO397" s="166">
        <v>1.4</v>
      </c>
      <c r="AP397" s="160">
        <f t="shared" si="87"/>
        <v>0</v>
      </c>
      <c r="AQ397" s="167">
        <f t="shared" si="95"/>
        <v>0</v>
      </c>
      <c r="AR397" s="160">
        <f t="shared" si="88"/>
        <v>0</v>
      </c>
      <c r="AS397" s="168">
        <f t="shared" si="89"/>
        <v>0</v>
      </c>
      <c r="AT397" s="169" t="str">
        <f>K397</f>
        <v>MI</v>
      </c>
      <c r="AU397" s="169" t="str">
        <f>I397</f>
        <v>Mercadorias</v>
      </c>
      <c r="AV397" s="170"/>
      <c r="AW397" s="171">
        <f>IF(K397=$K$50,0,IF(K397=$K$53,0,IF(K397=$K$54,0,IF(K397=$K$55,0,IF(K397=$K$56,0,IF(K397=$K$57,0,IF(K397=$K$58,0,IF(K397=$K$65,0,IF(K397=$K$66,0,IF(K397=$K$67,0,IF(K397=$K$68,0,IF(K397=$K$69,0,IF(K397=$K$51,0,1))))))))))))*AM397*AI397)</f>
        <v>0</v>
      </c>
      <c r="AX397" s="172">
        <f>IF(K397=$K$50,0,IF(K397=$K$53,0,IF(K397=$K$54,0,IF(K397=$K$55,0,IF(K397=$K$56,0,IF(K397=$K$57,0,IF(K397=$K$58,0,IF(K397=$K$65,0,IF(K397=$K$66,0,IF(K397=$K$67,0,IF(K397=$K$68,0,IF(K397=$K$69,0,IF(K397=$K$51,0,1))))))))))))*AM397*AJ397*$AX$94)</f>
        <v>0</v>
      </c>
      <c r="AY397" s="172">
        <f>IF(K397=$K$53,0,IF(K397=$K$54,0,IF(K397=$K$55,0,IF(K397=$K$56,0,IF(K397=$K$58,0,IF(K397=$K$50,0,IF(K397=$K$65,0,IF(K397=$K$57,0,IF(K397=$K$51,0,AM397*$AY$102)))))))))</f>
        <v>0</v>
      </c>
      <c r="AZ397" s="172">
        <f>IF(K397=$K$53,0,IF(K397=$K$54,0,IF(K397=$K$55,0,IF(K397=$K$56,0,IF(K397=$K$58,0,IF(K397=$K$50,0,IF(K397=$K$65,0,IF(K397=$K$57,0,IF(K397=$K$51,0,AM397*$AZ$102)))))))))</f>
        <v>0</v>
      </c>
      <c r="BA397" s="172">
        <f t="shared" si="90"/>
        <v>0</v>
      </c>
      <c r="BB397" s="173">
        <f>IF($BA$97=1,AQ397*$BB$102,IF(K397=$K$50,0,IF(K397=$K$53,0,IF(K397=$K$54,0,IF(K397=$K$55,0,IF(K397=$K$56,0,IF(K397=$K$57,0,IF(K397=$K$58,0,IF(K397=$K$65,0,IF(K397=$K$66,0,IF(K397=$K$67,0,IF(K397=$K$68,0,IF(K397=$K$69,0,IF(K397=$K$51,0,1)))))))))))*AQ397*$BB$102)))</f>
        <v>0</v>
      </c>
      <c r="BC397" s="172">
        <f t="shared" si="91"/>
        <v>0</v>
      </c>
      <c r="BD397" s="172">
        <f t="shared" si="92"/>
        <v>0</v>
      </c>
      <c r="BE397" s="172">
        <f>IF($BE$95=I397,$BE$97,IF(I397=$BE$96,$BE$97,1))*($BE$102*AQ397)*$AZ$97</f>
        <v>0</v>
      </c>
      <c r="BF397" s="172">
        <f>IF('[1]Cockpit Retorno'!$C$65=Sim,Mestre!BA397,SUM(BB397:BE397)+(IF(K397=$K$56,AQ397*MOE_IRRF_LR,0)))</f>
        <v>0</v>
      </c>
      <c r="BG397" s="174">
        <f>IF(AA397&gt;0,0,IF(Z397=$Z$82,AG397*1,(IF(Z397=$Z$81,AG397*1,0))))</f>
        <v>0</v>
      </c>
      <c r="BH397" s="174">
        <f>IF(AA397&gt;0,0,IF(Z397=$Z$83,AG397*1,IF(Z397=$Z$81,AG397*1,0)))</f>
        <v>0</v>
      </c>
      <c r="BI397" s="174">
        <f>IF(AA397&gt;0,0,IF(Z397=$Z$84,AG397*1,IF(Z397=$Z$93,AG397*2,IF(Z397=$Z$100,AG397,IF(Z397=$Z$81,AG397*2,IF(Z397=$Z$80,AG397*1,IF(Z397=$Z$79,AG397*3,IF(Z397=$Z$78,AG397*2,0))))))))</f>
        <v>0</v>
      </c>
      <c r="BJ397" s="174">
        <f>IF(AA397&gt;0,0,IF(Z397=$Z$85,AG397,IF(Z397=$Z$93,AG397,IF(Z397=$Z$100,AG397,IF(Z397=$Z$81,AG397*1,IF(Z397=$Z$80,AG397*2,IF(Z397=$Z$79,AG397*2,IF(Z397=$Z$78,AG397*2,0))))))))</f>
        <v>0</v>
      </c>
      <c r="BK397" s="174">
        <f>IF(AA397&gt;0,0,IF(Z397=$Z$92,AG397,0))</f>
        <v>0</v>
      </c>
      <c r="BL397" s="174">
        <f>IF(AA397&gt;0,0,IF(Z397=$Z$91,AG397,0))</f>
        <v>0</v>
      </c>
      <c r="BM397" s="174">
        <f>IF(AA397&gt;0,0,IF(Z397=$Z$86,AG397,0))</f>
        <v>0</v>
      </c>
      <c r="BN397" s="174">
        <f>IF(AA397&gt;0,0,IF(Z397=$Z$87,AG397,0))</f>
        <v>0</v>
      </c>
      <c r="BO397" s="174">
        <f>IF(AA397&gt;0,0,IF(Z397=$Z$88,AG397,0))</f>
        <v>0</v>
      </c>
      <c r="BP397" s="174">
        <f>IF(AA397&gt;0,0,IF(Z397=$Z$89,AG397,0))</f>
        <v>0</v>
      </c>
      <c r="BQ397" s="174">
        <f>IF(AA397&gt;0,0,IF(Z397=$Z$90,AG397,0))</f>
        <v>0</v>
      </c>
      <c r="BR397" s="174">
        <f>IF(Z397=$Z$82,AA397*AG397,0)</f>
        <v>0</v>
      </c>
      <c r="BS397" s="174">
        <f>IF(Z397=$Z$83,AA397*AG397,0)</f>
        <v>0</v>
      </c>
      <c r="BT397" s="174">
        <f>IF(AA397&lt;1,0,IF(Z397=$Z$84,AA397*AG397,IF(Z397=$Z$93,"ERRO",IF(Z397=$Z$100,"ERRO",0))))</f>
        <v>0</v>
      </c>
      <c r="BU397" s="174">
        <f>IF(AA397&lt;1,0,IF(Z397=$Z$85,AA397*AG397,IF(Z397=$Z$93,"ERRO",IF(Z397=$Z$100,"ERRO",0))))</f>
        <v>0</v>
      </c>
      <c r="BV397" s="174">
        <f>IF(Z397=$Z$92,AA397*AG397,0)</f>
        <v>0</v>
      </c>
      <c r="BW397" s="174">
        <f>IF(Z397=$Z$91,AA397*AG397,0)</f>
        <v>0</v>
      </c>
      <c r="BX397" s="174">
        <f>IF(Z397=$Z$86,AA397*AG397,0)</f>
        <v>0</v>
      </c>
      <c r="BY397" s="174">
        <f>IF(Z397=$Z$87,AA397*AG397,0)</f>
        <v>0</v>
      </c>
      <c r="BZ397" s="174">
        <f>IF(Z397=$Z$88,AA397*AG397,0)</f>
        <v>0</v>
      </c>
      <c r="CA397" s="174">
        <f>IF(Z397=$Z$89,AA397*AG397,0)</f>
        <v>0</v>
      </c>
      <c r="CB397" s="174">
        <f>IF(Z397=$Z$90,AA397*AG397,0)</f>
        <v>0</v>
      </c>
      <c r="CC397" s="175">
        <f>IFERROR(IF(L397=$L$49,AG397*AH397*(1+AI397)*(1-AK397)*(1-AL397),0),0)</f>
        <v>25060.524000000005</v>
      </c>
      <c r="CD397" s="203">
        <f>IF(I397=$CD$97,1,IF(I397=$CD$100,2,IF(K397=$K$66,1,IF(K397=$K$69,1,3))))</f>
        <v>1</v>
      </c>
      <c r="CE397" s="203">
        <f t="shared" si="14"/>
        <v>1.07</v>
      </c>
      <c r="CF397" s="204">
        <f t="shared" si="75"/>
        <v>1.2353999999999998</v>
      </c>
      <c r="CG397" s="203">
        <f t="shared" si="15"/>
        <v>1.42</v>
      </c>
      <c r="CH397" s="204">
        <f t="shared" si="76"/>
        <v>1.5478000000000001</v>
      </c>
      <c r="CI397" s="203">
        <f t="shared" si="16"/>
        <v>1.7</v>
      </c>
      <c r="CJ397" s="205">
        <f t="shared" si="77"/>
        <v>1.0486</v>
      </c>
      <c r="CK397" s="205">
        <f t="shared" si="78"/>
        <v>1.148922</v>
      </c>
      <c r="CL397" s="205">
        <f t="shared" si="79"/>
        <v>1.3915999999999999</v>
      </c>
      <c r="CM397" s="205">
        <f t="shared" si="80"/>
        <v>1.501366</v>
      </c>
      <c r="CN397" s="206">
        <f t="shared" si="81"/>
        <v>1.6319999999999999</v>
      </c>
      <c r="CO397" s="204">
        <f t="shared" si="82"/>
        <v>1.006656</v>
      </c>
      <c r="CP397" s="207">
        <f t="shared" si="83"/>
        <v>0</v>
      </c>
      <c r="CQ397" s="208">
        <f t="shared" si="84"/>
        <v>0</v>
      </c>
      <c r="CR397" s="209">
        <f t="shared" si="93"/>
        <v>0</v>
      </c>
      <c r="CS397" s="49"/>
      <c r="CT397" s="49"/>
      <c r="CU397" s="49"/>
      <c r="CV397" s="49"/>
      <c r="CW397" s="49"/>
      <c r="CX397" s="49"/>
      <c r="CY397" s="49"/>
      <c r="CZ397" s="49"/>
      <c r="DA397" s="49"/>
      <c r="DB397" s="49"/>
      <c r="DC397" s="49"/>
      <c r="DD397" s="49"/>
      <c r="DE397" s="49"/>
      <c r="DF397" s="49"/>
      <c r="DG397" s="49"/>
      <c r="DH397" s="49"/>
      <c r="DI397" s="49"/>
      <c r="DJ397" s="49"/>
      <c r="DK397" s="49"/>
      <c r="DL397" s="49"/>
      <c r="DM397" s="49"/>
      <c r="DN397" s="49"/>
      <c r="DO397" s="49"/>
      <c r="DP397" s="49"/>
      <c r="DQ397" s="49"/>
      <c r="DR397" s="49"/>
      <c r="DS397" s="49"/>
      <c r="DT397" s="49"/>
      <c r="DU397" s="49"/>
      <c r="DV397" s="49"/>
      <c r="DW397" s="49"/>
      <c r="DX397" s="49"/>
      <c r="DY397" s="49"/>
      <c r="DZ397" s="49"/>
      <c r="EA397" s="49"/>
      <c r="EB397" s="49"/>
      <c r="EC397" s="49"/>
      <c r="ED397" s="49"/>
      <c r="EE397" s="49"/>
      <c r="EF397" s="49"/>
      <c r="EG397" s="49"/>
      <c r="EH397" s="49"/>
      <c r="EI397" s="49"/>
      <c r="EJ397" s="49"/>
      <c r="EK397" s="49"/>
      <c r="EL397" s="49"/>
      <c r="EM397" s="49"/>
      <c r="EN397" s="49"/>
      <c r="EO397" s="49"/>
      <c r="EP397" s="49"/>
      <c r="EQ397" s="49"/>
      <c r="ER397" s="49"/>
      <c r="ES397" s="49"/>
      <c r="ET397" s="49"/>
      <c r="EU397" s="49"/>
      <c r="EV397" s="49"/>
      <c r="EW397" s="49"/>
      <c r="EX397" s="49"/>
      <c r="EY397" s="49"/>
      <c r="EZ397" s="49"/>
      <c r="FA397" s="49"/>
    </row>
    <row r="398" spans="1:157" s="210" customFormat="1" ht="63.75" x14ac:dyDescent="0.25">
      <c r="A398" s="113">
        <f>IF(AND('[1]Cockpit Retorno'!$E$67=Sim,Mestre!M398=Mestre!$M$98),0,1)</f>
        <v>1</v>
      </c>
      <c r="B398" s="113">
        <f>IF(AND('[1]Cockpit Retorno'!$E$67=Sim,Mestre!L398=Mestre!$L$48),0,1)</f>
        <v>1</v>
      </c>
      <c r="C398" s="113">
        <f>IF(AND('[1]Cockpit Retorno'!$E$67=Sim,Mestre!M398=Mestre!$M$97),0,1)</f>
        <v>1</v>
      </c>
      <c r="D398" s="148" t="s">
        <v>7</v>
      </c>
      <c r="E398" s="115"/>
      <c r="F398" s="116" t="s">
        <v>107</v>
      </c>
      <c r="G398" s="149">
        <v>14</v>
      </c>
      <c r="H398" s="150" t="s">
        <v>7</v>
      </c>
      <c r="I398" s="151" t="str">
        <f>VLOOKUP(K398,$N$74:$O$95,2)</f>
        <v>Mercadorias</v>
      </c>
      <c r="J398" s="150" t="s">
        <v>15</v>
      </c>
      <c r="K398" s="152" t="s">
        <v>7</v>
      </c>
      <c r="L398" s="153" t="s">
        <v>21</v>
      </c>
      <c r="M398" s="154" t="s">
        <v>442</v>
      </c>
      <c r="N398" s="155" t="s">
        <v>342</v>
      </c>
      <c r="O398" s="155" t="s">
        <v>37</v>
      </c>
      <c r="P398" s="155" t="s">
        <v>43</v>
      </c>
      <c r="Q398" s="155" t="s">
        <v>43</v>
      </c>
      <c r="R398" s="155" t="s">
        <v>43</v>
      </c>
      <c r="S398" s="156" t="s">
        <v>43</v>
      </c>
      <c r="T398" s="156" t="s">
        <v>43</v>
      </c>
      <c r="U398" s="150" t="s">
        <v>43</v>
      </c>
      <c r="V398" s="150" t="s">
        <v>43</v>
      </c>
      <c r="W398" s="150" t="s">
        <v>43</v>
      </c>
      <c r="X398" s="157" t="s">
        <v>570</v>
      </c>
      <c r="Y398" s="150" t="s">
        <v>43</v>
      </c>
      <c r="Z398" s="150" t="s">
        <v>43</v>
      </c>
      <c r="AA398" s="158">
        <v>0</v>
      </c>
      <c r="AB398" s="155" t="s">
        <v>43</v>
      </c>
      <c r="AC398" s="150" t="s">
        <v>43</v>
      </c>
      <c r="AD398" s="155" t="s">
        <v>43</v>
      </c>
      <c r="AE398" s="155"/>
      <c r="AF398" s="150" t="s">
        <v>43</v>
      </c>
      <c r="AG398" s="159">
        <v>80</v>
      </c>
      <c r="AH398" s="211">
        <v>618.45000000000005</v>
      </c>
      <c r="AI398" s="202">
        <v>0</v>
      </c>
      <c r="AJ398" s="161">
        <v>0.12</v>
      </c>
      <c r="AK398" s="162"/>
      <c r="AL398" s="163"/>
      <c r="AM398" s="164">
        <f>(((IF(L398=$L$101,1,IF(L398=$L$47,1,0))*(AH398*(1-AK398)))*AG398)*(1-AL398))</f>
        <v>0</v>
      </c>
      <c r="AN398" s="165">
        <f>IF(K398=$K$50,AM398,IF(K398=$K$53,AM398,IF(K398=$K$54,AM398,IF(K398=$K$55,AM398,IF(K398=$K$56,AM398,IF(K398=$K$57,AM398,IF(K398=$K$58,AM398,IF(K398=$K$65,AM398,IF(K398=$K$66,AM398,IF(K398=$K$67,AM398,IF(K398=$K$68,AM398,IF(K398=$K$69,AM398,IF(K398=$K$51,AM398,(AM398*(1+AI398)))))))))))))))</f>
        <v>0</v>
      </c>
      <c r="AO398" s="166">
        <v>1.4</v>
      </c>
      <c r="AP398" s="160">
        <f>AM398*AO398</f>
        <v>0</v>
      </c>
      <c r="AQ398" s="167">
        <f>AP398*Fator_Venda</f>
        <v>0</v>
      </c>
      <c r="AR398" s="160">
        <f>AO398*AN398</f>
        <v>0</v>
      </c>
      <c r="AS398" s="168">
        <f>IFERROR(IF($AX$94=0,(CQ398/AN398),CQ398/AM398),0)</f>
        <v>0</v>
      </c>
      <c r="AT398" s="169" t="str">
        <f>K398</f>
        <v>MI</v>
      </c>
      <c r="AU398" s="169" t="str">
        <f>I398</f>
        <v>Mercadorias</v>
      </c>
      <c r="AV398" s="170"/>
      <c r="AW398" s="171">
        <f>IF(K398=$K$50,0,IF(K398=$K$53,0,IF(K398=$K$54,0,IF(K398=$K$55,0,IF(K398=$K$56,0,IF(K398=$K$57,0,IF(K398=$K$58,0,IF(K398=$K$65,0,IF(K398=$K$66,0,IF(K398=$K$67,0,IF(K398=$K$68,0,IF(K398=$K$69,0,IF(K398=$K$51,0,1))))))))))))*AM398*AI398)</f>
        <v>0</v>
      </c>
      <c r="AX398" s="172">
        <f>IF(K398=$K$50,0,IF(K398=$K$53,0,IF(K398=$K$54,0,IF(K398=$K$55,0,IF(K398=$K$56,0,IF(K398=$K$57,0,IF(K398=$K$58,0,IF(K398=$K$65,0,IF(K398=$K$66,0,IF(K398=$K$67,0,IF(K398=$K$68,0,IF(K398=$K$69,0,IF(K398=$K$51,0,1))))))))))))*AM398*AJ398*$AX$94)</f>
        <v>0</v>
      </c>
      <c r="AY398" s="172">
        <f>IF(K398=$K$53,0,IF(K398=$K$54,0,IF(K398=$K$55,0,IF(K398=$K$56,0,IF(K398=$K$58,0,IF(K398=$K$50,0,IF(K398=$K$65,0,IF(K398=$K$57,0,IF(K398=$K$51,0,AM398*$AY$102)))))))))</f>
        <v>0</v>
      </c>
      <c r="AZ398" s="172">
        <f>IF(K398=$K$53,0,IF(K398=$K$54,0,IF(K398=$K$55,0,IF(K398=$K$56,0,IF(K398=$K$58,0,IF(K398=$K$50,0,IF(K398=$K$65,0,IF(K398=$K$57,0,IF(K398=$K$51,0,AM398*$AZ$102)))))))))</f>
        <v>0</v>
      </c>
      <c r="BA398" s="172">
        <f>AZ398+AY398+AX398</f>
        <v>0</v>
      </c>
      <c r="BB398" s="173">
        <f>IF($BA$97=1,AQ398*$BB$102,IF(K398=$K$50,0,IF(K398=$K$53,0,IF(K398=$K$54,0,IF(K398=$K$55,0,IF(K398=$K$56,0,IF(K398=$K$57,0,IF(K398=$K$58,0,IF(K398=$K$65,0,IF(K398=$K$66,0,IF(K398=$K$67,0,IF(K398=$K$68,0,IF(K398=$K$69,0,IF(K398=$K$51,0,1)))))))))))*AQ398*$BB$102)))</f>
        <v>0</v>
      </c>
      <c r="BC398" s="172">
        <f>AQ398*$BC$102</f>
        <v>0</v>
      </c>
      <c r="BD398" s="172">
        <f>$BD$102*AQ398</f>
        <v>0</v>
      </c>
      <c r="BE398" s="172">
        <f>IF($BE$95=I398,$BE$97,IF(I398=$BE$96,$BE$97,1))*($BE$102*AQ398)*$AZ$97</f>
        <v>0</v>
      </c>
      <c r="BF398" s="172">
        <f>IF('[1]Cockpit Retorno'!$C$65=Sim,Mestre!BA398,SUM(BB398:BE398)+(IF(K398=$K$56,AQ398*MOE_IRRF_LR,0)))</f>
        <v>0</v>
      </c>
      <c r="BG398" s="174">
        <f>IF(AA398&gt;0,0,IF(Z398=$Z$82,AG398*1,(IF(Z398=$Z$81,AG398*1,0))))</f>
        <v>0</v>
      </c>
      <c r="BH398" s="174">
        <f>IF(AA398&gt;0,0,IF(Z398=$Z$83,AG398*1,IF(Z398=$Z$81,AG398*1,0)))</f>
        <v>0</v>
      </c>
      <c r="BI398" s="174">
        <f>IF(AA398&gt;0,0,IF(Z398=$Z$84,AG398*1,IF(Z398=$Z$93,AG398*2,IF(Z398=$Z$100,AG398,IF(Z398=$Z$81,AG398*2,IF(Z398=$Z$80,AG398*1,IF(Z398=$Z$79,AG398*3,IF(Z398=$Z$78,AG398*2,0))))))))</f>
        <v>0</v>
      </c>
      <c r="BJ398" s="174">
        <f>IF(AA398&gt;0,0,IF(Z398=$Z$85,AG398,IF(Z398=$Z$93,AG398,IF(Z398=$Z$100,AG398,IF(Z398=$Z$81,AG398*1,IF(Z398=$Z$80,AG398*2,IF(Z398=$Z$79,AG398*2,IF(Z398=$Z$78,AG398*2,0))))))))</f>
        <v>0</v>
      </c>
      <c r="BK398" s="174">
        <f>IF(AA398&gt;0,0,IF(Z398=$Z$92,AG398,0))</f>
        <v>0</v>
      </c>
      <c r="BL398" s="174">
        <f>IF(AA398&gt;0,0,IF(Z398=$Z$91,AG398,0))</f>
        <v>0</v>
      </c>
      <c r="BM398" s="174">
        <f>IF(AA398&gt;0,0,IF(Z398=$Z$86,AG398,0))</f>
        <v>0</v>
      </c>
      <c r="BN398" s="174">
        <f>IF(AA398&gt;0,0,IF(Z398=$Z$87,AG398,0))</f>
        <v>0</v>
      </c>
      <c r="BO398" s="174">
        <f>IF(AA398&gt;0,0,IF(Z398=$Z$88,AG398,0))</f>
        <v>0</v>
      </c>
      <c r="BP398" s="174">
        <f>IF(AA398&gt;0,0,IF(Z398=$Z$89,AG398,0))</f>
        <v>0</v>
      </c>
      <c r="BQ398" s="174">
        <f>IF(AA398&gt;0,0,IF(Z398=$Z$90,AG398,0))</f>
        <v>0</v>
      </c>
      <c r="BR398" s="174">
        <f>IF(Z398=$Z$82,AA398*AG398,0)</f>
        <v>0</v>
      </c>
      <c r="BS398" s="174">
        <f>IF(Z398=$Z$83,AA398*AG398,0)</f>
        <v>0</v>
      </c>
      <c r="BT398" s="174">
        <f>IF(AA398&lt;1,0,IF(Z398=$Z$84,AA398*AG398,IF(Z398=$Z$93,"ERRO",IF(Z398=$Z$100,"ERRO",0))))</f>
        <v>0</v>
      </c>
      <c r="BU398" s="174">
        <f>IF(AA398&lt;1,0,IF(Z398=$Z$85,AA398*AG398,IF(Z398=$Z$93,"ERRO",IF(Z398=$Z$100,"ERRO",0))))</f>
        <v>0</v>
      </c>
      <c r="BV398" s="174">
        <f>IF(Z398=$Z$92,AA398*AG398,0)</f>
        <v>0</v>
      </c>
      <c r="BW398" s="174">
        <f>IF(Z398=$Z$91,AA398*AG398,0)</f>
        <v>0</v>
      </c>
      <c r="BX398" s="174">
        <f>IF(Z398=$Z$86,AA398*AG398,0)</f>
        <v>0</v>
      </c>
      <c r="BY398" s="174">
        <f>IF(Z398=$Z$87,AA398*AG398,0)</f>
        <v>0</v>
      </c>
      <c r="BZ398" s="174">
        <f>IF(Z398=$Z$88,AA398*AG398,0)</f>
        <v>0</v>
      </c>
      <c r="CA398" s="174">
        <f>IF(Z398=$Z$89,AA398*AG398,0)</f>
        <v>0</v>
      </c>
      <c r="CB398" s="174">
        <f>IF(Z398=$Z$90,AA398*AG398,0)</f>
        <v>0</v>
      </c>
      <c r="CC398" s="175">
        <f>IFERROR(IF(L398=$L$49,AG398*AH398*(1+AI398)*(1-AK398)*(1-AL398),0),0)</f>
        <v>49476</v>
      </c>
      <c r="CD398" s="203">
        <f>IF(I398=$CD$97,1,IF(I398=$CD$100,2,IF(K398=$K$66,1,IF(K398=$K$69,1,3))))</f>
        <v>1</v>
      </c>
      <c r="CE398" s="203">
        <f t="shared" si="14"/>
        <v>1.07</v>
      </c>
      <c r="CF398" s="204">
        <f>CG398*0.87</f>
        <v>1.2353999999999998</v>
      </c>
      <c r="CG398" s="203">
        <f t="shared" si="15"/>
        <v>1.42</v>
      </c>
      <c r="CH398" s="204">
        <f>CG398*1.09</f>
        <v>1.5478000000000001</v>
      </c>
      <c r="CI398" s="203">
        <f t="shared" si="16"/>
        <v>1.7</v>
      </c>
      <c r="CJ398" s="205">
        <f>CE398*$CJ$102</f>
        <v>1.0486</v>
      </c>
      <c r="CK398" s="205">
        <f>CF398*$CK$102</f>
        <v>1.148922</v>
      </c>
      <c r="CL398" s="205">
        <f>CG398*$CL$102</f>
        <v>1.3915999999999999</v>
      </c>
      <c r="CM398" s="205">
        <f>CH398*$CM$102</f>
        <v>1.501366</v>
      </c>
      <c r="CN398" s="206">
        <f>CI398*$CN$102</f>
        <v>1.6319999999999999</v>
      </c>
      <c r="CO398" s="204">
        <f>CJ398*$CO$102</f>
        <v>1.006656</v>
      </c>
      <c r="CP398" s="207">
        <f>BF398-BA398</f>
        <v>0</v>
      </c>
      <c r="CQ398" s="208">
        <f>AQ398-CP398</f>
        <v>0</v>
      </c>
      <c r="CR398" s="209">
        <f>BC398+BD398</f>
        <v>0</v>
      </c>
      <c r="CS398" s="49"/>
      <c r="CT398" s="49"/>
      <c r="CU398" s="49"/>
      <c r="CV398" s="49"/>
      <c r="CW398" s="49"/>
      <c r="CX398" s="49"/>
      <c r="CY398" s="49"/>
      <c r="CZ398" s="49"/>
      <c r="DA398" s="49"/>
      <c r="DB398" s="49"/>
      <c r="DC398" s="49"/>
      <c r="DD398" s="49"/>
      <c r="DE398" s="49"/>
      <c r="DF398" s="49"/>
      <c r="DG398" s="49"/>
      <c r="DH398" s="49"/>
      <c r="DI398" s="49"/>
      <c r="DJ398" s="49"/>
      <c r="DK398" s="49"/>
      <c r="DL398" s="49"/>
      <c r="DM398" s="49"/>
      <c r="DN398" s="49"/>
      <c r="DO398" s="49"/>
      <c r="DP398" s="49"/>
      <c r="DQ398" s="49"/>
      <c r="DR398" s="49"/>
      <c r="DS398" s="49"/>
      <c r="DT398" s="49"/>
      <c r="DU398" s="49"/>
      <c r="DV398" s="49"/>
      <c r="DW398" s="49"/>
      <c r="DX398" s="49"/>
      <c r="DY398" s="49"/>
      <c r="DZ398" s="49"/>
      <c r="EA398" s="49"/>
      <c r="EB398" s="49"/>
      <c r="EC398" s="49"/>
      <c r="ED398" s="49"/>
      <c r="EE398" s="49"/>
      <c r="EF398" s="49"/>
      <c r="EG398" s="49"/>
      <c r="EH398" s="49"/>
      <c r="EI398" s="49"/>
      <c r="EJ398" s="49"/>
      <c r="EK398" s="49"/>
      <c r="EL398" s="49"/>
      <c r="EM398" s="49"/>
      <c r="EN398" s="49"/>
      <c r="EO398" s="49"/>
      <c r="EP398" s="49"/>
      <c r="EQ398" s="49"/>
      <c r="ER398" s="49"/>
      <c r="ES398" s="49"/>
      <c r="ET398" s="49"/>
      <c r="EU398" s="49"/>
      <c r="EV398" s="49"/>
      <c r="EW398" s="49"/>
      <c r="EX398" s="49"/>
      <c r="EY398" s="49"/>
      <c r="EZ398" s="49"/>
      <c r="FA398" s="49"/>
    </row>
    <row r="399" spans="1:157" s="210" customFormat="1" ht="25.5" x14ac:dyDescent="0.25">
      <c r="A399" s="113">
        <f>IF(AND('[1]Cockpit Retorno'!$E$67=Sim,Mestre!M399=Mestre!$M$98),0,1)</f>
        <v>1</v>
      </c>
      <c r="B399" s="113">
        <f>IF(AND('[1]Cockpit Retorno'!$E$67=Sim,Mestre!L399=Mestre!$L$48),0,1)</f>
        <v>1</v>
      </c>
      <c r="C399" s="113">
        <f>IF(AND('[1]Cockpit Retorno'!$E$67=Sim,Mestre!M399=Mestre!$M$97),0,1)</f>
        <v>1</v>
      </c>
      <c r="D399" s="148" t="s">
        <v>7</v>
      </c>
      <c r="E399" s="115"/>
      <c r="F399" s="116" t="s">
        <v>107</v>
      </c>
      <c r="G399" s="149">
        <v>14</v>
      </c>
      <c r="H399" s="150" t="s">
        <v>7</v>
      </c>
      <c r="I399" s="151" t="str">
        <f t="shared" si="86"/>
        <v>Mercadorias</v>
      </c>
      <c r="J399" s="150" t="s">
        <v>15</v>
      </c>
      <c r="K399" s="152" t="s">
        <v>7</v>
      </c>
      <c r="L399" s="153" t="s">
        <v>21</v>
      </c>
      <c r="M399" s="154" t="s">
        <v>571</v>
      </c>
      <c r="N399" s="155" t="s">
        <v>342</v>
      </c>
      <c r="O399" s="155" t="s">
        <v>37</v>
      </c>
      <c r="P399" s="155" t="s">
        <v>43</v>
      </c>
      <c r="Q399" s="155" t="s">
        <v>43</v>
      </c>
      <c r="R399" s="155" t="s">
        <v>43</v>
      </c>
      <c r="S399" s="156" t="s">
        <v>43</v>
      </c>
      <c r="T399" s="156" t="s">
        <v>43</v>
      </c>
      <c r="U399" s="150" t="s">
        <v>43</v>
      </c>
      <c r="V399" s="150" t="s">
        <v>43</v>
      </c>
      <c r="W399" s="150" t="s">
        <v>43</v>
      </c>
      <c r="X399" s="157" t="s">
        <v>572</v>
      </c>
      <c r="Y399" s="150" t="s">
        <v>43</v>
      </c>
      <c r="Z399" s="150" t="s">
        <v>43</v>
      </c>
      <c r="AA399" s="158">
        <v>0</v>
      </c>
      <c r="AB399" s="155" t="s">
        <v>43</v>
      </c>
      <c r="AC399" s="150" t="s">
        <v>43</v>
      </c>
      <c r="AD399" s="155" t="s">
        <v>43</v>
      </c>
      <c r="AE399" s="155"/>
      <c r="AF399" s="150" t="s">
        <v>43</v>
      </c>
      <c r="AG399" s="159">
        <v>210</v>
      </c>
      <c r="AH399" s="211">
        <v>105.49455</v>
      </c>
      <c r="AI399" s="202">
        <v>0</v>
      </c>
      <c r="AJ399" s="161">
        <v>0.12</v>
      </c>
      <c r="AK399" s="162"/>
      <c r="AL399" s="163"/>
      <c r="AM399" s="164">
        <f>(((IF(L399=$L$101,1,IF(L399=$L$47,1,0))*(AH399*(1-AK399)))*AG399)*(1-AL399))</f>
        <v>0</v>
      </c>
      <c r="AN399" s="165">
        <f>IF(K399=$K$50,AM399,IF(K399=$K$53,AM399,IF(K399=$K$54,AM399,IF(K399=$K$55,AM399,IF(K399=$K$56,AM399,IF(K399=$K$57,AM399,IF(K399=$K$58,AM399,IF(K399=$K$65,AM399,IF(K399=$K$66,AM399,IF(K399=$K$67,AM399,IF(K399=$K$68,AM399,IF(K399=$K$69,AM399,IF(K399=$K$51,AM399,(AM399*(1+AI399)))))))))))))))</f>
        <v>0</v>
      </c>
      <c r="AO399" s="166">
        <v>1.4</v>
      </c>
      <c r="AP399" s="160">
        <f t="shared" si="87"/>
        <v>0</v>
      </c>
      <c r="AQ399" s="167">
        <f t="shared" si="95"/>
        <v>0</v>
      </c>
      <c r="AR399" s="160">
        <f t="shared" si="88"/>
        <v>0</v>
      </c>
      <c r="AS399" s="168">
        <f t="shared" si="89"/>
        <v>0</v>
      </c>
      <c r="AT399" s="169" t="str">
        <f>K399</f>
        <v>MI</v>
      </c>
      <c r="AU399" s="169" t="str">
        <f>I399</f>
        <v>Mercadorias</v>
      </c>
      <c r="AV399" s="170"/>
      <c r="AW399" s="171">
        <f>IF(K399=$K$50,0,IF(K399=$K$53,0,IF(K399=$K$54,0,IF(K399=$K$55,0,IF(K399=$K$56,0,IF(K399=$K$57,0,IF(K399=$K$58,0,IF(K399=$K$65,0,IF(K399=$K$66,0,IF(K399=$K$67,0,IF(K399=$K$68,0,IF(K399=$K$69,0,IF(K399=$K$51,0,1))))))))))))*AM399*AI399)</f>
        <v>0</v>
      </c>
      <c r="AX399" s="172">
        <f>IF(K399=$K$50,0,IF(K399=$K$53,0,IF(K399=$K$54,0,IF(K399=$K$55,0,IF(K399=$K$56,0,IF(K399=$K$57,0,IF(K399=$K$58,0,IF(K399=$K$65,0,IF(K399=$K$66,0,IF(K399=$K$67,0,IF(K399=$K$68,0,IF(K399=$K$69,0,IF(K399=$K$51,0,1))))))))))))*AM399*AJ399*$AX$94)</f>
        <v>0</v>
      </c>
      <c r="AY399" s="172">
        <f>IF(K399=$K$53,0,IF(K399=$K$54,0,IF(K399=$K$55,0,IF(K399=$K$56,0,IF(K399=$K$58,0,IF(K399=$K$50,0,IF(K399=$K$65,0,IF(K399=$K$57,0,IF(K399=$K$51,0,AM399*$AY$102)))))))))</f>
        <v>0</v>
      </c>
      <c r="AZ399" s="172">
        <f>IF(K399=$K$53,0,IF(K399=$K$54,0,IF(K399=$K$55,0,IF(K399=$K$56,0,IF(K399=$K$58,0,IF(K399=$K$50,0,IF(K399=$K$65,0,IF(K399=$K$57,0,IF(K399=$K$51,0,AM399*$AZ$102)))))))))</f>
        <v>0</v>
      </c>
      <c r="BA399" s="172">
        <f t="shared" si="90"/>
        <v>0</v>
      </c>
      <c r="BB399" s="173">
        <f>IF($BA$97=1,AQ399*$BB$102,IF(K399=$K$50,0,IF(K399=$K$53,0,IF(K399=$K$54,0,IF(K399=$K$55,0,IF(K399=$K$56,0,IF(K399=$K$57,0,IF(K399=$K$58,0,IF(K399=$K$65,0,IF(K399=$K$66,0,IF(K399=$K$67,0,IF(K399=$K$68,0,IF(K399=$K$69,0,IF(K399=$K$51,0,1)))))))))))*AQ399*$BB$102)))</f>
        <v>0</v>
      </c>
      <c r="BC399" s="172">
        <f t="shared" si="91"/>
        <v>0</v>
      </c>
      <c r="BD399" s="172">
        <f t="shared" si="92"/>
        <v>0</v>
      </c>
      <c r="BE399" s="172">
        <f>IF($BE$95=I399,$BE$97,IF(I399=$BE$96,$BE$97,1))*($BE$102*AQ399)*$AZ$97</f>
        <v>0</v>
      </c>
      <c r="BF399" s="172">
        <f>IF('[1]Cockpit Retorno'!$C$65=Sim,Mestre!BA399,SUM(BB399:BE399)+(IF(K399=$K$56,AQ399*MOE_IRRF_LR,0)))</f>
        <v>0</v>
      </c>
      <c r="BG399" s="174">
        <f>IF(AA399&gt;0,0,IF(Z399=$Z$82,AG399*1,(IF(Z399=$Z$81,AG399*1,0))))</f>
        <v>0</v>
      </c>
      <c r="BH399" s="174">
        <f>IF(AA399&gt;0,0,IF(Z399=$Z$83,AG399*1,IF(Z399=$Z$81,AG399*1,0)))</f>
        <v>0</v>
      </c>
      <c r="BI399" s="174">
        <f>IF(AA399&gt;0,0,IF(Z399=$Z$84,AG399*1,IF(Z399=$Z$93,AG399*2,IF(Z399=$Z$100,AG399,IF(Z399=$Z$81,AG399*2,IF(Z399=$Z$80,AG399*1,IF(Z399=$Z$79,AG399*3,IF(Z399=$Z$78,AG399*2,0))))))))</f>
        <v>0</v>
      </c>
      <c r="BJ399" s="174">
        <f>IF(AA399&gt;0,0,IF(Z399=$Z$85,AG399,IF(Z399=$Z$93,AG399,IF(Z399=$Z$100,AG399,IF(Z399=$Z$81,AG399*1,IF(Z399=$Z$80,AG399*2,IF(Z399=$Z$79,AG399*2,IF(Z399=$Z$78,AG399*2,0))))))))</f>
        <v>0</v>
      </c>
      <c r="BK399" s="174">
        <f>IF(AA399&gt;0,0,IF(Z399=$Z$92,AG399,0))</f>
        <v>0</v>
      </c>
      <c r="BL399" s="174">
        <f>IF(AA399&gt;0,0,IF(Z399=$Z$91,AG399,0))</f>
        <v>0</v>
      </c>
      <c r="BM399" s="174">
        <f>IF(AA399&gt;0,0,IF(Z399=$Z$86,AG399,0))</f>
        <v>0</v>
      </c>
      <c r="BN399" s="174">
        <f>IF(AA399&gt;0,0,IF(Z399=$Z$87,AG399,0))</f>
        <v>0</v>
      </c>
      <c r="BO399" s="174">
        <f>IF(AA399&gt;0,0,IF(Z399=$Z$88,AG399,0))</f>
        <v>0</v>
      </c>
      <c r="BP399" s="174">
        <f>IF(AA399&gt;0,0,IF(Z399=$Z$89,AG399,0))</f>
        <v>0</v>
      </c>
      <c r="BQ399" s="174">
        <f>IF(AA399&gt;0,0,IF(Z399=$Z$90,AG399,0))</f>
        <v>0</v>
      </c>
      <c r="BR399" s="174">
        <f>IF(Z399=$Z$82,AA399*AG399,0)</f>
        <v>0</v>
      </c>
      <c r="BS399" s="174">
        <f>IF(Z399=$Z$83,AA399*AG399,0)</f>
        <v>0</v>
      </c>
      <c r="BT399" s="174">
        <f>IF(AA399&lt;1,0,IF(Z399=$Z$84,AA399*AG399,IF(Z399=$Z$93,"ERRO",IF(Z399=$Z$100,"ERRO",0))))</f>
        <v>0</v>
      </c>
      <c r="BU399" s="174">
        <f>IF(AA399&lt;1,0,IF(Z399=$Z$85,AA399*AG399,IF(Z399=$Z$93,"ERRO",IF(Z399=$Z$100,"ERRO",0))))</f>
        <v>0</v>
      </c>
      <c r="BV399" s="174">
        <f>IF(Z399=$Z$92,AA399*AG399,0)</f>
        <v>0</v>
      </c>
      <c r="BW399" s="174">
        <f>IF(Z399=$Z$91,AA399*AG399,0)</f>
        <v>0</v>
      </c>
      <c r="BX399" s="174">
        <f>IF(Z399=$Z$86,AA399*AG399,0)</f>
        <v>0</v>
      </c>
      <c r="BY399" s="174">
        <f>IF(Z399=$Z$87,AA399*AG399,0)</f>
        <v>0</v>
      </c>
      <c r="BZ399" s="174">
        <f>IF(Z399=$Z$88,AA399*AG399,0)</f>
        <v>0</v>
      </c>
      <c r="CA399" s="174">
        <f>IF(Z399=$Z$89,AA399*AG399,0)</f>
        <v>0</v>
      </c>
      <c r="CB399" s="174">
        <f>IF(Z399=$Z$90,AA399*AG399,0)</f>
        <v>0</v>
      </c>
      <c r="CC399" s="175">
        <f>IFERROR(IF(L399=$L$49,AG399*AH399*(1+AI399)*(1-AK399)*(1-AL399),0),0)</f>
        <v>22153.855500000001</v>
      </c>
      <c r="CD399" s="203">
        <f>IF(I399=$CD$97,1,IF(I399=$CD$100,2,IF(K399=$K$66,1,IF(K399=$K$69,1,3))))</f>
        <v>1</v>
      </c>
      <c r="CE399" s="203">
        <f t="shared" si="14"/>
        <v>1.07</v>
      </c>
      <c r="CF399" s="204">
        <f t="shared" si="75"/>
        <v>1.2353999999999998</v>
      </c>
      <c r="CG399" s="203">
        <f t="shared" si="15"/>
        <v>1.42</v>
      </c>
      <c r="CH399" s="204">
        <f t="shared" si="76"/>
        <v>1.5478000000000001</v>
      </c>
      <c r="CI399" s="203">
        <f t="shared" si="16"/>
        <v>1.7</v>
      </c>
      <c r="CJ399" s="205">
        <f t="shared" si="77"/>
        <v>1.0486</v>
      </c>
      <c r="CK399" s="205">
        <f t="shared" si="78"/>
        <v>1.148922</v>
      </c>
      <c r="CL399" s="205">
        <f t="shared" si="79"/>
        <v>1.3915999999999999</v>
      </c>
      <c r="CM399" s="205">
        <f t="shared" si="80"/>
        <v>1.501366</v>
      </c>
      <c r="CN399" s="206">
        <f t="shared" si="81"/>
        <v>1.6319999999999999</v>
      </c>
      <c r="CO399" s="204">
        <f t="shared" si="82"/>
        <v>1.006656</v>
      </c>
      <c r="CP399" s="207">
        <f t="shared" si="83"/>
        <v>0</v>
      </c>
      <c r="CQ399" s="208">
        <f t="shared" si="84"/>
        <v>0</v>
      </c>
      <c r="CR399" s="209">
        <f t="shared" si="93"/>
        <v>0</v>
      </c>
      <c r="CS399" s="49"/>
      <c r="CT399" s="49"/>
      <c r="CU399" s="49"/>
      <c r="CV399" s="49"/>
      <c r="CW399" s="49"/>
      <c r="CX399" s="49"/>
      <c r="CY399" s="49"/>
      <c r="CZ399" s="49"/>
      <c r="DA399" s="49"/>
      <c r="DB399" s="49"/>
      <c r="DC399" s="49"/>
      <c r="DD399" s="49"/>
      <c r="DE399" s="49"/>
      <c r="DF399" s="49"/>
      <c r="DG399" s="49"/>
      <c r="DH399" s="49"/>
      <c r="DI399" s="49"/>
      <c r="DJ399" s="49"/>
      <c r="DK399" s="49"/>
      <c r="DL399" s="49"/>
      <c r="DM399" s="49"/>
      <c r="DN399" s="49"/>
      <c r="DO399" s="49"/>
      <c r="DP399" s="49"/>
      <c r="DQ399" s="49"/>
      <c r="DR399" s="49"/>
      <c r="DS399" s="49"/>
      <c r="DT399" s="49"/>
      <c r="DU399" s="49"/>
      <c r="DV399" s="49"/>
      <c r="DW399" s="49"/>
      <c r="DX399" s="49"/>
      <c r="DY399" s="49"/>
      <c r="DZ399" s="49"/>
      <c r="EA399" s="49"/>
      <c r="EB399" s="49"/>
      <c r="EC399" s="49"/>
      <c r="ED399" s="49"/>
      <c r="EE399" s="49"/>
      <c r="EF399" s="49"/>
      <c r="EG399" s="49"/>
      <c r="EH399" s="49"/>
      <c r="EI399" s="49"/>
      <c r="EJ399" s="49"/>
      <c r="EK399" s="49"/>
      <c r="EL399" s="49"/>
      <c r="EM399" s="49"/>
      <c r="EN399" s="49"/>
      <c r="EO399" s="49"/>
      <c r="EP399" s="49"/>
      <c r="EQ399" s="49"/>
      <c r="ER399" s="49"/>
      <c r="ES399" s="49"/>
      <c r="ET399" s="49"/>
      <c r="EU399" s="49"/>
      <c r="EV399" s="49"/>
      <c r="EW399" s="49"/>
      <c r="EX399" s="49"/>
      <c r="EY399" s="49"/>
      <c r="EZ399" s="49"/>
      <c r="FA399" s="49"/>
    </row>
    <row r="400" spans="1:157" s="210" customFormat="1" ht="25.5" x14ac:dyDescent="0.25">
      <c r="A400" s="113">
        <f>IF(AND('[1]Cockpit Retorno'!$E$67=Sim,Mestre!M400=Mestre!$M$98),0,1)</f>
        <v>1</v>
      </c>
      <c r="B400" s="113">
        <f>IF(AND('[1]Cockpit Retorno'!$E$67=Sim,Mestre!L400=Mestre!$L$48),0,1)</f>
        <v>0</v>
      </c>
      <c r="C400" s="113">
        <f>IF(AND('[1]Cockpit Retorno'!$E$67=Sim,Mestre!M400=Mestre!$M$97),0,1)</f>
        <v>1</v>
      </c>
      <c r="D400" s="148" t="s">
        <v>7</v>
      </c>
      <c r="E400" s="115"/>
      <c r="F400" s="116" t="s">
        <v>107</v>
      </c>
      <c r="G400" s="149"/>
      <c r="H400" s="150" t="s">
        <v>7</v>
      </c>
      <c r="I400" s="151" t="str">
        <f t="shared" si="86"/>
        <v>Mercadorias</v>
      </c>
      <c r="J400" s="150" t="s">
        <v>15</v>
      </c>
      <c r="K400" s="152" t="s">
        <v>7</v>
      </c>
      <c r="L400" s="153" t="s">
        <v>15</v>
      </c>
      <c r="M400" s="154" t="s">
        <v>465</v>
      </c>
      <c r="N400" s="155" t="s">
        <v>342</v>
      </c>
      <c r="O400" s="155" t="s">
        <v>473</v>
      </c>
      <c r="P400" s="155" t="s">
        <v>43</v>
      </c>
      <c r="Q400" s="155" t="s">
        <v>43</v>
      </c>
      <c r="R400" s="155" t="s">
        <v>43</v>
      </c>
      <c r="S400" s="156" t="s">
        <v>43</v>
      </c>
      <c r="T400" s="156" t="s">
        <v>43</v>
      </c>
      <c r="U400" s="150" t="s">
        <v>43</v>
      </c>
      <c r="V400" s="150" t="s">
        <v>43</v>
      </c>
      <c r="W400" s="150" t="s">
        <v>43</v>
      </c>
      <c r="X400" s="157" t="s">
        <v>573</v>
      </c>
      <c r="Y400" s="150" t="s">
        <v>43</v>
      </c>
      <c r="Z400" s="150" t="s">
        <v>43</v>
      </c>
      <c r="AA400" s="158">
        <v>0</v>
      </c>
      <c r="AB400" s="155" t="s">
        <v>43</v>
      </c>
      <c r="AC400" s="150" t="s">
        <v>43</v>
      </c>
      <c r="AD400" s="155" t="s">
        <v>43</v>
      </c>
      <c r="AE400" s="155"/>
      <c r="AF400" s="150" t="s">
        <v>43</v>
      </c>
      <c r="AG400" s="159">
        <f>AG399+AG398</f>
        <v>290</v>
      </c>
      <c r="AH400" s="159">
        <v>85.243800000000022</v>
      </c>
      <c r="AI400" s="202">
        <v>0</v>
      </c>
      <c r="AJ400" s="161">
        <v>0.12</v>
      </c>
      <c r="AK400" s="162"/>
      <c r="AL400" s="163"/>
      <c r="AM400" s="164">
        <f>(((IF(L400=$L$101,1,IF(L400=$L$47,1,0))*(AH400*(1-AK400)))*AG400)*(1-AL400))</f>
        <v>24720.702000000005</v>
      </c>
      <c r="AN400" s="165">
        <f>IF(K400=$K$50,AM400,IF(K400=$K$53,AM400,IF(K400=$K$54,AM400,IF(K400=$K$55,AM400,IF(K400=$K$56,AM400,IF(K400=$K$57,AM400,IF(K400=$K$58,AM400,IF(K400=$K$65,AM400,IF(K400=$K$66,AM400,IF(K400=$K$67,AM400,IF(K400=$K$68,AM400,IF(K400=$K$69,AM400,IF(K400=$K$51,AM400,(AM400*(1+AI400)))))))))))))))</f>
        <v>24720.702000000005</v>
      </c>
      <c r="AO400" s="166">
        <v>1.4</v>
      </c>
      <c r="AP400" s="160">
        <f t="shared" si="87"/>
        <v>34608.982800000005</v>
      </c>
      <c r="AQ400" s="167">
        <f t="shared" si="95"/>
        <v>29987.483194730597</v>
      </c>
      <c r="AR400" s="160">
        <f t="shared" si="88"/>
        <v>34608.982800000005</v>
      </c>
      <c r="AS400" s="168">
        <f t="shared" si="89"/>
        <v>1.2612750638360888</v>
      </c>
      <c r="AT400" s="169" t="str">
        <f>K400</f>
        <v>MI</v>
      </c>
      <c r="AU400" s="169" t="str">
        <f>I400</f>
        <v>Mercadorias</v>
      </c>
      <c r="AV400" s="170"/>
      <c r="AW400" s="171">
        <f>IF(K400=$K$50,0,IF(K400=$K$53,0,IF(K400=$K$54,0,IF(K400=$K$55,0,IF(K400=$K$56,0,IF(K400=$K$57,0,IF(K400=$K$58,0,IF(K400=$K$65,0,IF(K400=$K$66,0,IF(K400=$K$67,0,IF(K400=$K$68,0,IF(K400=$K$69,0,IF(K400=$K$51,0,1))))))))))))*AM400*AI400)</f>
        <v>0</v>
      </c>
      <c r="AX400" s="172">
        <f>IF(K400=$K$50,0,IF(K400=$K$53,0,IF(K400=$K$54,0,IF(K400=$K$55,0,IF(K400=$K$56,0,IF(K400=$K$57,0,IF(K400=$K$58,0,IF(K400=$K$65,0,IF(K400=$K$66,0,IF(K400=$K$67,0,IF(K400=$K$68,0,IF(K400=$K$69,0,IF(K400=$K$51,0,1))))))))))))*AM400*AJ400*$AX$94)</f>
        <v>0</v>
      </c>
      <c r="AY400" s="172">
        <f>IF(K400=$K$53,0,IF(K400=$K$54,0,IF(K400=$K$55,0,IF(K400=$K$56,0,IF(K400=$K$58,0,IF(K400=$K$50,0,IF(K400=$K$65,0,IF(K400=$K$57,0,IF(K400=$K$51,0,AM400*$AY$102)))))))))</f>
        <v>407.89158300000008</v>
      </c>
      <c r="AZ400" s="172">
        <f>IF(K400=$K$53,0,IF(K400=$K$54,0,IF(K400=$K$55,0,IF(K400=$K$56,0,IF(K400=$K$58,0,IF(K400=$K$50,0,IF(K400=$K$65,0,IF(K400=$K$57,0,IF(K400=$K$51,0,AM400*$AZ$102)))))))))</f>
        <v>1878.7733520000004</v>
      </c>
      <c r="BA400" s="172">
        <f t="shared" si="90"/>
        <v>2286.6649350000007</v>
      </c>
      <c r="BB400" s="173">
        <f>IF($BA$97=1,AQ400*$BB$102,IF(K400=$K$50,0,IF(K400=$K$53,0,IF(K400=$K$54,0,IF(K400=$K$55,0,IF(K400=$K$56,0,IF(K400=$K$57,0,IF(K400=$K$58,0,IF(K400=$K$65,0,IF(K400=$K$66,0,IF(K400=$K$67,0,IF(K400=$K$68,0,IF(K400=$K$69,0,IF(K400=$K$51,0,1)))))))))))*AQ400*$BB$102)))</f>
        <v>0</v>
      </c>
      <c r="BC400" s="172">
        <f t="shared" si="91"/>
        <v>194.9186407657489</v>
      </c>
      <c r="BD400" s="172">
        <f t="shared" si="92"/>
        <v>899.62449584191791</v>
      </c>
      <c r="BE400" s="172">
        <f>IF($BE$95=I400,$BE$97,IF(I400=$BE$96,$BE$97,1))*($BE$102*AQ400)*$AZ$97</f>
        <v>0</v>
      </c>
      <c r="BF400" s="172">
        <f>IF('[1]Cockpit Retorno'!$C$65=Sim,Mestre!BA400,SUM(BB400:BE400)+(IF(K400=$K$56,AQ400*MOE_IRRF_LR,0)))</f>
        <v>1094.5431366076668</v>
      </c>
      <c r="BG400" s="174">
        <f>IF(AA400&gt;0,0,IF(Z400=$Z$82,AG400*1,(IF(Z400=$Z$81,AG400*1,0))))</f>
        <v>0</v>
      </c>
      <c r="BH400" s="174">
        <f>IF(AA400&gt;0,0,IF(Z400=$Z$83,AG400*1,IF(Z400=$Z$81,AG400*1,0)))</f>
        <v>0</v>
      </c>
      <c r="BI400" s="174">
        <f>IF(AA400&gt;0,0,IF(Z400=$Z$84,AG400*1,IF(Z400=$Z$93,AG400*2,IF(Z400=$Z$100,AG400,IF(Z400=$Z$81,AG400*2,IF(Z400=$Z$80,AG400*1,IF(Z400=$Z$79,AG400*3,IF(Z400=$Z$78,AG400*2,0))))))))</f>
        <v>0</v>
      </c>
      <c r="BJ400" s="174">
        <f>IF(AA400&gt;0,0,IF(Z400=$Z$85,AG400,IF(Z400=$Z$93,AG400,IF(Z400=$Z$100,AG400,IF(Z400=$Z$81,AG400*1,IF(Z400=$Z$80,AG400*2,IF(Z400=$Z$79,AG400*2,IF(Z400=$Z$78,AG400*2,0))))))))</f>
        <v>0</v>
      </c>
      <c r="BK400" s="174">
        <f>IF(AA400&gt;0,0,IF(Z400=$Z$92,AG400,0))</f>
        <v>0</v>
      </c>
      <c r="BL400" s="174">
        <f>IF(AA400&gt;0,0,IF(Z400=$Z$91,AG400,0))</f>
        <v>0</v>
      </c>
      <c r="BM400" s="174">
        <f>IF(AA400&gt;0,0,IF(Z400=$Z$86,AG400,0))</f>
        <v>0</v>
      </c>
      <c r="BN400" s="174">
        <f>IF(AA400&gt;0,0,IF(Z400=$Z$87,AG400,0))</f>
        <v>0</v>
      </c>
      <c r="BO400" s="174">
        <f>IF(AA400&gt;0,0,IF(Z400=$Z$88,AG400,0))</f>
        <v>0</v>
      </c>
      <c r="BP400" s="174">
        <f>IF(AA400&gt;0,0,IF(Z400=$Z$89,AG400,0))</f>
        <v>0</v>
      </c>
      <c r="BQ400" s="174">
        <f>IF(AA400&gt;0,0,IF(Z400=$Z$90,AG400,0))</f>
        <v>0</v>
      </c>
      <c r="BR400" s="174">
        <f>IF(Z400=$Z$82,AA400*AG400,0)</f>
        <v>0</v>
      </c>
      <c r="BS400" s="174">
        <f>IF(Z400=$Z$83,AA400*AG400,0)</f>
        <v>0</v>
      </c>
      <c r="BT400" s="174">
        <f>IF(AA400&lt;1,0,IF(Z400=$Z$84,AA400*AG400,IF(Z400=$Z$93,"ERRO",IF(Z400=$Z$100,"ERRO",0))))</f>
        <v>0</v>
      </c>
      <c r="BU400" s="174">
        <f>IF(AA400&lt;1,0,IF(Z400=$Z$85,AA400*AG400,IF(Z400=$Z$93,"ERRO",IF(Z400=$Z$100,"ERRO",0))))</f>
        <v>0</v>
      </c>
      <c r="BV400" s="174">
        <f>IF(Z400=$Z$92,AA400*AG400,0)</f>
        <v>0</v>
      </c>
      <c r="BW400" s="174">
        <f>IF(Z400=$Z$91,AA400*AG400,0)</f>
        <v>0</v>
      </c>
      <c r="BX400" s="174">
        <f>IF(Z400=$Z$86,AA400*AG400,0)</f>
        <v>0</v>
      </c>
      <c r="BY400" s="174">
        <f>IF(Z400=$Z$87,AA400*AG400,0)</f>
        <v>0</v>
      </c>
      <c r="BZ400" s="174">
        <f>IF(Z400=$Z$88,AA400*AG400,0)</f>
        <v>0</v>
      </c>
      <c r="CA400" s="174">
        <f>IF(Z400=$Z$89,AA400*AG400,0)</f>
        <v>0</v>
      </c>
      <c r="CB400" s="174">
        <f>IF(Z400=$Z$90,AA400*AG400,0)</f>
        <v>0</v>
      </c>
      <c r="CC400" s="175">
        <f>IFERROR(IF(L400=$L$49,AG400*AH400*(1+AI400)*(1-AK400)*(1-AL400),0),0)</f>
        <v>0</v>
      </c>
      <c r="CD400" s="203">
        <f>IF(I400=$CD$97,1,IF(I400=$CD$100,2,IF(K400=$K$66,1,IF(K400=$K$69,1,3))))</f>
        <v>1</v>
      </c>
      <c r="CE400" s="203">
        <f t="shared" si="14"/>
        <v>1.07</v>
      </c>
      <c r="CF400" s="204">
        <f t="shared" si="75"/>
        <v>1.2353999999999998</v>
      </c>
      <c r="CG400" s="203">
        <f t="shared" si="15"/>
        <v>1.42</v>
      </c>
      <c r="CH400" s="204">
        <f t="shared" si="76"/>
        <v>1.5478000000000001</v>
      </c>
      <c r="CI400" s="203">
        <f t="shared" si="16"/>
        <v>1.7</v>
      </c>
      <c r="CJ400" s="205">
        <f t="shared" si="77"/>
        <v>1.0486</v>
      </c>
      <c r="CK400" s="205">
        <f t="shared" si="78"/>
        <v>1.148922</v>
      </c>
      <c r="CL400" s="205">
        <f t="shared" si="79"/>
        <v>1.3915999999999999</v>
      </c>
      <c r="CM400" s="205">
        <f t="shared" si="80"/>
        <v>1.501366</v>
      </c>
      <c r="CN400" s="206">
        <f t="shared" si="81"/>
        <v>1.6319999999999999</v>
      </c>
      <c r="CO400" s="204">
        <f t="shared" si="82"/>
        <v>1.006656</v>
      </c>
      <c r="CP400" s="207">
        <f t="shared" si="83"/>
        <v>-1192.1217983923339</v>
      </c>
      <c r="CQ400" s="208">
        <f t="shared" si="84"/>
        <v>31179.604993122932</v>
      </c>
      <c r="CR400" s="209">
        <f t="shared" si="93"/>
        <v>1094.5431366076668</v>
      </c>
      <c r="CS400" s="49"/>
      <c r="CT400" s="49"/>
      <c r="CU400" s="49"/>
      <c r="CV400" s="49"/>
      <c r="CW400" s="49"/>
      <c r="CX400" s="49"/>
      <c r="CY400" s="49"/>
      <c r="CZ400" s="49"/>
      <c r="DA400" s="49"/>
      <c r="DB400" s="49"/>
      <c r="DC400" s="49"/>
      <c r="DD400" s="49"/>
      <c r="DE400" s="49"/>
      <c r="DF400" s="49"/>
      <c r="DG400" s="49"/>
      <c r="DH400" s="49"/>
      <c r="DI400" s="49"/>
      <c r="DJ400" s="49"/>
      <c r="DK400" s="49"/>
      <c r="DL400" s="49"/>
      <c r="DM400" s="49"/>
      <c r="DN400" s="49"/>
      <c r="DO400" s="49"/>
      <c r="DP400" s="49"/>
      <c r="DQ400" s="49"/>
      <c r="DR400" s="49"/>
      <c r="DS400" s="49"/>
      <c r="DT400" s="49"/>
      <c r="DU400" s="49"/>
      <c r="DV400" s="49"/>
      <c r="DW400" s="49"/>
      <c r="DX400" s="49"/>
      <c r="DY400" s="49"/>
      <c r="DZ400" s="49"/>
      <c r="EA400" s="49"/>
      <c r="EB400" s="49"/>
      <c r="EC400" s="49"/>
      <c r="ED400" s="49"/>
      <c r="EE400" s="49"/>
      <c r="EF400" s="49"/>
      <c r="EG400" s="49"/>
      <c r="EH400" s="49"/>
      <c r="EI400" s="49"/>
      <c r="EJ400" s="49"/>
      <c r="EK400" s="49"/>
      <c r="EL400" s="49"/>
      <c r="EM400" s="49"/>
      <c r="EN400" s="49"/>
      <c r="EO400" s="49"/>
      <c r="EP400" s="49"/>
      <c r="EQ400" s="49"/>
      <c r="ER400" s="49"/>
      <c r="ES400" s="49"/>
      <c r="ET400" s="49"/>
      <c r="EU400" s="49"/>
      <c r="EV400" s="49"/>
      <c r="EW400" s="49"/>
      <c r="EX400" s="49"/>
      <c r="EY400" s="49"/>
      <c r="EZ400" s="49"/>
      <c r="FA400" s="49"/>
    </row>
    <row r="401" spans="1:157" s="210" customFormat="1" ht="25.5" x14ac:dyDescent="0.25">
      <c r="A401" s="113">
        <f>IF(AND('[1]Cockpit Retorno'!$E$67=Sim,Mestre!M401=Mestre!$M$98),0,1)</f>
        <v>1</v>
      </c>
      <c r="B401" s="113">
        <f>IF(AND('[1]Cockpit Retorno'!$E$67=Sim,Mestre!L401=Mestre!$L$48),0,1)</f>
        <v>0</v>
      </c>
      <c r="C401" s="113">
        <f>IF(AND('[1]Cockpit Retorno'!$E$67=Sim,Mestre!M401=Mestre!$M$97),0,1)</f>
        <v>1</v>
      </c>
      <c r="D401" s="148" t="s">
        <v>7</v>
      </c>
      <c r="E401" s="115"/>
      <c r="F401" s="116" t="s">
        <v>107</v>
      </c>
      <c r="G401" s="149"/>
      <c r="H401" s="150" t="s">
        <v>7</v>
      </c>
      <c r="I401" s="151" t="str">
        <f t="shared" si="86"/>
        <v>Mercadorias</v>
      </c>
      <c r="J401" s="150" t="s">
        <v>15</v>
      </c>
      <c r="K401" s="152" t="s">
        <v>7</v>
      </c>
      <c r="L401" s="153" t="s">
        <v>15</v>
      </c>
      <c r="M401" s="154" t="s">
        <v>465</v>
      </c>
      <c r="N401" s="155" t="s">
        <v>370</v>
      </c>
      <c r="O401" s="155" t="s">
        <v>473</v>
      </c>
      <c r="P401" s="155" t="s">
        <v>43</v>
      </c>
      <c r="Q401" s="155" t="s">
        <v>43</v>
      </c>
      <c r="R401" s="155" t="s">
        <v>43</v>
      </c>
      <c r="S401" s="156" t="s">
        <v>43</v>
      </c>
      <c r="T401" s="156" t="s">
        <v>43</v>
      </c>
      <c r="U401" s="150" t="s">
        <v>43</v>
      </c>
      <c r="V401" s="150" t="s">
        <v>43</v>
      </c>
      <c r="W401" s="150" t="s">
        <v>43</v>
      </c>
      <c r="X401" s="157" t="s">
        <v>574</v>
      </c>
      <c r="Y401" s="150" t="s">
        <v>43</v>
      </c>
      <c r="Z401" s="150" t="s">
        <v>43</v>
      </c>
      <c r="AA401" s="158">
        <v>0</v>
      </c>
      <c r="AB401" s="155" t="s">
        <v>43</v>
      </c>
      <c r="AC401" s="150" t="s">
        <v>43</v>
      </c>
      <c r="AD401" s="155" t="s">
        <v>43</v>
      </c>
      <c r="AE401" s="155"/>
      <c r="AF401" s="150" t="s">
        <v>43</v>
      </c>
      <c r="AG401" s="159">
        <v>1</v>
      </c>
      <c r="AH401" s="159">
        <v>88350</v>
      </c>
      <c r="AI401" s="202">
        <v>0</v>
      </c>
      <c r="AJ401" s="161">
        <v>0.12</v>
      </c>
      <c r="AK401" s="162"/>
      <c r="AL401" s="163"/>
      <c r="AM401" s="164">
        <f>(((IF(L401=$L$101,1,IF(L401=$L$47,1,0))*(AH401*(1-AK401)))*AG401)*(1-AL401))</f>
        <v>88350</v>
      </c>
      <c r="AN401" s="165">
        <f>IF(K401=$K$50,AM401,IF(K401=$K$53,AM401,IF(K401=$K$54,AM401,IF(K401=$K$55,AM401,IF(K401=$K$56,AM401,IF(K401=$K$57,AM401,IF(K401=$K$58,AM401,IF(K401=$K$65,AM401,IF(K401=$K$66,AM401,IF(K401=$K$67,AM401,IF(K401=$K$68,AM401,IF(K401=$K$69,AM401,IF(K401=$K$51,AM401,(AM401*(1+AI401)))))))))))))))</f>
        <v>88350</v>
      </c>
      <c r="AO401" s="166">
        <v>1.4</v>
      </c>
      <c r="AP401" s="160">
        <f t="shared" si="87"/>
        <v>123689.99999999999</v>
      </c>
      <c r="AQ401" s="167">
        <f t="shared" si="95"/>
        <v>107173.09485201705</v>
      </c>
      <c r="AR401" s="160">
        <f t="shared" si="88"/>
        <v>123689.99999999999</v>
      </c>
      <c r="AS401" s="168">
        <f t="shared" si="89"/>
        <v>1.2612750638360886</v>
      </c>
      <c r="AT401" s="169" t="str">
        <f>K401</f>
        <v>MI</v>
      </c>
      <c r="AU401" s="169" t="str">
        <f>I401</f>
        <v>Mercadorias</v>
      </c>
      <c r="AV401" s="170"/>
      <c r="AW401" s="171">
        <f>IF(K401=$K$50,0,IF(K401=$K$53,0,IF(K401=$K$54,0,IF(K401=$K$55,0,IF(K401=$K$56,0,IF(K401=$K$57,0,IF(K401=$K$58,0,IF(K401=$K$65,0,IF(K401=$K$66,0,IF(K401=$K$67,0,IF(K401=$K$68,0,IF(K401=$K$69,0,IF(K401=$K$51,0,1))))))))))))*AM401*AI401)</f>
        <v>0</v>
      </c>
      <c r="AX401" s="172">
        <f>IF(K401=$K$50,0,IF(K401=$K$53,0,IF(K401=$K$54,0,IF(K401=$K$55,0,IF(K401=$K$56,0,IF(K401=$K$57,0,IF(K401=$K$58,0,IF(K401=$K$65,0,IF(K401=$K$66,0,IF(K401=$K$67,0,IF(K401=$K$68,0,IF(K401=$K$69,0,IF(K401=$K$51,0,1))))))))))))*AM401*AJ401*$AX$94)</f>
        <v>0</v>
      </c>
      <c r="AY401" s="172">
        <f>IF(K401=$K$53,0,IF(K401=$K$54,0,IF(K401=$K$55,0,IF(K401=$K$56,0,IF(K401=$K$58,0,IF(K401=$K$50,0,IF(K401=$K$65,0,IF(K401=$K$57,0,IF(K401=$K$51,0,AM401*$AY$102)))))))))</f>
        <v>1457.7750000000001</v>
      </c>
      <c r="AZ401" s="172">
        <f>IF(K401=$K$53,0,IF(K401=$K$54,0,IF(K401=$K$55,0,IF(K401=$K$56,0,IF(K401=$K$58,0,IF(K401=$K$50,0,IF(K401=$K$65,0,IF(K401=$K$57,0,IF(K401=$K$51,0,AM401*$AZ$102)))))))))</f>
        <v>6714.5999999999995</v>
      </c>
      <c r="BA401" s="172">
        <f t="shared" si="90"/>
        <v>8172.375</v>
      </c>
      <c r="BB401" s="173">
        <f>IF($BA$97=1,AQ401*$BB$102,IF(K401=$K$50,0,IF(K401=$K$53,0,IF(K401=$K$54,0,IF(K401=$K$55,0,IF(K401=$K$56,0,IF(K401=$K$57,0,IF(K401=$K$58,0,IF(K401=$K$65,0,IF(K401=$K$66,0,IF(K401=$K$67,0,IF(K401=$K$68,0,IF(K401=$K$69,0,IF(K401=$K$51,0,1)))))))))))*AQ401*$BB$102)))</f>
        <v>0</v>
      </c>
      <c r="BC401" s="172">
        <f t="shared" si="91"/>
        <v>696.62511653811089</v>
      </c>
      <c r="BD401" s="172">
        <f t="shared" si="92"/>
        <v>3215.1928455605112</v>
      </c>
      <c r="BE401" s="172">
        <f>IF($BE$95=I401,$BE$97,IF(I401=$BE$96,$BE$97,1))*($BE$102*AQ401)*$AZ$97</f>
        <v>0</v>
      </c>
      <c r="BF401" s="172">
        <f>IF('[1]Cockpit Retorno'!$C$65=Sim,Mestre!BA401,SUM(BB401:BE401)+(IF(K401=$K$56,AQ401*MOE_IRRF_LR,0)))</f>
        <v>3911.817962098622</v>
      </c>
      <c r="BG401" s="174">
        <f>IF(AA401&gt;0,0,IF(Z401=$Z$82,AG401*1,(IF(Z401=$Z$81,AG401*1,0))))</f>
        <v>0</v>
      </c>
      <c r="BH401" s="174">
        <f>IF(AA401&gt;0,0,IF(Z401=$Z$83,AG401*1,IF(Z401=$Z$81,AG401*1,0)))</f>
        <v>0</v>
      </c>
      <c r="BI401" s="174">
        <f>IF(AA401&gt;0,0,IF(Z401=$Z$84,AG401*1,IF(Z401=$Z$93,AG401*2,IF(Z401=$Z$100,AG401,IF(Z401=$Z$81,AG401*2,IF(Z401=$Z$80,AG401*1,IF(Z401=$Z$79,AG401*3,IF(Z401=$Z$78,AG401*2,0))))))))</f>
        <v>0</v>
      </c>
      <c r="BJ401" s="174">
        <f>IF(AA401&gt;0,0,IF(Z401=$Z$85,AG401,IF(Z401=$Z$93,AG401,IF(Z401=$Z$100,AG401,IF(Z401=$Z$81,AG401*1,IF(Z401=$Z$80,AG401*2,IF(Z401=$Z$79,AG401*2,IF(Z401=$Z$78,AG401*2,0))))))))</f>
        <v>0</v>
      </c>
      <c r="BK401" s="174">
        <f>IF(AA401&gt;0,0,IF(Z401=$Z$92,AG401,0))</f>
        <v>0</v>
      </c>
      <c r="BL401" s="174">
        <f>IF(AA401&gt;0,0,IF(Z401=$Z$91,AG401,0))</f>
        <v>0</v>
      </c>
      <c r="BM401" s="174">
        <f>IF(AA401&gt;0,0,IF(Z401=$Z$86,AG401,0))</f>
        <v>0</v>
      </c>
      <c r="BN401" s="174">
        <f>IF(AA401&gt;0,0,IF(Z401=$Z$87,AG401,0))</f>
        <v>0</v>
      </c>
      <c r="BO401" s="174">
        <f>IF(AA401&gt;0,0,IF(Z401=$Z$88,AG401,0))</f>
        <v>0</v>
      </c>
      <c r="BP401" s="174">
        <f>IF(AA401&gt;0,0,IF(Z401=$Z$89,AG401,0))</f>
        <v>0</v>
      </c>
      <c r="BQ401" s="174">
        <f>IF(AA401&gt;0,0,IF(Z401=$Z$90,AG401,0))</f>
        <v>0</v>
      </c>
      <c r="BR401" s="174">
        <f>IF(Z401=$Z$82,AA401*AG401,0)</f>
        <v>0</v>
      </c>
      <c r="BS401" s="174">
        <f>IF(Z401=$Z$83,AA401*AG401,0)</f>
        <v>0</v>
      </c>
      <c r="BT401" s="174">
        <f>IF(AA401&lt;1,0,IF(Z401=$Z$84,AA401*AG401,IF(Z401=$Z$93,"ERRO",IF(Z401=$Z$100,"ERRO",0))))</f>
        <v>0</v>
      </c>
      <c r="BU401" s="174">
        <f>IF(AA401&lt;1,0,IF(Z401=$Z$85,AA401*AG401,IF(Z401=$Z$93,"ERRO",IF(Z401=$Z$100,"ERRO",0))))</f>
        <v>0</v>
      </c>
      <c r="BV401" s="174">
        <f>IF(Z401=$Z$92,AA401*AG401,0)</f>
        <v>0</v>
      </c>
      <c r="BW401" s="174">
        <f>IF(Z401=$Z$91,AA401*AG401,0)</f>
        <v>0</v>
      </c>
      <c r="BX401" s="174">
        <f>IF(Z401=$Z$86,AA401*AG401,0)</f>
        <v>0</v>
      </c>
      <c r="BY401" s="174">
        <f>IF(Z401=$Z$87,AA401*AG401,0)</f>
        <v>0</v>
      </c>
      <c r="BZ401" s="174">
        <f>IF(Z401=$Z$88,AA401*AG401,0)</f>
        <v>0</v>
      </c>
      <c r="CA401" s="174">
        <f>IF(Z401=$Z$89,AA401*AG401,0)</f>
        <v>0</v>
      </c>
      <c r="CB401" s="174">
        <f>IF(Z401=$Z$90,AA401*AG401,0)</f>
        <v>0</v>
      </c>
      <c r="CC401" s="175">
        <f>IFERROR(IF(L401=$L$49,AG401*AH401*(1+AI401)*(1-AK401)*(1-AL401),0),0)</f>
        <v>0</v>
      </c>
      <c r="CD401" s="203">
        <f>IF(I401=$CD$97,1,IF(I401=$CD$100,2,IF(K401=$K$66,1,IF(K401=$K$69,1,3))))</f>
        <v>1</v>
      </c>
      <c r="CE401" s="203">
        <f t="shared" si="14"/>
        <v>1.07</v>
      </c>
      <c r="CF401" s="204">
        <f t="shared" si="75"/>
        <v>1.2353999999999998</v>
      </c>
      <c r="CG401" s="203">
        <f t="shared" si="15"/>
        <v>1.42</v>
      </c>
      <c r="CH401" s="204">
        <f t="shared" si="76"/>
        <v>1.5478000000000001</v>
      </c>
      <c r="CI401" s="203">
        <f t="shared" si="16"/>
        <v>1.7</v>
      </c>
      <c r="CJ401" s="205">
        <f t="shared" si="77"/>
        <v>1.0486</v>
      </c>
      <c r="CK401" s="205">
        <f t="shared" si="78"/>
        <v>1.148922</v>
      </c>
      <c r="CL401" s="205">
        <f t="shared" si="79"/>
        <v>1.3915999999999999</v>
      </c>
      <c r="CM401" s="205">
        <f t="shared" si="80"/>
        <v>1.501366</v>
      </c>
      <c r="CN401" s="206">
        <f t="shared" si="81"/>
        <v>1.6319999999999999</v>
      </c>
      <c r="CO401" s="204">
        <f t="shared" si="82"/>
        <v>1.006656</v>
      </c>
      <c r="CP401" s="207">
        <f t="shared" si="83"/>
        <v>-4260.557037901378</v>
      </c>
      <c r="CQ401" s="208">
        <f t="shared" si="84"/>
        <v>111433.65188991843</v>
      </c>
      <c r="CR401" s="209">
        <f t="shared" si="93"/>
        <v>3911.817962098622</v>
      </c>
      <c r="CS401" s="49"/>
      <c r="CT401" s="49"/>
      <c r="CU401" s="49"/>
      <c r="CV401" s="49"/>
      <c r="CW401" s="49"/>
      <c r="CX401" s="49"/>
      <c r="CY401" s="49"/>
      <c r="CZ401" s="49"/>
      <c r="DA401" s="49"/>
      <c r="DB401" s="49"/>
      <c r="DC401" s="49"/>
      <c r="DD401" s="49"/>
      <c r="DE401" s="49"/>
      <c r="DF401" s="49"/>
      <c r="DG401" s="49"/>
      <c r="DH401" s="49"/>
      <c r="DI401" s="49"/>
      <c r="DJ401" s="49"/>
      <c r="DK401" s="49"/>
      <c r="DL401" s="49"/>
      <c r="DM401" s="49"/>
      <c r="DN401" s="49"/>
      <c r="DO401" s="49"/>
      <c r="DP401" s="49"/>
      <c r="DQ401" s="49"/>
      <c r="DR401" s="49"/>
      <c r="DS401" s="49"/>
      <c r="DT401" s="49"/>
      <c r="DU401" s="49"/>
      <c r="DV401" s="49"/>
      <c r="DW401" s="49"/>
      <c r="DX401" s="49"/>
      <c r="DY401" s="49"/>
      <c r="DZ401" s="49"/>
      <c r="EA401" s="49"/>
      <c r="EB401" s="49"/>
      <c r="EC401" s="49"/>
      <c r="ED401" s="49"/>
      <c r="EE401" s="49"/>
      <c r="EF401" s="49"/>
      <c r="EG401" s="49"/>
      <c r="EH401" s="49"/>
      <c r="EI401" s="49"/>
      <c r="EJ401" s="49"/>
      <c r="EK401" s="49"/>
      <c r="EL401" s="49"/>
      <c r="EM401" s="49"/>
      <c r="EN401" s="49"/>
      <c r="EO401" s="49"/>
      <c r="EP401" s="49"/>
      <c r="EQ401" s="49"/>
      <c r="ER401" s="49"/>
      <c r="ES401" s="49"/>
      <c r="ET401" s="49"/>
      <c r="EU401" s="49"/>
      <c r="EV401" s="49"/>
      <c r="EW401" s="49"/>
      <c r="EX401" s="49"/>
      <c r="EY401" s="49"/>
      <c r="EZ401" s="49"/>
      <c r="FA401" s="49"/>
    </row>
    <row r="402" spans="1:157" s="210" customFormat="1" x14ac:dyDescent="0.25">
      <c r="A402" s="113">
        <f>IF(AND('[1]Cockpit Retorno'!$E$67=Sim,Mestre!M402=Mestre!$M$98),0,1)</f>
        <v>1</v>
      </c>
      <c r="B402" s="113">
        <f>IF(AND('[1]Cockpit Retorno'!$E$67=Sim,Mestre!L402=Mestre!$L$48),0,1)</f>
        <v>0</v>
      </c>
      <c r="C402" s="113">
        <f>IF(AND('[1]Cockpit Retorno'!$E$67=Sim,Mestre!M402=Mestre!$M$97),0,1)</f>
        <v>1</v>
      </c>
      <c r="D402" s="148" t="s">
        <v>7</v>
      </c>
      <c r="E402" s="115"/>
      <c r="F402" s="116" t="s">
        <v>107</v>
      </c>
      <c r="G402" s="149"/>
      <c r="H402" s="150" t="s">
        <v>7</v>
      </c>
      <c r="I402" s="151" t="str">
        <f t="shared" si="86"/>
        <v>Mercadorias</v>
      </c>
      <c r="J402" s="150" t="s">
        <v>15</v>
      </c>
      <c r="K402" s="152" t="s">
        <v>7</v>
      </c>
      <c r="L402" s="153" t="s">
        <v>15</v>
      </c>
      <c r="M402" s="154" t="s">
        <v>465</v>
      </c>
      <c r="N402" s="155" t="s">
        <v>575</v>
      </c>
      <c r="O402" s="155" t="s">
        <v>473</v>
      </c>
      <c r="P402" s="155" t="s">
        <v>43</v>
      </c>
      <c r="Q402" s="155" t="s">
        <v>43</v>
      </c>
      <c r="R402" s="155" t="s">
        <v>43</v>
      </c>
      <c r="S402" s="156" t="s">
        <v>43</v>
      </c>
      <c r="T402" s="156" t="s">
        <v>43</v>
      </c>
      <c r="U402" s="150" t="s">
        <v>43</v>
      </c>
      <c r="V402" s="150" t="s">
        <v>43</v>
      </c>
      <c r="W402" s="150" t="s">
        <v>43</v>
      </c>
      <c r="X402" s="157" t="s">
        <v>576</v>
      </c>
      <c r="Y402" s="150" t="s">
        <v>43</v>
      </c>
      <c r="Z402" s="150" t="s">
        <v>43</v>
      </c>
      <c r="AA402" s="158">
        <v>0</v>
      </c>
      <c r="AB402" s="155" t="s">
        <v>43</v>
      </c>
      <c r="AC402" s="150" t="s">
        <v>43</v>
      </c>
      <c r="AD402" s="155" t="s">
        <v>43</v>
      </c>
      <c r="AE402" s="155"/>
      <c r="AF402" s="150" t="s">
        <v>43</v>
      </c>
      <c r="AG402" s="159">
        <v>1</v>
      </c>
      <c r="AH402" s="159">
        <v>46500</v>
      </c>
      <c r="AI402" s="202">
        <v>0</v>
      </c>
      <c r="AJ402" s="161">
        <v>0.12</v>
      </c>
      <c r="AK402" s="162"/>
      <c r="AL402" s="163"/>
      <c r="AM402" s="164">
        <f>(((IF(L402=$L$101,1,IF(L402=$L$47,1,0))*(AH402*(1-AK402)))*AG402)*(1-AL402))</f>
        <v>46500</v>
      </c>
      <c r="AN402" s="165">
        <f>IF(K402=$K$50,AM402,IF(K402=$K$53,AM402,IF(K402=$K$54,AM402,IF(K402=$K$55,AM402,IF(K402=$K$56,AM402,IF(K402=$K$57,AM402,IF(K402=$K$58,AM402,IF(K402=$K$65,AM402,IF(K402=$K$66,AM402,IF(K402=$K$67,AM402,IF(K402=$K$68,AM402,IF(K402=$K$69,AM402,IF(K402=$K$51,AM402,(AM402*(1+AI402)))))))))))))))</f>
        <v>46500</v>
      </c>
      <c r="AO402" s="166">
        <v>1.4</v>
      </c>
      <c r="AP402" s="160">
        <f t="shared" si="87"/>
        <v>65099.999999999993</v>
      </c>
      <c r="AQ402" s="167">
        <f t="shared" si="95"/>
        <v>56406.892027377391</v>
      </c>
      <c r="AR402" s="160">
        <f t="shared" si="88"/>
        <v>65099.999999999993</v>
      </c>
      <c r="AS402" s="168">
        <f t="shared" si="89"/>
        <v>1.2612750638360886</v>
      </c>
      <c r="AT402" s="169" t="str">
        <f>K402</f>
        <v>MI</v>
      </c>
      <c r="AU402" s="169" t="str">
        <f>I402</f>
        <v>Mercadorias</v>
      </c>
      <c r="AV402" s="170"/>
      <c r="AW402" s="171">
        <f>IF(K402=$K$50,0,IF(K402=$K$53,0,IF(K402=$K$54,0,IF(K402=$K$55,0,IF(K402=$K$56,0,IF(K402=$K$57,0,IF(K402=$K$58,0,IF(K402=$K$65,0,IF(K402=$K$66,0,IF(K402=$K$67,0,IF(K402=$K$68,0,IF(K402=$K$69,0,IF(K402=$K$51,0,1))))))))))))*AM402*AI402)</f>
        <v>0</v>
      </c>
      <c r="AX402" s="172">
        <f>IF(K402=$K$50,0,IF(K402=$K$53,0,IF(K402=$K$54,0,IF(K402=$K$55,0,IF(K402=$K$56,0,IF(K402=$K$57,0,IF(K402=$K$58,0,IF(K402=$K$65,0,IF(K402=$K$66,0,IF(K402=$K$67,0,IF(K402=$K$68,0,IF(K402=$K$69,0,IF(K402=$K$51,0,1))))))))))))*AM402*AJ402*$AX$94)</f>
        <v>0</v>
      </c>
      <c r="AY402" s="172">
        <f>IF(K402=$K$53,0,IF(K402=$K$54,0,IF(K402=$K$55,0,IF(K402=$K$56,0,IF(K402=$K$58,0,IF(K402=$K$50,0,IF(K402=$K$65,0,IF(K402=$K$57,0,IF(K402=$K$51,0,AM402*$AY$102)))))))))</f>
        <v>767.25</v>
      </c>
      <c r="AZ402" s="172">
        <f>IF(K402=$K$53,0,IF(K402=$K$54,0,IF(K402=$K$55,0,IF(K402=$K$56,0,IF(K402=$K$58,0,IF(K402=$K$50,0,IF(K402=$K$65,0,IF(K402=$K$57,0,IF(K402=$K$51,0,AM402*$AZ$102)))))))))</f>
        <v>3534</v>
      </c>
      <c r="BA402" s="172">
        <f t="shared" si="90"/>
        <v>4301.25</v>
      </c>
      <c r="BB402" s="173">
        <f>IF($BA$97=1,AQ402*$BB$102,IF(K402=$K$50,0,IF(K402=$K$53,0,IF(K402=$K$54,0,IF(K402=$K$55,0,IF(K402=$K$56,0,IF(K402=$K$57,0,IF(K402=$K$58,0,IF(K402=$K$65,0,IF(K402=$K$66,0,IF(K402=$K$67,0,IF(K402=$K$68,0,IF(K402=$K$69,0,IF(K402=$K$51,0,1)))))))))))*AQ402*$BB$102)))</f>
        <v>0</v>
      </c>
      <c r="BC402" s="172">
        <f t="shared" si="91"/>
        <v>366.64479817795308</v>
      </c>
      <c r="BD402" s="172">
        <f t="shared" si="92"/>
        <v>1692.2067608213217</v>
      </c>
      <c r="BE402" s="172">
        <f>IF($BE$95=I402,$BE$97,IF(I402=$BE$96,$BE$97,1))*($BE$102*AQ402)*$AZ$97</f>
        <v>0</v>
      </c>
      <c r="BF402" s="172">
        <f>IF('[1]Cockpit Retorno'!$C$65=Sim,Mestre!BA402,SUM(BB402:BE402)+(IF(K402=$K$56,AQ402*MOE_IRRF_LR,0)))</f>
        <v>2058.8515589992749</v>
      </c>
      <c r="BG402" s="174">
        <f>IF(AA402&gt;0,0,IF(Z402=$Z$82,AG402*1,(IF(Z402=$Z$81,AG402*1,0))))</f>
        <v>0</v>
      </c>
      <c r="BH402" s="174">
        <f>IF(AA402&gt;0,0,IF(Z402=$Z$83,AG402*1,IF(Z402=$Z$81,AG402*1,0)))</f>
        <v>0</v>
      </c>
      <c r="BI402" s="174">
        <f>IF(AA402&gt;0,0,IF(Z402=$Z$84,AG402*1,IF(Z402=$Z$93,AG402*2,IF(Z402=$Z$100,AG402,IF(Z402=$Z$81,AG402*2,IF(Z402=$Z$80,AG402*1,IF(Z402=$Z$79,AG402*3,IF(Z402=$Z$78,AG402*2,0))))))))</f>
        <v>0</v>
      </c>
      <c r="BJ402" s="174">
        <f>IF(AA402&gt;0,0,IF(Z402=$Z$85,AG402,IF(Z402=$Z$93,AG402,IF(Z402=$Z$100,AG402,IF(Z402=$Z$81,AG402*1,IF(Z402=$Z$80,AG402*2,IF(Z402=$Z$79,AG402*2,IF(Z402=$Z$78,AG402*2,0))))))))</f>
        <v>0</v>
      </c>
      <c r="BK402" s="174">
        <f>IF(AA402&gt;0,0,IF(Z402=$Z$92,AG402,0))</f>
        <v>0</v>
      </c>
      <c r="BL402" s="174">
        <f>IF(AA402&gt;0,0,IF(Z402=$Z$91,AG402,0))</f>
        <v>0</v>
      </c>
      <c r="BM402" s="174">
        <f>IF(AA402&gt;0,0,IF(Z402=$Z$86,AG402,0))</f>
        <v>0</v>
      </c>
      <c r="BN402" s="174">
        <f>IF(AA402&gt;0,0,IF(Z402=$Z$87,AG402,0))</f>
        <v>0</v>
      </c>
      <c r="BO402" s="174">
        <f>IF(AA402&gt;0,0,IF(Z402=$Z$88,AG402,0))</f>
        <v>0</v>
      </c>
      <c r="BP402" s="174">
        <f>IF(AA402&gt;0,0,IF(Z402=$Z$89,AG402,0))</f>
        <v>0</v>
      </c>
      <c r="BQ402" s="174">
        <f>IF(AA402&gt;0,0,IF(Z402=$Z$90,AG402,0))</f>
        <v>0</v>
      </c>
      <c r="BR402" s="174">
        <f>IF(Z402=$Z$82,AA402*AG402,0)</f>
        <v>0</v>
      </c>
      <c r="BS402" s="174">
        <f>IF(Z402=$Z$83,AA402*AG402,0)</f>
        <v>0</v>
      </c>
      <c r="BT402" s="174">
        <f>IF(AA402&lt;1,0,IF(Z402=$Z$84,AA402*AG402,IF(Z402=$Z$93,"ERRO",IF(Z402=$Z$100,"ERRO",0))))</f>
        <v>0</v>
      </c>
      <c r="BU402" s="174">
        <f>IF(AA402&lt;1,0,IF(Z402=$Z$85,AA402*AG402,IF(Z402=$Z$93,"ERRO",IF(Z402=$Z$100,"ERRO",0))))</f>
        <v>0</v>
      </c>
      <c r="BV402" s="174">
        <f>IF(Z402=$Z$92,AA402*AG402,0)</f>
        <v>0</v>
      </c>
      <c r="BW402" s="174">
        <f>IF(Z402=$Z$91,AA402*AG402,0)</f>
        <v>0</v>
      </c>
      <c r="BX402" s="174">
        <f>IF(Z402=$Z$86,AA402*AG402,0)</f>
        <v>0</v>
      </c>
      <c r="BY402" s="174">
        <f>IF(Z402=$Z$87,AA402*AG402,0)</f>
        <v>0</v>
      </c>
      <c r="BZ402" s="174">
        <f>IF(Z402=$Z$88,AA402*AG402,0)</f>
        <v>0</v>
      </c>
      <c r="CA402" s="174">
        <f>IF(Z402=$Z$89,AA402*AG402,0)</f>
        <v>0</v>
      </c>
      <c r="CB402" s="174">
        <f>IF(Z402=$Z$90,AA402*AG402,0)</f>
        <v>0</v>
      </c>
      <c r="CC402" s="175">
        <f>IFERROR(IF(L402=$L$49,AG402*AH402*(1+AI402)*(1-AK402)*(1-AL402),0),0)</f>
        <v>0</v>
      </c>
      <c r="CD402" s="203">
        <f>IF(I402=$CD$97,1,IF(I402=$CD$100,2,IF(K402=$K$66,1,IF(K402=$K$69,1,3))))</f>
        <v>1</v>
      </c>
      <c r="CE402" s="203">
        <f t="shared" si="14"/>
        <v>1.07</v>
      </c>
      <c r="CF402" s="204">
        <f t="shared" si="75"/>
        <v>1.2353999999999998</v>
      </c>
      <c r="CG402" s="203">
        <f t="shared" si="15"/>
        <v>1.42</v>
      </c>
      <c r="CH402" s="204">
        <f t="shared" si="76"/>
        <v>1.5478000000000001</v>
      </c>
      <c r="CI402" s="203">
        <f t="shared" si="16"/>
        <v>1.7</v>
      </c>
      <c r="CJ402" s="205">
        <f t="shared" si="77"/>
        <v>1.0486</v>
      </c>
      <c r="CK402" s="205">
        <f t="shared" si="78"/>
        <v>1.148922</v>
      </c>
      <c r="CL402" s="205">
        <f t="shared" si="79"/>
        <v>1.3915999999999999</v>
      </c>
      <c r="CM402" s="205">
        <f t="shared" si="80"/>
        <v>1.501366</v>
      </c>
      <c r="CN402" s="206">
        <f t="shared" si="81"/>
        <v>1.6319999999999999</v>
      </c>
      <c r="CO402" s="204">
        <f t="shared" si="82"/>
        <v>1.006656</v>
      </c>
      <c r="CP402" s="207">
        <f t="shared" si="83"/>
        <v>-2242.3984410007251</v>
      </c>
      <c r="CQ402" s="208">
        <f t="shared" si="84"/>
        <v>58649.290468378116</v>
      </c>
      <c r="CR402" s="209">
        <f t="shared" si="93"/>
        <v>2058.8515589992749</v>
      </c>
      <c r="CS402" s="49"/>
      <c r="CT402" s="49"/>
      <c r="CU402" s="49"/>
      <c r="CV402" s="49"/>
      <c r="CW402" s="49"/>
      <c r="CX402" s="49"/>
      <c r="CY402" s="49"/>
      <c r="CZ402" s="49"/>
      <c r="DA402" s="49"/>
      <c r="DB402" s="49"/>
      <c r="DC402" s="49"/>
      <c r="DD402" s="49"/>
      <c r="DE402" s="49"/>
      <c r="DF402" s="49"/>
      <c r="DG402" s="49"/>
      <c r="DH402" s="49"/>
      <c r="DI402" s="49"/>
      <c r="DJ402" s="49"/>
      <c r="DK402" s="49"/>
      <c r="DL402" s="49"/>
      <c r="DM402" s="49"/>
      <c r="DN402" s="49"/>
      <c r="DO402" s="49"/>
      <c r="DP402" s="49"/>
      <c r="DQ402" s="49"/>
      <c r="DR402" s="49"/>
      <c r="DS402" s="49"/>
      <c r="DT402" s="49"/>
      <c r="DU402" s="49"/>
      <c r="DV402" s="49"/>
      <c r="DW402" s="49"/>
      <c r="DX402" s="49"/>
      <c r="DY402" s="49"/>
      <c r="DZ402" s="49"/>
      <c r="EA402" s="49"/>
      <c r="EB402" s="49"/>
      <c r="EC402" s="49"/>
      <c r="ED402" s="49"/>
      <c r="EE402" s="49"/>
      <c r="EF402" s="49"/>
      <c r="EG402" s="49"/>
      <c r="EH402" s="49"/>
      <c r="EI402" s="49"/>
      <c r="EJ402" s="49"/>
      <c r="EK402" s="49"/>
      <c r="EL402" s="49"/>
      <c r="EM402" s="49"/>
      <c r="EN402" s="49"/>
      <c r="EO402" s="49"/>
      <c r="EP402" s="49"/>
      <c r="EQ402" s="49"/>
      <c r="ER402" s="49"/>
      <c r="ES402" s="49"/>
      <c r="ET402" s="49"/>
      <c r="EU402" s="49"/>
      <c r="EV402" s="49"/>
      <c r="EW402" s="49"/>
      <c r="EX402" s="49"/>
      <c r="EY402" s="49"/>
      <c r="EZ402" s="49"/>
      <c r="FA402" s="49"/>
    </row>
    <row r="403" spans="1:157" s="210" customFormat="1" x14ac:dyDescent="0.25">
      <c r="A403" s="113">
        <f>IF(AND('[1]Cockpit Retorno'!$E$67=Sim,Mestre!M403=Mestre!$M$98),0,1)</f>
        <v>1</v>
      </c>
      <c r="B403" s="113">
        <f>IF(AND('[1]Cockpit Retorno'!$E$67=Sim,Mestre!L403=Mestre!$L$48),0,1)</f>
        <v>0</v>
      </c>
      <c r="C403" s="113">
        <f>IF(AND('[1]Cockpit Retorno'!$E$67=Sim,Mestre!M403=Mestre!$M$97),0,1)</f>
        <v>1</v>
      </c>
      <c r="D403" s="148" t="s">
        <v>7</v>
      </c>
      <c r="E403" s="115"/>
      <c r="F403" s="116" t="s">
        <v>107</v>
      </c>
      <c r="G403" s="149"/>
      <c r="H403" s="150" t="s">
        <v>7</v>
      </c>
      <c r="I403" s="151" t="str">
        <f t="shared" si="86"/>
        <v>Mercadorias</v>
      </c>
      <c r="J403" s="150" t="s">
        <v>15</v>
      </c>
      <c r="K403" s="152" t="s">
        <v>7</v>
      </c>
      <c r="L403" s="153" t="s">
        <v>15</v>
      </c>
      <c r="M403" s="154"/>
      <c r="N403" s="155" t="s">
        <v>43</v>
      </c>
      <c r="O403" s="155" t="s">
        <v>43</v>
      </c>
      <c r="P403" s="155" t="s">
        <v>43</v>
      </c>
      <c r="Q403" s="155" t="s">
        <v>43</v>
      </c>
      <c r="R403" s="155" t="s">
        <v>43</v>
      </c>
      <c r="S403" s="156" t="s">
        <v>43</v>
      </c>
      <c r="T403" s="156" t="s">
        <v>43</v>
      </c>
      <c r="U403" s="150" t="s">
        <v>43</v>
      </c>
      <c r="V403" s="150" t="s">
        <v>43</v>
      </c>
      <c r="W403" s="150" t="s">
        <v>43</v>
      </c>
      <c r="X403" s="157"/>
      <c r="Y403" s="150" t="s">
        <v>43</v>
      </c>
      <c r="Z403" s="150" t="s">
        <v>43</v>
      </c>
      <c r="AA403" s="158">
        <v>0</v>
      </c>
      <c r="AB403" s="155" t="s">
        <v>43</v>
      </c>
      <c r="AC403" s="150" t="s">
        <v>43</v>
      </c>
      <c r="AD403" s="155" t="s">
        <v>43</v>
      </c>
      <c r="AE403" s="155"/>
      <c r="AF403" s="150" t="s">
        <v>43</v>
      </c>
      <c r="AG403" s="159"/>
      <c r="AH403" s="159">
        <v>0</v>
      </c>
      <c r="AI403" s="202"/>
      <c r="AJ403" s="161"/>
      <c r="AK403" s="162"/>
      <c r="AL403" s="163"/>
      <c r="AM403" s="164">
        <f>(((IF(L403=$L$101,1,IF(L403=$L$47,1,0))*(AH403*(1-AK403)))*AG403)*(1-AL403))</f>
        <v>0</v>
      </c>
      <c r="AN403" s="165">
        <f>IF(K403=$K$50,AM403,IF(K403=$K$53,AM403,IF(K403=$K$54,AM403,IF(K403=$K$55,AM403,IF(K403=$K$56,AM403,IF(K403=$K$57,AM403,IF(K403=$K$58,AM403,IF(K403=$K$65,AM403,IF(K403=$K$66,AM403,IF(K403=$K$67,AM403,IF(K403=$K$68,AM403,IF(K403=$K$69,AM403,IF(K403=$K$51,AM403,(AM403*(1+AI403)))))))))))))))</f>
        <v>0</v>
      </c>
      <c r="AO403" s="166">
        <v>1.4</v>
      </c>
      <c r="AP403" s="160">
        <f t="shared" si="87"/>
        <v>0</v>
      </c>
      <c r="AQ403" s="167">
        <f t="shared" si="95"/>
        <v>0</v>
      </c>
      <c r="AR403" s="160">
        <f t="shared" si="88"/>
        <v>0</v>
      </c>
      <c r="AS403" s="168">
        <f t="shared" si="89"/>
        <v>0</v>
      </c>
      <c r="AT403" s="169" t="str">
        <f>K403</f>
        <v>MI</v>
      </c>
      <c r="AU403" s="169" t="str">
        <f>I403</f>
        <v>Mercadorias</v>
      </c>
      <c r="AV403" s="170"/>
      <c r="AW403" s="171">
        <f>IF(K403=$K$50,0,IF(K403=$K$53,0,IF(K403=$K$54,0,IF(K403=$K$55,0,IF(K403=$K$56,0,IF(K403=$K$57,0,IF(K403=$K$58,0,IF(K403=$K$65,0,IF(K403=$K$66,0,IF(K403=$K$67,0,IF(K403=$K$68,0,IF(K403=$K$69,0,IF(K403=$K$51,0,1))))))))))))*AM403*AI403)</f>
        <v>0</v>
      </c>
      <c r="AX403" s="172">
        <f>IF(K403=$K$50,0,IF(K403=$K$53,0,IF(K403=$K$54,0,IF(K403=$K$55,0,IF(K403=$K$56,0,IF(K403=$K$57,0,IF(K403=$K$58,0,IF(K403=$K$65,0,IF(K403=$K$66,0,IF(K403=$K$67,0,IF(K403=$K$68,0,IF(K403=$K$69,0,IF(K403=$K$51,0,1))))))))))))*AM403*AJ403*$AX$94)</f>
        <v>0</v>
      </c>
      <c r="AY403" s="172">
        <f>IF(K403=$K$53,0,IF(K403=$K$54,0,IF(K403=$K$55,0,IF(K403=$K$56,0,IF(K403=$K$58,0,IF(K403=$K$50,0,IF(K403=$K$65,0,IF(K403=$K$57,0,IF(K403=$K$51,0,AM403*$AY$102)))))))))</f>
        <v>0</v>
      </c>
      <c r="AZ403" s="172">
        <f>IF(K403=$K$53,0,IF(K403=$K$54,0,IF(K403=$K$55,0,IF(K403=$K$56,0,IF(K403=$K$58,0,IF(K403=$K$50,0,IF(K403=$K$65,0,IF(K403=$K$57,0,IF(K403=$K$51,0,AM403*$AZ$102)))))))))</f>
        <v>0</v>
      </c>
      <c r="BA403" s="172">
        <f t="shared" si="90"/>
        <v>0</v>
      </c>
      <c r="BB403" s="173">
        <f>IF($BA$97=1,AQ403*$BB$102,IF(K403=$K$50,0,IF(K403=$K$53,0,IF(K403=$K$54,0,IF(K403=$K$55,0,IF(K403=$K$56,0,IF(K403=$K$57,0,IF(K403=$K$58,0,IF(K403=$K$65,0,IF(K403=$K$66,0,IF(K403=$K$67,0,IF(K403=$K$68,0,IF(K403=$K$69,0,IF(K403=$K$51,0,1)))))))))))*AQ403*$BB$102)))</f>
        <v>0</v>
      </c>
      <c r="BC403" s="172">
        <f t="shared" si="91"/>
        <v>0</v>
      </c>
      <c r="BD403" s="172">
        <f t="shared" si="92"/>
        <v>0</v>
      </c>
      <c r="BE403" s="172">
        <f>IF($BE$95=I403,$BE$97,IF(I403=$BE$96,$BE$97,1))*($BE$102*AQ403)*$AZ$97</f>
        <v>0</v>
      </c>
      <c r="BF403" s="172">
        <f>IF('[1]Cockpit Retorno'!$C$65=Sim,Mestre!BA403,SUM(BB403:BE403)+(IF(K403=$K$56,AQ403*MOE_IRRF_LR,0)))</f>
        <v>0</v>
      </c>
      <c r="BG403" s="174">
        <f>IF(AA403&gt;0,0,IF(Z403=$Z$82,AG403*1,(IF(Z403=$Z$81,AG403*1,0))))</f>
        <v>0</v>
      </c>
      <c r="BH403" s="174">
        <f>IF(AA403&gt;0,0,IF(Z403=$Z$83,AG403*1,IF(Z403=$Z$81,AG403*1,0)))</f>
        <v>0</v>
      </c>
      <c r="BI403" s="174">
        <f>IF(AA403&gt;0,0,IF(Z403=$Z$84,AG403*1,IF(Z403=$Z$93,AG403*2,IF(Z403=$Z$100,AG403,IF(Z403=$Z$81,AG403*2,IF(Z403=$Z$80,AG403*1,IF(Z403=$Z$79,AG403*3,IF(Z403=$Z$78,AG403*2,0))))))))</f>
        <v>0</v>
      </c>
      <c r="BJ403" s="174">
        <f>IF(AA403&gt;0,0,IF(Z403=$Z$85,AG403,IF(Z403=$Z$93,AG403,IF(Z403=$Z$100,AG403,IF(Z403=$Z$81,AG403*1,IF(Z403=$Z$80,AG403*2,IF(Z403=$Z$79,AG403*2,IF(Z403=$Z$78,AG403*2,0))))))))</f>
        <v>0</v>
      </c>
      <c r="BK403" s="174">
        <f>IF(AA403&gt;0,0,IF(Z403=$Z$92,AG403,0))</f>
        <v>0</v>
      </c>
      <c r="BL403" s="174">
        <f>IF(AA403&gt;0,0,IF(Z403=$Z$91,AG403,0))</f>
        <v>0</v>
      </c>
      <c r="BM403" s="174">
        <f>IF(AA403&gt;0,0,IF(Z403=$Z$86,AG403,0))</f>
        <v>0</v>
      </c>
      <c r="BN403" s="174">
        <f>IF(AA403&gt;0,0,IF(Z403=$Z$87,AG403,0))</f>
        <v>0</v>
      </c>
      <c r="BO403" s="174">
        <f>IF(AA403&gt;0,0,IF(Z403=$Z$88,AG403,0))</f>
        <v>0</v>
      </c>
      <c r="BP403" s="174">
        <f>IF(AA403&gt;0,0,IF(Z403=$Z$89,AG403,0))</f>
        <v>0</v>
      </c>
      <c r="BQ403" s="174">
        <f>IF(AA403&gt;0,0,IF(Z403=$Z$90,AG403,0))</f>
        <v>0</v>
      </c>
      <c r="BR403" s="174">
        <f>IF(Z403=$Z$82,AA403*AG403,0)</f>
        <v>0</v>
      </c>
      <c r="BS403" s="174">
        <f>IF(Z403=$Z$83,AA403*AG403,0)</f>
        <v>0</v>
      </c>
      <c r="BT403" s="174">
        <f>IF(AA403&lt;1,0,IF(Z403=$Z$84,AA403*AG403,IF(Z403=$Z$93,"ERRO",IF(Z403=$Z$100,"ERRO",0))))</f>
        <v>0</v>
      </c>
      <c r="BU403" s="174">
        <f>IF(AA403&lt;1,0,IF(Z403=$Z$85,AA403*AG403,IF(Z403=$Z$93,"ERRO",IF(Z403=$Z$100,"ERRO",0))))</f>
        <v>0</v>
      </c>
      <c r="BV403" s="174">
        <f>IF(Z403=$Z$92,AA403*AG403,0)</f>
        <v>0</v>
      </c>
      <c r="BW403" s="174">
        <f>IF(Z403=$Z$91,AA403*AG403,0)</f>
        <v>0</v>
      </c>
      <c r="BX403" s="174">
        <f>IF(Z403=$Z$86,AA403*AG403,0)</f>
        <v>0</v>
      </c>
      <c r="BY403" s="174">
        <f>IF(Z403=$Z$87,AA403*AG403,0)</f>
        <v>0</v>
      </c>
      <c r="BZ403" s="174">
        <f>IF(Z403=$Z$88,AA403*AG403,0)</f>
        <v>0</v>
      </c>
      <c r="CA403" s="174">
        <f>IF(Z403=$Z$89,AA403*AG403,0)</f>
        <v>0</v>
      </c>
      <c r="CB403" s="174">
        <f>IF(Z403=$Z$90,AA403*AG403,0)</f>
        <v>0</v>
      </c>
      <c r="CC403" s="175">
        <f>IFERROR(IF(L403=$L$49,AG403*AH403*(1+AI403)*(1-AK403)*(1-AL403),0),0)</f>
        <v>0</v>
      </c>
      <c r="CD403" s="203">
        <f>IF(I403=$CD$97,1,IF(I403=$CD$100,2,IF(K403=$K$66,1,IF(K403=$K$69,1,3))))</f>
        <v>1</v>
      </c>
      <c r="CE403" s="203">
        <f t="shared" si="14"/>
        <v>1.07</v>
      </c>
      <c r="CF403" s="204">
        <f t="shared" si="75"/>
        <v>1.2353999999999998</v>
      </c>
      <c r="CG403" s="203">
        <f t="shared" si="15"/>
        <v>1.42</v>
      </c>
      <c r="CH403" s="204">
        <f t="shared" si="76"/>
        <v>1.5478000000000001</v>
      </c>
      <c r="CI403" s="203">
        <f t="shared" si="16"/>
        <v>1.7</v>
      </c>
      <c r="CJ403" s="205">
        <f t="shared" si="77"/>
        <v>1.0486</v>
      </c>
      <c r="CK403" s="205">
        <f t="shared" si="78"/>
        <v>1.148922</v>
      </c>
      <c r="CL403" s="205">
        <f t="shared" si="79"/>
        <v>1.3915999999999999</v>
      </c>
      <c r="CM403" s="205">
        <f t="shared" si="80"/>
        <v>1.501366</v>
      </c>
      <c r="CN403" s="206">
        <f t="shared" si="81"/>
        <v>1.6319999999999999</v>
      </c>
      <c r="CO403" s="204">
        <f t="shared" si="82"/>
        <v>1.006656</v>
      </c>
      <c r="CP403" s="207">
        <f t="shared" si="83"/>
        <v>0</v>
      </c>
      <c r="CQ403" s="208">
        <f t="shared" si="84"/>
        <v>0</v>
      </c>
      <c r="CR403" s="209">
        <f t="shared" si="93"/>
        <v>0</v>
      </c>
      <c r="CS403" s="49"/>
      <c r="CT403" s="49"/>
      <c r="CU403" s="49"/>
      <c r="CV403" s="49"/>
      <c r="CW403" s="49"/>
      <c r="CX403" s="49"/>
      <c r="CY403" s="49"/>
      <c r="CZ403" s="49"/>
      <c r="DA403" s="49"/>
      <c r="DB403" s="49"/>
      <c r="DC403" s="49"/>
      <c r="DD403" s="49"/>
      <c r="DE403" s="49"/>
      <c r="DF403" s="49"/>
      <c r="DG403" s="49"/>
      <c r="DH403" s="49"/>
      <c r="DI403" s="49"/>
      <c r="DJ403" s="49"/>
      <c r="DK403" s="49"/>
      <c r="DL403" s="49"/>
      <c r="DM403" s="49"/>
      <c r="DN403" s="49"/>
      <c r="DO403" s="49"/>
      <c r="DP403" s="49"/>
      <c r="DQ403" s="49"/>
      <c r="DR403" s="49"/>
      <c r="DS403" s="49"/>
      <c r="DT403" s="49"/>
      <c r="DU403" s="49"/>
      <c r="DV403" s="49"/>
      <c r="DW403" s="49"/>
      <c r="DX403" s="49"/>
      <c r="DY403" s="49"/>
      <c r="DZ403" s="49"/>
      <c r="EA403" s="49"/>
      <c r="EB403" s="49"/>
      <c r="EC403" s="49"/>
      <c r="ED403" s="49"/>
      <c r="EE403" s="49"/>
      <c r="EF403" s="49"/>
      <c r="EG403" s="49"/>
      <c r="EH403" s="49"/>
      <c r="EI403" s="49"/>
      <c r="EJ403" s="49"/>
      <c r="EK403" s="49"/>
      <c r="EL403" s="49"/>
      <c r="EM403" s="49"/>
      <c r="EN403" s="49"/>
      <c r="EO403" s="49"/>
      <c r="EP403" s="49"/>
      <c r="EQ403" s="49"/>
      <c r="ER403" s="49"/>
      <c r="ES403" s="49"/>
      <c r="ET403" s="49"/>
      <c r="EU403" s="49"/>
      <c r="EV403" s="49"/>
      <c r="EW403" s="49"/>
      <c r="EX403" s="49"/>
      <c r="EY403" s="49"/>
      <c r="EZ403" s="49"/>
      <c r="FA403" s="49"/>
    </row>
    <row r="404" spans="1:157" s="210" customFormat="1" x14ac:dyDescent="0.25">
      <c r="A404" s="113">
        <f>IF(AND('[1]Cockpit Retorno'!$E$67=Sim,Mestre!M404=Mestre!$M$98),0,1)</f>
        <v>1</v>
      </c>
      <c r="B404" s="113">
        <f>IF(AND('[1]Cockpit Retorno'!$E$67=Sim,Mestre!L404=Mestre!$L$48),0,1)</f>
        <v>0</v>
      </c>
      <c r="C404" s="113">
        <f>IF(AND('[1]Cockpit Retorno'!$E$67=Sim,Mestre!M404=Mestre!$M$97),0,1)</f>
        <v>1</v>
      </c>
      <c r="D404" s="148" t="s">
        <v>7</v>
      </c>
      <c r="E404" s="115"/>
      <c r="F404" s="116" t="s">
        <v>107</v>
      </c>
      <c r="G404" s="149"/>
      <c r="H404" s="150" t="s">
        <v>7</v>
      </c>
      <c r="I404" s="151" t="str">
        <f t="shared" si="86"/>
        <v>Mercadorias</v>
      </c>
      <c r="J404" s="150" t="s">
        <v>15</v>
      </c>
      <c r="K404" s="152" t="s">
        <v>7</v>
      </c>
      <c r="L404" s="153" t="s">
        <v>15</v>
      </c>
      <c r="M404" s="154"/>
      <c r="N404" s="155" t="s">
        <v>43</v>
      </c>
      <c r="O404" s="155" t="s">
        <v>43</v>
      </c>
      <c r="P404" s="155" t="s">
        <v>43</v>
      </c>
      <c r="Q404" s="155" t="s">
        <v>43</v>
      </c>
      <c r="R404" s="155" t="s">
        <v>43</v>
      </c>
      <c r="S404" s="156" t="s">
        <v>43</v>
      </c>
      <c r="T404" s="156" t="s">
        <v>43</v>
      </c>
      <c r="U404" s="150" t="s">
        <v>43</v>
      </c>
      <c r="V404" s="150" t="s">
        <v>43</v>
      </c>
      <c r="W404" s="150" t="s">
        <v>43</v>
      </c>
      <c r="X404" s="157"/>
      <c r="Y404" s="150" t="s">
        <v>43</v>
      </c>
      <c r="Z404" s="150" t="s">
        <v>43</v>
      </c>
      <c r="AA404" s="158">
        <v>0</v>
      </c>
      <c r="AB404" s="155" t="s">
        <v>43</v>
      </c>
      <c r="AC404" s="150" t="s">
        <v>43</v>
      </c>
      <c r="AD404" s="155" t="s">
        <v>43</v>
      </c>
      <c r="AE404" s="155"/>
      <c r="AF404" s="150" t="s">
        <v>43</v>
      </c>
      <c r="AG404" s="159"/>
      <c r="AH404" s="159">
        <v>0</v>
      </c>
      <c r="AI404" s="202"/>
      <c r="AJ404" s="161"/>
      <c r="AK404" s="162"/>
      <c r="AL404" s="163"/>
      <c r="AM404" s="164">
        <f>(((IF(L404=$L$101,1,IF(L404=$L$47,1,0))*(AH404*(1-AK404)))*AG404)*(1-AL404))</f>
        <v>0</v>
      </c>
      <c r="AN404" s="165">
        <f>IF(K404=$K$50,AM404,IF(K404=$K$53,AM404,IF(K404=$K$54,AM404,IF(K404=$K$55,AM404,IF(K404=$K$56,AM404,IF(K404=$K$57,AM404,IF(K404=$K$58,AM404,IF(K404=$K$65,AM404,IF(K404=$K$66,AM404,IF(K404=$K$67,AM404,IF(K404=$K$68,AM404,IF(K404=$K$69,AM404,IF(K404=$K$51,AM404,(AM404*(1+AI404)))))))))))))))</f>
        <v>0</v>
      </c>
      <c r="AO404" s="166">
        <v>1.4</v>
      </c>
      <c r="AP404" s="160">
        <f t="shared" si="87"/>
        <v>0</v>
      </c>
      <c r="AQ404" s="167">
        <f t="shared" si="95"/>
        <v>0</v>
      </c>
      <c r="AR404" s="160">
        <f t="shared" si="88"/>
        <v>0</v>
      </c>
      <c r="AS404" s="168">
        <f t="shared" si="89"/>
        <v>0</v>
      </c>
      <c r="AT404" s="169" t="str">
        <f>K404</f>
        <v>MI</v>
      </c>
      <c r="AU404" s="169" t="str">
        <f>I404</f>
        <v>Mercadorias</v>
      </c>
      <c r="AV404" s="170"/>
      <c r="AW404" s="171">
        <f>IF(K404=$K$50,0,IF(K404=$K$53,0,IF(K404=$K$54,0,IF(K404=$K$55,0,IF(K404=$K$56,0,IF(K404=$K$57,0,IF(K404=$K$58,0,IF(K404=$K$65,0,IF(K404=$K$66,0,IF(K404=$K$67,0,IF(K404=$K$68,0,IF(K404=$K$69,0,IF(K404=$K$51,0,1))))))))))))*AM404*AI404)</f>
        <v>0</v>
      </c>
      <c r="AX404" s="172">
        <f>IF(K404=$K$50,0,IF(K404=$K$53,0,IF(K404=$K$54,0,IF(K404=$K$55,0,IF(K404=$K$56,0,IF(K404=$K$57,0,IF(K404=$K$58,0,IF(K404=$K$65,0,IF(K404=$K$66,0,IF(K404=$K$67,0,IF(K404=$K$68,0,IF(K404=$K$69,0,IF(K404=$K$51,0,1))))))))))))*AM404*AJ404*$AX$94)</f>
        <v>0</v>
      </c>
      <c r="AY404" s="172">
        <f>IF(K404=$K$53,0,IF(K404=$K$54,0,IF(K404=$K$55,0,IF(K404=$K$56,0,IF(K404=$K$58,0,IF(K404=$K$50,0,IF(K404=$K$65,0,IF(K404=$K$57,0,IF(K404=$K$51,0,AM404*$AY$102)))))))))</f>
        <v>0</v>
      </c>
      <c r="AZ404" s="172">
        <f>IF(K404=$K$53,0,IF(K404=$K$54,0,IF(K404=$K$55,0,IF(K404=$K$56,0,IF(K404=$K$58,0,IF(K404=$K$50,0,IF(K404=$K$65,0,IF(K404=$K$57,0,IF(K404=$K$51,0,AM404*$AZ$102)))))))))</f>
        <v>0</v>
      </c>
      <c r="BA404" s="172">
        <f t="shared" si="90"/>
        <v>0</v>
      </c>
      <c r="BB404" s="173">
        <f>IF($BA$97=1,AQ404*$BB$102,IF(K404=$K$50,0,IF(K404=$K$53,0,IF(K404=$K$54,0,IF(K404=$K$55,0,IF(K404=$K$56,0,IF(K404=$K$57,0,IF(K404=$K$58,0,IF(K404=$K$65,0,IF(K404=$K$66,0,IF(K404=$K$67,0,IF(K404=$K$68,0,IF(K404=$K$69,0,IF(K404=$K$51,0,1)))))))))))*AQ404*$BB$102)))</f>
        <v>0</v>
      </c>
      <c r="BC404" s="172">
        <f t="shared" si="91"/>
        <v>0</v>
      </c>
      <c r="BD404" s="172">
        <f t="shared" si="92"/>
        <v>0</v>
      </c>
      <c r="BE404" s="172">
        <f>IF($BE$95=I404,$BE$97,IF(I404=$BE$96,$BE$97,1))*($BE$102*AQ404)*$AZ$97</f>
        <v>0</v>
      </c>
      <c r="BF404" s="172">
        <f>IF('[1]Cockpit Retorno'!$C$65=Sim,Mestre!BA404,SUM(BB404:BE404)+(IF(K404=$K$56,AQ404*MOE_IRRF_LR,0)))</f>
        <v>0</v>
      </c>
      <c r="BG404" s="174">
        <f>IF(AA404&gt;0,0,IF(Z404=$Z$82,AG404*1,(IF(Z404=$Z$81,AG404*1,0))))</f>
        <v>0</v>
      </c>
      <c r="BH404" s="174">
        <f>IF(AA404&gt;0,0,IF(Z404=$Z$83,AG404*1,IF(Z404=$Z$81,AG404*1,0)))</f>
        <v>0</v>
      </c>
      <c r="BI404" s="174">
        <f>IF(AA404&gt;0,0,IF(Z404=$Z$84,AG404*1,IF(Z404=$Z$93,AG404*2,IF(Z404=$Z$100,AG404,IF(Z404=$Z$81,AG404*2,IF(Z404=$Z$80,AG404*1,IF(Z404=$Z$79,AG404*3,IF(Z404=$Z$78,AG404*2,0))))))))</f>
        <v>0</v>
      </c>
      <c r="BJ404" s="174">
        <f>IF(AA404&gt;0,0,IF(Z404=$Z$85,AG404,IF(Z404=$Z$93,AG404,IF(Z404=$Z$100,AG404,IF(Z404=$Z$81,AG404*1,IF(Z404=$Z$80,AG404*2,IF(Z404=$Z$79,AG404*2,IF(Z404=$Z$78,AG404*2,0))))))))</f>
        <v>0</v>
      </c>
      <c r="BK404" s="174">
        <f>IF(AA404&gt;0,0,IF(Z404=$Z$92,AG404,0))</f>
        <v>0</v>
      </c>
      <c r="BL404" s="174">
        <f>IF(AA404&gt;0,0,IF(Z404=$Z$91,AG404,0))</f>
        <v>0</v>
      </c>
      <c r="BM404" s="174">
        <f>IF(AA404&gt;0,0,IF(Z404=$Z$86,AG404,0))</f>
        <v>0</v>
      </c>
      <c r="BN404" s="174">
        <f>IF(AA404&gt;0,0,IF(Z404=$Z$87,AG404,0))</f>
        <v>0</v>
      </c>
      <c r="BO404" s="174">
        <f>IF(AA404&gt;0,0,IF(Z404=$Z$88,AG404,0))</f>
        <v>0</v>
      </c>
      <c r="BP404" s="174">
        <f>IF(AA404&gt;0,0,IF(Z404=$Z$89,AG404,0))</f>
        <v>0</v>
      </c>
      <c r="BQ404" s="174">
        <f>IF(AA404&gt;0,0,IF(Z404=$Z$90,AG404,0))</f>
        <v>0</v>
      </c>
      <c r="BR404" s="174">
        <f>IF(Z404=$Z$82,AA404*AG404,0)</f>
        <v>0</v>
      </c>
      <c r="BS404" s="174">
        <f>IF(Z404=$Z$83,AA404*AG404,0)</f>
        <v>0</v>
      </c>
      <c r="BT404" s="174">
        <f>IF(AA404&lt;1,0,IF(Z404=$Z$84,AA404*AG404,IF(Z404=$Z$93,"ERRO",IF(Z404=$Z$100,"ERRO",0))))</f>
        <v>0</v>
      </c>
      <c r="BU404" s="174">
        <f>IF(AA404&lt;1,0,IF(Z404=$Z$85,AA404*AG404,IF(Z404=$Z$93,"ERRO",IF(Z404=$Z$100,"ERRO",0))))</f>
        <v>0</v>
      </c>
      <c r="BV404" s="174">
        <f>IF(Z404=$Z$92,AA404*AG404,0)</f>
        <v>0</v>
      </c>
      <c r="BW404" s="174">
        <f>IF(Z404=$Z$91,AA404*AG404,0)</f>
        <v>0</v>
      </c>
      <c r="BX404" s="174">
        <f>IF(Z404=$Z$86,AA404*AG404,0)</f>
        <v>0</v>
      </c>
      <c r="BY404" s="174">
        <f>IF(Z404=$Z$87,AA404*AG404,0)</f>
        <v>0</v>
      </c>
      <c r="BZ404" s="174">
        <f>IF(Z404=$Z$88,AA404*AG404,0)</f>
        <v>0</v>
      </c>
      <c r="CA404" s="174">
        <f>IF(Z404=$Z$89,AA404*AG404,0)</f>
        <v>0</v>
      </c>
      <c r="CB404" s="174">
        <f>IF(Z404=$Z$90,AA404*AG404,0)</f>
        <v>0</v>
      </c>
      <c r="CC404" s="175">
        <f>IFERROR(IF(L404=$L$49,AG404*AH404*(1+AI404)*(1-AK404)*(1-AL404),0),0)</f>
        <v>0</v>
      </c>
      <c r="CD404" s="203">
        <f>IF(I404=$CD$97,1,IF(I404=$CD$100,2,IF(K404=$K$66,1,IF(K404=$K$69,1,3))))</f>
        <v>1</v>
      </c>
      <c r="CE404" s="203">
        <f t="shared" si="14"/>
        <v>1.07</v>
      </c>
      <c r="CF404" s="204">
        <f t="shared" si="75"/>
        <v>1.2353999999999998</v>
      </c>
      <c r="CG404" s="203">
        <f t="shared" si="15"/>
        <v>1.42</v>
      </c>
      <c r="CH404" s="204">
        <f t="shared" si="76"/>
        <v>1.5478000000000001</v>
      </c>
      <c r="CI404" s="203">
        <f t="shared" si="16"/>
        <v>1.7</v>
      </c>
      <c r="CJ404" s="205">
        <f t="shared" si="77"/>
        <v>1.0486</v>
      </c>
      <c r="CK404" s="205">
        <f t="shared" si="78"/>
        <v>1.148922</v>
      </c>
      <c r="CL404" s="205">
        <f t="shared" si="79"/>
        <v>1.3915999999999999</v>
      </c>
      <c r="CM404" s="205">
        <f t="shared" si="80"/>
        <v>1.501366</v>
      </c>
      <c r="CN404" s="206">
        <f t="shared" si="81"/>
        <v>1.6319999999999999</v>
      </c>
      <c r="CO404" s="204">
        <f t="shared" si="82"/>
        <v>1.006656</v>
      </c>
      <c r="CP404" s="207">
        <f t="shared" si="83"/>
        <v>0</v>
      </c>
      <c r="CQ404" s="208">
        <f t="shared" si="84"/>
        <v>0</v>
      </c>
      <c r="CR404" s="209">
        <f t="shared" si="93"/>
        <v>0</v>
      </c>
      <c r="CS404" s="49"/>
      <c r="CT404" s="49"/>
      <c r="CU404" s="49"/>
      <c r="CV404" s="49"/>
      <c r="CW404" s="49"/>
      <c r="CX404" s="49"/>
      <c r="CY404" s="49"/>
      <c r="CZ404" s="49"/>
      <c r="DA404" s="49"/>
      <c r="DB404" s="49"/>
      <c r="DC404" s="49"/>
      <c r="DD404" s="49"/>
      <c r="DE404" s="49"/>
      <c r="DF404" s="49"/>
      <c r="DG404" s="49"/>
      <c r="DH404" s="49"/>
      <c r="DI404" s="49"/>
      <c r="DJ404" s="49"/>
      <c r="DK404" s="49"/>
      <c r="DL404" s="49"/>
      <c r="DM404" s="49"/>
      <c r="DN404" s="49"/>
      <c r="DO404" s="49"/>
      <c r="DP404" s="49"/>
      <c r="DQ404" s="49"/>
      <c r="DR404" s="49"/>
      <c r="DS404" s="49"/>
      <c r="DT404" s="49"/>
      <c r="DU404" s="49"/>
      <c r="DV404" s="49"/>
      <c r="DW404" s="49"/>
      <c r="DX404" s="49"/>
      <c r="DY404" s="49"/>
      <c r="DZ404" s="49"/>
      <c r="EA404" s="49"/>
      <c r="EB404" s="49"/>
      <c r="EC404" s="49"/>
      <c r="ED404" s="49"/>
      <c r="EE404" s="49"/>
      <c r="EF404" s="49"/>
      <c r="EG404" s="49"/>
      <c r="EH404" s="49"/>
      <c r="EI404" s="49"/>
      <c r="EJ404" s="49"/>
      <c r="EK404" s="49"/>
      <c r="EL404" s="49"/>
      <c r="EM404" s="49"/>
      <c r="EN404" s="49"/>
      <c r="EO404" s="49"/>
      <c r="EP404" s="49"/>
      <c r="EQ404" s="49"/>
      <c r="ER404" s="49"/>
      <c r="ES404" s="49"/>
      <c r="ET404" s="49"/>
      <c r="EU404" s="49"/>
      <c r="EV404" s="49"/>
      <c r="EW404" s="49"/>
      <c r="EX404" s="49"/>
      <c r="EY404" s="49"/>
      <c r="EZ404" s="49"/>
      <c r="FA404" s="49"/>
    </row>
    <row r="405" spans="1:157" s="210" customFormat="1" x14ac:dyDescent="0.25">
      <c r="A405" s="113">
        <f>IF(AND('[1]Cockpit Retorno'!$E$67=Sim,Mestre!M405=Mestre!$M$98),0,1)</f>
        <v>1</v>
      </c>
      <c r="B405" s="113">
        <f>IF(AND('[1]Cockpit Retorno'!$E$67=Sim,Mestre!L405=Mestre!$L$48),0,1)</f>
        <v>0</v>
      </c>
      <c r="C405" s="113">
        <f>IF(AND('[1]Cockpit Retorno'!$E$67=Sim,Mestre!M405=Mestre!$M$97),0,1)</f>
        <v>1</v>
      </c>
      <c r="D405" s="148" t="s">
        <v>7</v>
      </c>
      <c r="E405" s="115"/>
      <c r="F405" s="116" t="s">
        <v>107</v>
      </c>
      <c r="G405" s="149"/>
      <c r="H405" s="150" t="s">
        <v>7</v>
      </c>
      <c r="I405" s="151" t="str">
        <f t="shared" si="86"/>
        <v>Mercadorias</v>
      </c>
      <c r="J405" s="150" t="s">
        <v>15</v>
      </c>
      <c r="K405" s="152" t="s">
        <v>7</v>
      </c>
      <c r="L405" s="153" t="s">
        <v>15</v>
      </c>
      <c r="M405" s="154"/>
      <c r="N405" s="155" t="s">
        <v>43</v>
      </c>
      <c r="O405" s="155" t="s">
        <v>43</v>
      </c>
      <c r="P405" s="155" t="s">
        <v>43</v>
      </c>
      <c r="Q405" s="155" t="s">
        <v>43</v>
      </c>
      <c r="R405" s="155" t="s">
        <v>43</v>
      </c>
      <c r="S405" s="156" t="s">
        <v>43</v>
      </c>
      <c r="T405" s="156" t="s">
        <v>43</v>
      </c>
      <c r="U405" s="150" t="s">
        <v>43</v>
      </c>
      <c r="V405" s="150" t="s">
        <v>43</v>
      </c>
      <c r="W405" s="150" t="s">
        <v>43</v>
      </c>
      <c r="X405" s="157"/>
      <c r="Y405" s="150" t="s">
        <v>43</v>
      </c>
      <c r="Z405" s="150" t="s">
        <v>43</v>
      </c>
      <c r="AA405" s="158">
        <v>0</v>
      </c>
      <c r="AB405" s="155" t="s">
        <v>43</v>
      </c>
      <c r="AC405" s="150" t="s">
        <v>43</v>
      </c>
      <c r="AD405" s="155" t="s">
        <v>43</v>
      </c>
      <c r="AE405" s="155"/>
      <c r="AF405" s="150" t="s">
        <v>43</v>
      </c>
      <c r="AG405" s="159"/>
      <c r="AH405" s="159">
        <v>0</v>
      </c>
      <c r="AI405" s="202"/>
      <c r="AJ405" s="161"/>
      <c r="AK405" s="162"/>
      <c r="AL405" s="163"/>
      <c r="AM405" s="164">
        <f>(((IF(L405=$L$101,1,IF(L405=$L$47,1,0))*(AH405*(1-AK405)))*AG405)*(1-AL405))</f>
        <v>0</v>
      </c>
      <c r="AN405" s="165">
        <f>IF(K405=$K$50,AM405,IF(K405=$K$53,AM405,IF(K405=$K$54,AM405,IF(K405=$K$55,AM405,IF(K405=$K$56,AM405,IF(K405=$K$57,AM405,IF(K405=$K$58,AM405,IF(K405=$K$65,AM405,IF(K405=$K$66,AM405,IF(K405=$K$67,AM405,IF(K405=$K$68,AM405,IF(K405=$K$69,AM405,IF(K405=$K$51,AM405,(AM405*(1+AI405)))))))))))))))</f>
        <v>0</v>
      </c>
      <c r="AO405" s="166">
        <v>1.4</v>
      </c>
      <c r="AP405" s="160">
        <f t="shared" si="87"/>
        <v>0</v>
      </c>
      <c r="AQ405" s="167">
        <f t="shared" si="95"/>
        <v>0</v>
      </c>
      <c r="AR405" s="160">
        <f t="shared" si="88"/>
        <v>0</v>
      </c>
      <c r="AS405" s="168">
        <f t="shared" si="89"/>
        <v>0</v>
      </c>
      <c r="AT405" s="169" t="str">
        <f>K405</f>
        <v>MI</v>
      </c>
      <c r="AU405" s="169" t="str">
        <f>I405</f>
        <v>Mercadorias</v>
      </c>
      <c r="AV405" s="170"/>
      <c r="AW405" s="171">
        <f>IF(K405=$K$50,0,IF(K405=$K$53,0,IF(K405=$K$54,0,IF(K405=$K$55,0,IF(K405=$K$56,0,IF(K405=$K$57,0,IF(K405=$K$58,0,IF(K405=$K$65,0,IF(K405=$K$66,0,IF(K405=$K$67,0,IF(K405=$K$68,0,IF(K405=$K$69,0,IF(K405=$K$51,0,1))))))))))))*AM405*AI405)</f>
        <v>0</v>
      </c>
      <c r="AX405" s="172">
        <f>IF(K405=$K$50,0,IF(K405=$K$53,0,IF(K405=$K$54,0,IF(K405=$K$55,0,IF(K405=$K$56,0,IF(K405=$K$57,0,IF(K405=$K$58,0,IF(K405=$K$65,0,IF(K405=$K$66,0,IF(K405=$K$67,0,IF(K405=$K$68,0,IF(K405=$K$69,0,IF(K405=$K$51,0,1))))))))))))*AM405*AJ405*$AX$94)</f>
        <v>0</v>
      </c>
      <c r="AY405" s="172">
        <f>IF(K405=$K$53,0,IF(K405=$K$54,0,IF(K405=$K$55,0,IF(K405=$K$56,0,IF(K405=$K$58,0,IF(K405=$K$50,0,IF(K405=$K$65,0,IF(K405=$K$57,0,IF(K405=$K$51,0,AM405*$AY$102)))))))))</f>
        <v>0</v>
      </c>
      <c r="AZ405" s="172">
        <f>IF(K405=$K$53,0,IF(K405=$K$54,0,IF(K405=$K$55,0,IF(K405=$K$56,0,IF(K405=$K$58,0,IF(K405=$K$50,0,IF(K405=$K$65,0,IF(K405=$K$57,0,IF(K405=$K$51,0,AM405*$AZ$102)))))))))</f>
        <v>0</v>
      </c>
      <c r="BA405" s="172">
        <f t="shared" si="90"/>
        <v>0</v>
      </c>
      <c r="BB405" s="173">
        <f>IF($BA$97=1,AQ405*$BB$102,IF(K405=$K$50,0,IF(K405=$K$53,0,IF(K405=$K$54,0,IF(K405=$K$55,0,IF(K405=$K$56,0,IF(K405=$K$57,0,IF(K405=$K$58,0,IF(K405=$K$65,0,IF(K405=$K$66,0,IF(K405=$K$67,0,IF(K405=$K$68,0,IF(K405=$K$69,0,IF(K405=$K$51,0,1)))))))))))*AQ405*$BB$102)))</f>
        <v>0</v>
      </c>
      <c r="BC405" s="172">
        <f t="shared" si="91"/>
        <v>0</v>
      </c>
      <c r="BD405" s="172">
        <f t="shared" si="92"/>
        <v>0</v>
      </c>
      <c r="BE405" s="172">
        <f>IF($BE$95=I405,$BE$97,IF(I405=$BE$96,$BE$97,1))*($BE$102*AQ405)*$AZ$97</f>
        <v>0</v>
      </c>
      <c r="BF405" s="172">
        <f>IF('[1]Cockpit Retorno'!$C$65=Sim,Mestre!BA405,SUM(BB405:BE405)+(IF(K405=$K$56,AQ405*MOE_IRRF_LR,0)))</f>
        <v>0</v>
      </c>
      <c r="BG405" s="174">
        <f>IF(AA405&gt;0,0,IF(Z405=$Z$82,AG405*1,(IF(Z405=$Z$81,AG405*1,0))))</f>
        <v>0</v>
      </c>
      <c r="BH405" s="174">
        <f>IF(AA405&gt;0,0,IF(Z405=$Z$83,AG405*1,IF(Z405=$Z$81,AG405*1,0)))</f>
        <v>0</v>
      </c>
      <c r="BI405" s="174">
        <f>IF(AA405&gt;0,0,IF(Z405=$Z$84,AG405*1,IF(Z405=$Z$93,AG405*2,IF(Z405=$Z$100,AG405,IF(Z405=$Z$81,AG405*2,IF(Z405=$Z$80,AG405*1,IF(Z405=$Z$79,AG405*3,IF(Z405=$Z$78,AG405*2,0))))))))</f>
        <v>0</v>
      </c>
      <c r="BJ405" s="174">
        <f>IF(AA405&gt;0,0,IF(Z405=$Z$85,AG405,IF(Z405=$Z$93,AG405,IF(Z405=$Z$100,AG405,IF(Z405=$Z$81,AG405*1,IF(Z405=$Z$80,AG405*2,IF(Z405=$Z$79,AG405*2,IF(Z405=$Z$78,AG405*2,0))))))))</f>
        <v>0</v>
      </c>
      <c r="BK405" s="174">
        <f>IF(AA405&gt;0,0,IF(Z405=$Z$92,AG405,0))</f>
        <v>0</v>
      </c>
      <c r="BL405" s="174">
        <f>IF(AA405&gt;0,0,IF(Z405=$Z$91,AG405,0))</f>
        <v>0</v>
      </c>
      <c r="BM405" s="174">
        <f>IF(AA405&gt;0,0,IF(Z405=$Z$86,AG405,0))</f>
        <v>0</v>
      </c>
      <c r="BN405" s="174">
        <f>IF(AA405&gt;0,0,IF(Z405=$Z$87,AG405,0))</f>
        <v>0</v>
      </c>
      <c r="BO405" s="174">
        <f>IF(AA405&gt;0,0,IF(Z405=$Z$88,AG405,0))</f>
        <v>0</v>
      </c>
      <c r="BP405" s="174">
        <f>IF(AA405&gt;0,0,IF(Z405=$Z$89,AG405,0))</f>
        <v>0</v>
      </c>
      <c r="BQ405" s="174">
        <f>IF(AA405&gt;0,0,IF(Z405=$Z$90,AG405,0))</f>
        <v>0</v>
      </c>
      <c r="BR405" s="174">
        <f>IF(Z405=$Z$82,AA405*AG405,0)</f>
        <v>0</v>
      </c>
      <c r="BS405" s="174">
        <f>IF(Z405=$Z$83,AA405*AG405,0)</f>
        <v>0</v>
      </c>
      <c r="BT405" s="174">
        <f>IF(AA405&lt;1,0,IF(Z405=$Z$84,AA405*AG405,IF(Z405=$Z$93,"ERRO",IF(Z405=$Z$100,"ERRO",0))))</f>
        <v>0</v>
      </c>
      <c r="BU405" s="174">
        <f>IF(AA405&lt;1,0,IF(Z405=$Z$85,AA405*AG405,IF(Z405=$Z$93,"ERRO",IF(Z405=$Z$100,"ERRO",0))))</f>
        <v>0</v>
      </c>
      <c r="BV405" s="174">
        <f>IF(Z405=$Z$92,AA405*AG405,0)</f>
        <v>0</v>
      </c>
      <c r="BW405" s="174">
        <f>IF(Z405=$Z$91,AA405*AG405,0)</f>
        <v>0</v>
      </c>
      <c r="BX405" s="174">
        <f>IF(Z405=$Z$86,AA405*AG405,0)</f>
        <v>0</v>
      </c>
      <c r="BY405" s="174">
        <f>IF(Z405=$Z$87,AA405*AG405,0)</f>
        <v>0</v>
      </c>
      <c r="BZ405" s="174">
        <f>IF(Z405=$Z$88,AA405*AG405,0)</f>
        <v>0</v>
      </c>
      <c r="CA405" s="174">
        <f>IF(Z405=$Z$89,AA405*AG405,0)</f>
        <v>0</v>
      </c>
      <c r="CB405" s="174">
        <f>IF(Z405=$Z$90,AA405*AG405,0)</f>
        <v>0</v>
      </c>
      <c r="CC405" s="175">
        <f>IFERROR(IF(L405=$L$49,AG405*AH405*(1+AI405)*(1-AK405)*(1-AL405),0),0)</f>
        <v>0</v>
      </c>
      <c r="CD405" s="203">
        <f>IF(I405=$CD$97,1,IF(I405=$CD$100,2,IF(K405=$K$66,1,IF(K405=$K$69,1,3))))</f>
        <v>1</v>
      </c>
      <c r="CE405" s="203">
        <f t="shared" si="14"/>
        <v>1.07</v>
      </c>
      <c r="CF405" s="204">
        <f t="shared" si="75"/>
        <v>1.2353999999999998</v>
      </c>
      <c r="CG405" s="203">
        <f t="shared" si="15"/>
        <v>1.42</v>
      </c>
      <c r="CH405" s="204">
        <f t="shared" si="76"/>
        <v>1.5478000000000001</v>
      </c>
      <c r="CI405" s="203">
        <f t="shared" si="16"/>
        <v>1.7</v>
      </c>
      <c r="CJ405" s="205">
        <f t="shared" si="77"/>
        <v>1.0486</v>
      </c>
      <c r="CK405" s="205">
        <f t="shared" si="78"/>
        <v>1.148922</v>
      </c>
      <c r="CL405" s="205">
        <f t="shared" si="79"/>
        <v>1.3915999999999999</v>
      </c>
      <c r="CM405" s="205">
        <f t="shared" si="80"/>
        <v>1.501366</v>
      </c>
      <c r="CN405" s="206">
        <f t="shared" si="81"/>
        <v>1.6319999999999999</v>
      </c>
      <c r="CO405" s="204">
        <f t="shared" si="82"/>
        <v>1.006656</v>
      </c>
      <c r="CP405" s="207">
        <f t="shared" si="83"/>
        <v>0</v>
      </c>
      <c r="CQ405" s="208">
        <f t="shared" si="84"/>
        <v>0</v>
      </c>
      <c r="CR405" s="209">
        <f t="shared" si="93"/>
        <v>0</v>
      </c>
      <c r="CS405" s="49"/>
      <c r="CT405" s="49"/>
      <c r="CU405" s="49"/>
      <c r="CV405" s="49"/>
      <c r="CW405" s="49"/>
      <c r="CX405" s="49"/>
      <c r="CY405" s="49"/>
      <c r="CZ405" s="49"/>
      <c r="DA405" s="49"/>
      <c r="DB405" s="49"/>
      <c r="DC405" s="49"/>
      <c r="DD405" s="49"/>
      <c r="DE405" s="49"/>
      <c r="DF405" s="49"/>
      <c r="DG405" s="49"/>
      <c r="DH405" s="49"/>
      <c r="DI405" s="49"/>
      <c r="DJ405" s="49"/>
      <c r="DK405" s="49"/>
      <c r="DL405" s="49"/>
      <c r="DM405" s="49"/>
      <c r="DN405" s="49"/>
      <c r="DO405" s="49"/>
      <c r="DP405" s="49"/>
      <c r="DQ405" s="49"/>
      <c r="DR405" s="49"/>
      <c r="DS405" s="49"/>
      <c r="DT405" s="49"/>
      <c r="DU405" s="49"/>
      <c r="DV405" s="49"/>
      <c r="DW405" s="49"/>
      <c r="DX405" s="49"/>
      <c r="DY405" s="49"/>
      <c r="DZ405" s="49"/>
      <c r="EA405" s="49"/>
      <c r="EB405" s="49"/>
      <c r="EC405" s="49"/>
      <c r="ED405" s="49"/>
      <c r="EE405" s="49"/>
      <c r="EF405" s="49"/>
      <c r="EG405" s="49"/>
      <c r="EH405" s="49"/>
      <c r="EI405" s="49"/>
      <c r="EJ405" s="49"/>
      <c r="EK405" s="49"/>
      <c r="EL405" s="49"/>
      <c r="EM405" s="49"/>
      <c r="EN405" s="49"/>
      <c r="EO405" s="49"/>
      <c r="EP405" s="49"/>
      <c r="EQ405" s="49"/>
      <c r="ER405" s="49"/>
      <c r="ES405" s="49"/>
      <c r="ET405" s="49"/>
      <c r="EU405" s="49"/>
      <c r="EV405" s="49"/>
      <c r="EW405" s="49"/>
      <c r="EX405" s="49"/>
      <c r="EY405" s="49"/>
      <c r="EZ405" s="49"/>
      <c r="FA405" s="49"/>
    </row>
    <row r="406" spans="1:157" s="210" customFormat="1" x14ac:dyDescent="0.25">
      <c r="A406" s="113">
        <f>IF(AND('[1]Cockpit Retorno'!$E$67=Sim,Mestre!M406=Mestre!$M$98),0,1)</f>
        <v>1</v>
      </c>
      <c r="B406" s="113">
        <f>IF(AND('[1]Cockpit Retorno'!$E$67=Sim,Mestre!L406=Mestre!$L$48),0,1)</f>
        <v>0</v>
      </c>
      <c r="C406" s="113">
        <f>IF(AND('[1]Cockpit Retorno'!$E$67=Sim,Mestre!M406=Mestre!$M$97),0,1)</f>
        <v>1</v>
      </c>
      <c r="D406" s="148" t="s">
        <v>7</v>
      </c>
      <c r="E406" s="115"/>
      <c r="F406" s="116" t="s">
        <v>107</v>
      </c>
      <c r="G406" s="149"/>
      <c r="H406" s="150" t="s">
        <v>7</v>
      </c>
      <c r="I406" s="151" t="str">
        <f t="shared" si="86"/>
        <v>Mercadorias</v>
      </c>
      <c r="J406" s="150" t="s">
        <v>15</v>
      </c>
      <c r="K406" s="152" t="s">
        <v>7</v>
      </c>
      <c r="L406" s="153" t="s">
        <v>15</v>
      </c>
      <c r="M406" s="154"/>
      <c r="N406" s="155" t="s">
        <v>43</v>
      </c>
      <c r="O406" s="155" t="s">
        <v>43</v>
      </c>
      <c r="P406" s="155" t="s">
        <v>43</v>
      </c>
      <c r="Q406" s="155" t="s">
        <v>43</v>
      </c>
      <c r="R406" s="155" t="s">
        <v>43</v>
      </c>
      <c r="S406" s="156" t="s">
        <v>43</v>
      </c>
      <c r="T406" s="156" t="s">
        <v>43</v>
      </c>
      <c r="U406" s="150" t="s">
        <v>43</v>
      </c>
      <c r="V406" s="150" t="s">
        <v>43</v>
      </c>
      <c r="W406" s="150" t="s">
        <v>43</v>
      </c>
      <c r="X406" s="157"/>
      <c r="Y406" s="150" t="s">
        <v>43</v>
      </c>
      <c r="Z406" s="150" t="s">
        <v>43</v>
      </c>
      <c r="AA406" s="158">
        <v>0</v>
      </c>
      <c r="AB406" s="155" t="s">
        <v>43</v>
      </c>
      <c r="AC406" s="150" t="s">
        <v>43</v>
      </c>
      <c r="AD406" s="155" t="s">
        <v>43</v>
      </c>
      <c r="AE406" s="155"/>
      <c r="AF406" s="150" t="s">
        <v>43</v>
      </c>
      <c r="AG406" s="159"/>
      <c r="AH406" s="159">
        <v>0</v>
      </c>
      <c r="AI406" s="202"/>
      <c r="AJ406" s="161"/>
      <c r="AK406" s="162"/>
      <c r="AL406" s="163"/>
      <c r="AM406" s="164">
        <f>(((IF(L406=$L$101,1,IF(L406=$L$47,1,0))*(AH406*(1-AK406)))*AG406)*(1-AL406))</f>
        <v>0</v>
      </c>
      <c r="AN406" s="165">
        <f>IF(K406=$K$50,AM406,IF(K406=$K$53,AM406,IF(K406=$K$54,AM406,IF(K406=$K$55,AM406,IF(K406=$K$56,AM406,IF(K406=$K$57,AM406,IF(K406=$K$58,AM406,IF(K406=$K$65,AM406,IF(K406=$K$66,AM406,IF(K406=$K$67,AM406,IF(K406=$K$68,AM406,IF(K406=$K$69,AM406,IF(K406=$K$51,AM406,(AM406*(1+AI406)))))))))))))))</f>
        <v>0</v>
      </c>
      <c r="AO406" s="166">
        <v>1.4</v>
      </c>
      <c r="AP406" s="160">
        <f t="shared" si="87"/>
        <v>0</v>
      </c>
      <c r="AQ406" s="167">
        <f t="shared" si="95"/>
        <v>0</v>
      </c>
      <c r="AR406" s="160">
        <f t="shared" si="88"/>
        <v>0</v>
      </c>
      <c r="AS406" s="168">
        <f t="shared" si="89"/>
        <v>0</v>
      </c>
      <c r="AT406" s="169" t="str">
        <f>K406</f>
        <v>MI</v>
      </c>
      <c r="AU406" s="169" t="str">
        <f>I406</f>
        <v>Mercadorias</v>
      </c>
      <c r="AV406" s="170"/>
      <c r="AW406" s="171">
        <f>IF(K406=$K$50,0,IF(K406=$K$53,0,IF(K406=$K$54,0,IF(K406=$K$55,0,IF(K406=$K$56,0,IF(K406=$K$57,0,IF(K406=$K$58,0,IF(K406=$K$65,0,IF(K406=$K$66,0,IF(K406=$K$67,0,IF(K406=$K$68,0,IF(K406=$K$69,0,IF(K406=$K$51,0,1))))))))))))*AM406*AI406)</f>
        <v>0</v>
      </c>
      <c r="AX406" s="172">
        <f>IF(K406=$K$50,0,IF(K406=$K$53,0,IF(K406=$K$54,0,IF(K406=$K$55,0,IF(K406=$K$56,0,IF(K406=$K$57,0,IF(K406=$K$58,0,IF(K406=$K$65,0,IF(K406=$K$66,0,IF(K406=$K$67,0,IF(K406=$K$68,0,IF(K406=$K$69,0,IF(K406=$K$51,0,1))))))))))))*AM406*AJ406*$AX$94)</f>
        <v>0</v>
      </c>
      <c r="AY406" s="172">
        <f>IF(K406=$K$53,0,IF(K406=$K$54,0,IF(K406=$K$55,0,IF(K406=$K$56,0,IF(K406=$K$58,0,IF(K406=$K$50,0,IF(K406=$K$65,0,IF(K406=$K$57,0,IF(K406=$K$51,0,AM406*$AY$102)))))))))</f>
        <v>0</v>
      </c>
      <c r="AZ406" s="172">
        <f>IF(K406=$K$53,0,IF(K406=$K$54,0,IF(K406=$K$55,0,IF(K406=$K$56,0,IF(K406=$K$58,0,IF(K406=$K$50,0,IF(K406=$K$65,0,IF(K406=$K$57,0,IF(K406=$K$51,0,AM406*$AZ$102)))))))))</f>
        <v>0</v>
      </c>
      <c r="BA406" s="172">
        <f t="shared" si="90"/>
        <v>0</v>
      </c>
      <c r="BB406" s="173">
        <f>IF($BA$97=1,AQ406*$BB$102,IF(K406=$K$50,0,IF(K406=$K$53,0,IF(K406=$K$54,0,IF(K406=$K$55,0,IF(K406=$K$56,0,IF(K406=$K$57,0,IF(K406=$K$58,0,IF(K406=$K$65,0,IF(K406=$K$66,0,IF(K406=$K$67,0,IF(K406=$K$68,0,IF(K406=$K$69,0,IF(K406=$K$51,0,1)))))))))))*AQ406*$BB$102)))</f>
        <v>0</v>
      </c>
      <c r="BC406" s="172">
        <f t="shared" si="91"/>
        <v>0</v>
      </c>
      <c r="BD406" s="172">
        <f t="shared" si="92"/>
        <v>0</v>
      </c>
      <c r="BE406" s="172">
        <f>IF($BE$95=I406,$BE$97,IF(I406=$BE$96,$BE$97,1))*($BE$102*AQ406)*$AZ$97</f>
        <v>0</v>
      </c>
      <c r="BF406" s="172">
        <f>IF('[1]Cockpit Retorno'!$C$65=Sim,Mestre!BA406,SUM(BB406:BE406)+(IF(K406=$K$56,AQ406*MOE_IRRF_LR,0)))</f>
        <v>0</v>
      </c>
      <c r="BG406" s="174">
        <f>IF(AA406&gt;0,0,IF(Z406=$Z$82,AG406*1,(IF(Z406=$Z$81,AG406*1,0))))</f>
        <v>0</v>
      </c>
      <c r="BH406" s="174">
        <f>IF(AA406&gt;0,0,IF(Z406=$Z$83,AG406*1,IF(Z406=$Z$81,AG406*1,0)))</f>
        <v>0</v>
      </c>
      <c r="BI406" s="174">
        <f>IF(AA406&gt;0,0,IF(Z406=$Z$84,AG406*1,IF(Z406=$Z$93,AG406*2,IF(Z406=$Z$100,AG406,IF(Z406=$Z$81,AG406*2,IF(Z406=$Z$80,AG406*1,IF(Z406=$Z$79,AG406*3,IF(Z406=$Z$78,AG406*2,0))))))))</f>
        <v>0</v>
      </c>
      <c r="BJ406" s="174">
        <f>IF(AA406&gt;0,0,IF(Z406=$Z$85,AG406,IF(Z406=$Z$93,AG406,IF(Z406=$Z$100,AG406,IF(Z406=$Z$81,AG406*1,IF(Z406=$Z$80,AG406*2,IF(Z406=$Z$79,AG406*2,IF(Z406=$Z$78,AG406*2,0))))))))</f>
        <v>0</v>
      </c>
      <c r="BK406" s="174">
        <f>IF(AA406&gt;0,0,IF(Z406=$Z$92,AG406,0))</f>
        <v>0</v>
      </c>
      <c r="BL406" s="174">
        <f>IF(AA406&gt;0,0,IF(Z406=$Z$91,AG406,0))</f>
        <v>0</v>
      </c>
      <c r="BM406" s="174">
        <f>IF(AA406&gt;0,0,IF(Z406=$Z$86,AG406,0))</f>
        <v>0</v>
      </c>
      <c r="BN406" s="174">
        <f>IF(AA406&gt;0,0,IF(Z406=$Z$87,AG406,0))</f>
        <v>0</v>
      </c>
      <c r="BO406" s="174">
        <f>IF(AA406&gt;0,0,IF(Z406=$Z$88,AG406,0))</f>
        <v>0</v>
      </c>
      <c r="BP406" s="174">
        <f>IF(AA406&gt;0,0,IF(Z406=$Z$89,AG406,0))</f>
        <v>0</v>
      </c>
      <c r="BQ406" s="174">
        <f>IF(AA406&gt;0,0,IF(Z406=$Z$90,AG406,0))</f>
        <v>0</v>
      </c>
      <c r="BR406" s="174">
        <f>IF(Z406=$Z$82,AA406*AG406,0)</f>
        <v>0</v>
      </c>
      <c r="BS406" s="174">
        <f>IF(Z406=$Z$83,AA406*AG406,0)</f>
        <v>0</v>
      </c>
      <c r="BT406" s="174">
        <f>IF(AA406&lt;1,0,IF(Z406=$Z$84,AA406*AG406,IF(Z406=$Z$93,"ERRO",IF(Z406=$Z$100,"ERRO",0))))</f>
        <v>0</v>
      </c>
      <c r="BU406" s="174">
        <f>IF(AA406&lt;1,0,IF(Z406=$Z$85,AA406*AG406,IF(Z406=$Z$93,"ERRO",IF(Z406=$Z$100,"ERRO",0))))</f>
        <v>0</v>
      </c>
      <c r="BV406" s="174">
        <f>IF(Z406=$Z$92,AA406*AG406,0)</f>
        <v>0</v>
      </c>
      <c r="BW406" s="174">
        <f>IF(Z406=$Z$91,AA406*AG406,0)</f>
        <v>0</v>
      </c>
      <c r="BX406" s="174">
        <f>IF(Z406=$Z$86,AA406*AG406,0)</f>
        <v>0</v>
      </c>
      <c r="BY406" s="174">
        <f>IF(Z406=$Z$87,AA406*AG406,0)</f>
        <v>0</v>
      </c>
      <c r="BZ406" s="174">
        <f>IF(Z406=$Z$88,AA406*AG406,0)</f>
        <v>0</v>
      </c>
      <c r="CA406" s="174">
        <f>IF(Z406=$Z$89,AA406*AG406,0)</f>
        <v>0</v>
      </c>
      <c r="CB406" s="174">
        <f>IF(Z406=$Z$90,AA406*AG406,0)</f>
        <v>0</v>
      </c>
      <c r="CC406" s="175">
        <f>IFERROR(IF(L406=$L$49,AG406*AH406*(1+AI406)*(1-AK406)*(1-AL406),0),0)</f>
        <v>0</v>
      </c>
      <c r="CD406" s="203">
        <f>IF(I406=$CD$97,1,IF(I406=$CD$100,2,IF(K406=$K$66,1,IF(K406=$K$69,1,3))))</f>
        <v>1</v>
      </c>
      <c r="CE406" s="203">
        <f t="shared" si="14"/>
        <v>1.07</v>
      </c>
      <c r="CF406" s="204">
        <f t="shared" ref="CF406:CF454" si="96">CG406*0.87</f>
        <v>1.2353999999999998</v>
      </c>
      <c r="CG406" s="203">
        <f t="shared" si="15"/>
        <v>1.42</v>
      </c>
      <c r="CH406" s="204">
        <f t="shared" ref="CH406:CH454" si="97">CG406*1.09</f>
        <v>1.5478000000000001</v>
      </c>
      <c r="CI406" s="203">
        <f t="shared" si="16"/>
        <v>1.7</v>
      </c>
      <c r="CJ406" s="205">
        <f t="shared" ref="CJ406:CJ439" si="98">CE406*$CJ$102</f>
        <v>1.0486</v>
      </c>
      <c r="CK406" s="205">
        <f t="shared" ref="CK406:CK439" si="99">CF406*$CK$102</f>
        <v>1.148922</v>
      </c>
      <c r="CL406" s="205">
        <f t="shared" ref="CL406:CL439" si="100">CG406*$CL$102</f>
        <v>1.3915999999999999</v>
      </c>
      <c r="CM406" s="205">
        <f t="shared" ref="CM406:CM439" si="101">CH406*$CM$102</f>
        <v>1.501366</v>
      </c>
      <c r="CN406" s="206">
        <f t="shared" ref="CN406:CN439" si="102">CI406*$CN$102</f>
        <v>1.6319999999999999</v>
      </c>
      <c r="CO406" s="204">
        <f t="shared" ref="CO406:CO439" si="103">CJ406*$CO$102</f>
        <v>1.006656</v>
      </c>
      <c r="CP406" s="207">
        <f t="shared" ref="CP406:CP454" si="104">BF406-BA406</f>
        <v>0</v>
      </c>
      <c r="CQ406" s="208">
        <f t="shared" ref="CQ406:CQ454" si="105">AQ406-CP406</f>
        <v>0</v>
      </c>
      <c r="CR406" s="209">
        <f t="shared" si="93"/>
        <v>0</v>
      </c>
      <c r="CS406" s="49"/>
      <c r="CT406" s="49"/>
      <c r="CU406" s="49"/>
      <c r="CV406" s="49"/>
      <c r="CW406" s="49"/>
      <c r="CX406" s="49"/>
      <c r="CY406" s="49"/>
      <c r="CZ406" s="49"/>
      <c r="DA406" s="49"/>
      <c r="DB406" s="49"/>
      <c r="DC406" s="49"/>
      <c r="DD406" s="49"/>
      <c r="DE406" s="49"/>
      <c r="DF406" s="49"/>
      <c r="DG406" s="49"/>
      <c r="DH406" s="49"/>
      <c r="DI406" s="49"/>
      <c r="DJ406" s="49"/>
      <c r="DK406" s="49"/>
      <c r="DL406" s="49"/>
      <c r="DM406" s="49"/>
      <c r="DN406" s="49"/>
      <c r="DO406" s="49"/>
      <c r="DP406" s="49"/>
      <c r="DQ406" s="49"/>
      <c r="DR406" s="49"/>
      <c r="DS406" s="49"/>
      <c r="DT406" s="49"/>
      <c r="DU406" s="49"/>
      <c r="DV406" s="49"/>
      <c r="DW406" s="49"/>
      <c r="DX406" s="49"/>
      <c r="DY406" s="49"/>
      <c r="DZ406" s="49"/>
      <c r="EA406" s="49"/>
      <c r="EB406" s="49"/>
      <c r="EC406" s="49"/>
      <c r="ED406" s="49"/>
      <c r="EE406" s="49"/>
      <c r="EF406" s="49"/>
      <c r="EG406" s="49"/>
      <c r="EH406" s="49"/>
      <c r="EI406" s="49"/>
      <c r="EJ406" s="49"/>
      <c r="EK406" s="49"/>
      <c r="EL406" s="49"/>
      <c r="EM406" s="49"/>
      <c r="EN406" s="49"/>
      <c r="EO406" s="49"/>
      <c r="EP406" s="49"/>
      <c r="EQ406" s="49"/>
      <c r="ER406" s="49"/>
      <c r="ES406" s="49"/>
      <c r="ET406" s="49"/>
      <c r="EU406" s="49"/>
      <c r="EV406" s="49"/>
      <c r="EW406" s="49"/>
      <c r="EX406" s="49"/>
      <c r="EY406" s="49"/>
      <c r="EZ406" s="49"/>
      <c r="FA406" s="49"/>
    </row>
    <row r="407" spans="1:157" s="210" customFormat="1" x14ac:dyDescent="0.25">
      <c r="A407" s="113">
        <f>IF(AND('[1]Cockpit Retorno'!$E$67=Sim,Mestre!M407=Mestre!$M$98),0,1)</f>
        <v>1</v>
      </c>
      <c r="B407" s="113">
        <f>IF(AND('[1]Cockpit Retorno'!$E$67=Sim,Mestre!L407=Mestre!$L$48),0,1)</f>
        <v>0</v>
      </c>
      <c r="C407" s="113">
        <f>IF(AND('[1]Cockpit Retorno'!$E$67=Sim,Mestre!M407=Mestre!$M$97),0,1)</f>
        <v>1</v>
      </c>
      <c r="D407" s="148" t="s">
        <v>7</v>
      </c>
      <c r="E407" s="115"/>
      <c r="F407" s="116" t="s">
        <v>107</v>
      </c>
      <c r="G407" s="149"/>
      <c r="H407" s="150" t="s">
        <v>7</v>
      </c>
      <c r="I407" s="151" t="str">
        <f t="shared" si="86"/>
        <v>Mercadorias</v>
      </c>
      <c r="J407" s="150" t="s">
        <v>15</v>
      </c>
      <c r="K407" s="152" t="s">
        <v>7</v>
      </c>
      <c r="L407" s="153" t="s">
        <v>15</v>
      </c>
      <c r="M407" s="154"/>
      <c r="N407" s="155" t="s">
        <v>43</v>
      </c>
      <c r="O407" s="155" t="s">
        <v>43</v>
      </c>
      <c r="P407" s="155" t="s">
        <v>43</v>
      </c>
      <c r="Q407" s="155" t="s">
        <v>43</v>
      </c>
      <c r="R407" s="155" t="s">
        <v>43</v>
      </c>
      <c r="S407" s="156" t="s">
        <v>43</v>
      </c>
      <c r="T407" s="156" t="s">
        <v>43</v>
      </c>
      <c r="U407" s="150" t="s">
        <v>43</v>
      </c>
      <c r="V407" s="150" t="s">
        <v>43</v>
      </c>
      <c r="W407" s="150" t="s">
        <v>43</v>
      </c>
      <c r="X407" s="157"/>
      <c r="Y407" s="150" t="s">
        <v>43</v>
      </c>
      <c r="Z407" s="150" t="s">
        <v>43</v>
      </c>
      <c r="AA407" s="158">
        <v>0</v>
      </c>
      <c r="AB407" s="155" t="s">
        <v>43</v>
      </c>
      <c r="AC407" s="150" t="s">
        <v>43</v>
      </c>
      <c r="AD407" s="155" t="s">
        <v>43</v>
      </c>
      <c r="AE407" s="155"/>
      <c r="AF407" s="150" t="s">
        <v>43</v>
      </c>
      <c r="AG407" s="159"/>
      <c r="AH407" s="159">
        <v>0</v>
      </c>
      <c r="AI407" s="202"/>
      <c r="AJ407" s="161"/>
      <c r="AK407" s="162"/>
      <c r="AL407" s="163"/>
      <c r="AM407" s="164">
        <f>(((IF(L407=$L$101,1,IF(L407=$L$47,1,0))*(AH407*(1-AK407)))*AG407)*(1-AL407))</f>
        <v>0</v>
      </c>
      <c r="AN407" s="165">
        <f>IF(K407=$K$50,AM407,IF(K407=$K$53,AM407,IF(K407=$K$54,AM407,IF(K407=$K$55,AM407,IF(K407=$K$56,AM407,IF(K407=$K$57,AM407,IF(K407=$K$58,AM407,IF(K407=$K$65,AM407,IF(K407=$K$66,AM407,IF(K407=$K$67,AM407,IF(K407=$K$68,AM407,IF(K407=$K$69,AM407,IF(K407=$K$51,AM407,(AM407*(1+AI407)))))))))))))))</f>
        <v>0</v>
      </c>
      <c r="AO407" s="166">
        <v>1.4</v>
      </c>
      <c r="AP407" s="160">
        <f t="shared" si="87"/>
        <v>0</v>
      </c>
      <c r="AQ407" s="167">
        <f t="shared" si="95"/>
        <v>0</v>
      </c>
      <c r="AR407" s="160">
        <f t="shared" si="88"/>
        <v>0</v>
      </c>
      <c r="AS407" s="168">
        <f t="shared" si="89"/>
        <v>0</v>
      </c>
      <c r="AT407" s="169" t="str">
        <f>K407</f>
        <v>MI</v>
      </c>
      <c r="AU407" s="169" t="str">
        <f>I407</f>
        <v>Mercadorias</v>
      </c>
      <c r="AV407" s="170"/>
      <c r="AW407" s="171">
        <f>IF(K407=$K$50,0,IF(K407=$K$53,0,IF(K407=$K$54,0,IF(K407=$K$55,0,IF(K407=$K$56,0,IF(K407=$K$57,0,IF(K407=$K$58,0,IF(K407=$K$65,0,IF(K407=$K$66,0,IF(K407=$K$67,0,IF(K407=$K$68,0,IF(K407=$K$69,0,IF(K407=$K$51,0,1))))))))))))*AM407*AI407)</f>
        <v>0</v>
      </c>
      <c r="AX407" s="172">
        <f>IF(K407=$K$50,0,IF(K407=$K$53,0,IF(K407=$K$54,0,IF(K407=$K$55,0,IF(K407=$K$56,0,IF(K407=$K$57,0,IF(K407=$K$58,0,IF(K407=$K$65,0,IF(K407=$K$66,0,IF(K407=$K$67,0,IF(K407=$K$68,0,IF(K407=$K$69,0,IF(K407=$K$51,0,1))))))))))))*AM407*AJ407*$AX$94)</f>
        <v>0</v>
      </c>
      <c r="AY407" s="172">
        <f>IF(K407=$K$53,0,IF(K407=$K$54,0,IF(K407=$K$55,0,IF(K407=$K$56,0,IF(K407=$K$58,0,IF(K407=$K$50,0,IF(K407=$K$65,0,IF(K407=$K$57,0,IF(K407=$K$51,0,AM407*$AY$102)))))))))</f>
        <v>0</v>
      </c>
      <c r="AZ407" s="172">
        <f>IF(K407=$K$53,0,IF(K407=$K$54,0,IF(K407=$K$55,0,IF(K407=$K$56,0,IF(K407=$K$58,0,IF(K407=$K$50,0,IF(K407=$K$65,0,IF(K407=$K$57,0,IF(K407=$K$51,0,AM407*$AZ$102)))))))))</f>
        <v>0</v>
      </c>
      <c r="BA407" s="172">
        <f t="shared" si="90"/>
        <v>0</v>
      </c>
      <c r="BB407" s="173">
        <f>IF($BA$97=1,AQ407*$BB$102,IF(K407=$K$50,0,IF(K407=$K$53,0,IF(K407=$K$54,0,IF(K407=$K$55,0,IF(K407=$K$56,0,IF(K407=$K$57,0,IF(K407=$K$58,0,IF(K407=$K$65,0,IF(K407=$K$66,0,IF(K407=$K$67,0,IF(K407=$K$68,0,IF(K407=$K$69,0,IF(K407=$K$51,0,1)))))))))))*AQ407*$BB$102)))</f>
        <v>0</v>
      </c>
      <c r="BC407" s="172">
        <f t="shared" si="91"/>
        <v>0</v>
      </c>
      <c r="BD407" s="172">
        <f t="shared" si="92"/>
        <v>0</v>
      </c>
      <c r="BE407" s="172">
        <f>IF($BE$95=I407,$BE$97,IF(I407=$BE$96,$BE$97,1))*($BE$102*AQ407)*$AZ$97</f>
        <v>0</v>
      </c>
      <c r="BF407" s="172">
        <f>IF('[1]Cockpit Retorno'!$C$65=Sim,Mestre!BA407,SUM(BB407:BE407)+(IF(K407=$K$56,AQ407*MOE_IRRF_LR,0)))</f>
        <v>0</v>
      </c>
      <c r="BG407" s="174">
        <f>IF(AA407&gt;0,0,IF(Z407=$Z$82,AG407*1,(IF(Z407=$Z$81,AG407*1,0))))</f>
        <v>0</v>
      </c>
      <c r="BH407" s="174">
        <f>IF(AA407&gt;0,0,IF(Z407=$Z$83,AG407*1,IF(Z407=$Z$81,AG407*1,0)))</f>
        <v>0</v>
      </c>
      <c r="BI407" s="174">
        <f>IF(AA407&gt;0,0,IF(Z407=$Z$84,AG407*1,IF(Z407=$Z$93,AG407*2,IF(Z407=$Z$100,AG407,IF(Z407=$Z$81,AG407*2,IF(Z407=$Z$80,AG407*1,IF(Z407=$Z$79,AG407*3,IF(Z407=$Z$78,AG407*2,0))))))))</f>
        <v>0</v>
      </c>
      <c r="BJ407" s="174">
        <f>IF(AA407&gt;0,0,IF(Z407=$Z$85,AG407,IF(Z407=$Z$93,AG407,IF(Z407=$Z$100,AG407,IF(Z407=$Z$81,AG407*1,IF(Z407=$Z$80,AG407*2,IF(Z407=$Z$79,AG407*2,IF(Z407=$Z$78,AG407*2,0))))))))</f>
        <v>0</v>
      </c>
      <c r="BK407" s="174">
        <f>IF(AA407&gt;0,0,IF(Z407=$Z$92,AG407,0))</f>
        <v>0</v>
      </c>
      <c r="BL407" s="174">
        <f>IF(AA407&gt;0,0,IF(Z407=$Z$91,AG407,0))</f>
        <v>0</v>
      </c>
      <c r="BM407" s="174">
        <f>IF(AA407&gt;0,0,IF(Z407=$Z$86,AG407,0))</f>
        <v>0</v>
      </c>
      <c r="BN407" s="174">
        <f>IF(AA407&gt;0,0,IF(Z407=$Z$87,AG407,0))</f>
        <v>0</v>
      </c>
      <c r="BO407" s="174">
        <f>IF(AA407&gt;0,0,IF(Z407=$Z$88,AG407,0))</f>
        <v>0</v>
      </c>
      <c r="BP407" s="174">
        <f>IF(AA407&gt;0,0,IF(Z407=$Z$89,AG407,0))</f>
        <v>0</v>
      </c>
      <c r="BQ407" s="174">
        <f>IF(AA407&gt;0,0,IF(Z407=$Z$90,AG407,0))</f>
        <v>0</v>
      </c>
      <c r="BR407" s="174">
        <f>IF(Z407=$Z$82,AA407*AG407,0)</f>
        <v>0</v>
      </c>
      <c r="BS407" s="174">
        <f>IF(Z407=$Z$83,AA407*AG407,0)</f>
        <v>0</v>
      </c>
      <c r="BT407" s="174">
        <f>IF(AA407&lt;1,0,IF(Z407=$Z$84,AA407*AG407,IF(Z407=$Z$93,"ERRO",IF(Z407=$Z$100,"ERRO",0))))</f>
        <v>0</v>
      </c>
      <c r="BU407" s="174">
        <f>IF(AA407&lt;1,0,IF(Z407=$Z$85,AA407*AG407,IF(Z407=$Z$93,"ERRO",IF(Z407=$Z$100,"ERRO",0))))</f>
        <v>0</v>
      </c>
      <c r="BV407" s="174">
        <f>IF(Z407=$Z$92,AA407*AG407,0)</f>
        <v>0</v>
      </c>
      <c r="BW407" s="174">
        <f>IF(Z407=$Z$91,AA407*AG407,0)</f>
        <v>0</v>
      </c>
      <c r="BX407" s="174">
        <f>IF(Z407=$Z$86,AA407*AG407,0)</f>
        <v>0</v>
      </c>
      <c r="BY407" s="174">
        <f>IF(Z407=$Z$87,AA407*AG407,0)</f>
        <v>0</v>
      </c>
      <c r="BZ407" s="174">
        <f>IF(Z407=$Z$88,AA407*AG407,0)</f>
        <v>0</v>
      </c>
      <c r="CA407" s="174">
        <f>IF(Z407=$Z$89,AA407*AG407,0)</f>
        <v>0</v>
      </c>
      <c r="CB407" s="174">
        <f>IF(Z407=$Z$90,AA407*AG407,0)</f>
        <v>0</v>
      </c>
      <c r="CC407" s="175">
        <f>IFERROR(IF(L407=$L$49,AG407*AH407*(1+AI407)*(1-AK407)*(1-AL407),0),0)</f>
        <v>0</v>
      </c>
      <c r="CD407" s="203">
        <f>IF(I407=$CD$97,1,IF(I407=$CD$100,2,IF(K407=$K$66,1,IF(K407=$K$69,1,3))))</f>
        <v>1</v>
      </c>
      <c r="CE407" s="203">
        <f t="shared" si="14"/>
        <v>1.07</v>
      </c>
      <c r="CF407" s="204">
        <f t="shared" si="96"/>
        <v>1.2353999999999998</v>
      </c>
      <c r="CG407" s="203">
        <f t="shared" si="15"/>
        <v>1.42</v>
      </c>
      <c r="CH407" s="204">
        <f t="shared" si="97"/>
        <v>1.5478000000000001</v>
      </c>
      <c r="CI407" s="203">
        <f t="shared" si="16"/>
        <v>1.7</v>
      </c>
      <c r="CJ407" s="205">
        <f t="shared" si="98"/>
        <v>1.0486</v>
      </c>
      <c r="CK407" s="205">
        <f t="shared" si="99"/>
        <v>1.148922</v>
      </c>
      <c r="CL407" s="205">
        <f t="shared" si="100"/>
        <v>1.3915999999999999</v>
      </c>
      <c r="CM407" s="205">
        <f t="shared" si="101"/>
        <v>1.501366</v>
      </c>
      <c r="CN407" s="206">
        <f t="shared" si="102"/>
        <v>1.6319999999999999</v>
      </c>
      <c r="CO407" s="204">
        <f t="shared" si="103"/>
        <v>1.006656</v>
      </c>
      <c r="CP407" s="207">
        <f t="shared" si="104"/>
        <v>0</v>
      </c>
      <c r="CQ407" s="208">
        <f t="shared" si="105"/>
        <v>0</v>
      </c>
      <c r="CR407" s="209">
        <f t="shared" si="93"/>
        <v>0</v>
      </c>
      <c r="CS407" s="49"/>
      <c r="CT407" s="49"/>
      <c r="CU407" s="49"/>
      <c r="CV407" s="49"/>
      <c r="CW407" s="49"/>
      <c r="CX407" s="49"/>
      <c r="CY407" s="49"/>
      <c r="CZ407" s="49"/>
      <c r="DA407" s="49"/>
      <c r="DB407" s="49"/>
      <c r="DC407" s="49"/>
      <c r="DD407" s="49"/>
      <c r="DE407" s="49"/>
      <c r="DF407" s="49"/>
      <c r="DG407" s="49"/>
      <c r="DH407" s="49"/>
      <c r="DI407" s="49"/>
      <c r="DJ407" s="49"/>
      <c r="DK407" s="49"/>
      <c r="DL407" s="49"/>
      <c r="DM407" s="49"/>
      <c r="DN407" s="49"/>
      <c r="DO407" s="49"/>
      <c r="DP407" s="49"/>
      <c r="DQ407" s="49"/>
      <c r="DR407" s="49"/>
      <c r="DS407" s="49"/>
      <c r="DT407" s="49"/>
      <c r="DU407" s="49"/>
      <c r="DV407" s="49"/>
      <c r="DW407" s="49"/>
      <c r="DX407" s="49"/>
      <c r="DY407" s="49"/>
      <c r="DZ407" s="49"/>
      <c r="EA407" s="49"/>
      <c r="EB407" s="49"/>
      <c r="EC407" s="49"/>
      <c r="ED407" s="49"/>
      <c r="EE407" s="49"/>
      <c r="EF407" s="49"/>
      <c r="EG407" s="49"/>
      <c r="EH407" s="49"/>
      <c r="EI407" s="49"/>
      <c r="EJ407" s="49"/>
      <c r="EK407" s="49"/>
      <c r="EL407" s="49"/>
      <c r="EM407" s="49"/>
      <c r="EN407" s="49"/>
      <c r="EO407" s="49"/>
      <c r="EP407" s="49"/>
      <c r="EQ407" s="49"/>
      <c r="ER407" s="49"/>
      <c r="ES407" s="49"/>
      <c r="ET407" s="49"/>
      <c r="EU407" s="49"/>
      <c r="EV407" s="49"/>
      <c r="EW407" s="49"/>
      <c r="EX407" s="49"/>
      <c r="EY407" s="49"/>
      <c r="EZ407" s="49"/>
      <c r="FA407" s="49"/>
    </row>
    <row r="408" spans="1:157" s="210" customFormat="1" x14ac:dyDescent="0.25">
      <c r="A408" s="113">
        <f>IF(AND('[1]Cockpit Retorno'!$E$67=Sim,Mestre!M408=Mestre!$M$98),0,1)</f>
        <v>1</v>
      </c>
      <c r="B408" s="113">
        <f>IF(AND('[1]Cockpit Retorno'!$E$67=Sim,Mestre!L408=Mestre!$L$48),0,1)</f>
        <v>0</v>
      </c>
      <c r="C408" s="113">
        <f>IF(AND('[1]Cockpit Retorno'!$E$67=Sim,Mestre!M408=Mestre!$M$97),0,1)</f>
        <v>1</v>
      </c>
      <c r="D408" s="148" t="s">
        <v>7</v>
      </c>
      <c r="E408" s="115"/>
      <c r="F408" s="116" t="s">
        <v>107</v>
      </c>
      <c r="G408" s="149"/>
      <c r="H408" s="150" t="s">
        <v>7</v>
      </c>
      <c r="I408" s="151" t="str">
        <f t="shared" si="86"/>
        <v>Mercadorias</v>
      </c>
      <c r="J408" s="150" t="s">
        <v>15</v>
      </c>
      <c r="K408" s="152" t="s">
        <v>7</v>
      </c>
      <c r="L408" s="153" t="s">
        <v>15</v>
      </c>
      <c r="M408" s="154"/>
      <c r="N408" s="155" t="s">
        <v>43</v>
      </c>
      <c r="O408" s="155" t="s">
        <v>43</v>
      </c>
      <c r="P408" s="155" t="s">
        <v>43</v>
      </c>
      <c r="Q408" s="155" t="s">
        <v>43</v>
      </c>
      <c r="R408" s="155" t="s">
        <v>43</v>
      </c>
      <c r="S408" s="156" t="s">
        <v>43</v>
      </c>
      <c r="T408" s="156" t="s">
        <v>43</v>
      </c>
      <c r="U408" s="150" t="s">
        <v>43</v>
      </c>
      <c r="V408" s="150" t="s">
        <v>43</v>
      </c>
      <c r="W408" s="150" t="s">
        <v>43</v>
      </c>
      <c r="X408" s="157"/>
      <c r="Y408" s="150" t="s">
        <v>43</v>
      </c>
      <c r="Z408" s="150" t="s">
        <v>43</v>
      </c>
      <c r="AA408" s="158">
        <v>0</v>
      </c>
      <c r="AB408" s="155" t="s">
        <v>43</v>
      </c>
      <c r="AC408" s="150" t="s">
        <v>43</v>
      </c>
      <c r="AD408" s="155" t="s">
        <v>43</v>
      </c>
      <c r="AE408" s="155"/>
      <c r="AF408" s="150" t="s">
        <v>43</v>
      </c>
      <c r="AG408" s="159"/>
      <c r="AH408" s="159">
        <v>0</v>
      </c>
      <c r="AI408" s="202"/>
      <c r="AJ408" s="161"/>
      <c r="AK408" s="162"/>
      <c r="AL408" s="163"/>
      <c r="AM408" s="164">
        <f>(((IF(L408=$L$101,1,IF(L408=$L$47,1,0))*(AH408*(1-AK408)))*AG408)*(1-AL408))</f>
        <v>0</v>
      </c>
      <c r="AN408" s="165">
        <f>IF(K408=$K$50,AM408,IF(K408=$K$53,AM408,IF(K408=$K$54,AM408,IF(K408=$K$55,AM408,IF(K408=$K$56,AM408,IF(K408=$K$57,AM408,IF(K408=$K$58,AM408,IF(K408=$K$65,AM408,IF(K408=$K$66,AM408,IF(K408=$K$67,AM408,IF(K408=$K$68,AM408,IF(K408=$K$69,AM408,IF(K408=$K$51,AM408,(AM408*(1+AI408)))))))))))))))</f>
        <v>0</v>
      </c>
      <c r="AO408" s="166">
        <v>1.4</v>
      </c>
      <c r="AP408" s="160">
        <f t="shared" si="87"/>
        <v>0</v>
      </c>
      <c r="AQ408" s="167">
        <f t="shared" si="95"/>
        <v>0</v>
      </c>
      <c r="AR408" s="160">
        <f t="shared" si="88"/>
        <v>0</v>
      </c>
      <c r="AS408" s="168">
        <f t="shared" si="89"/>
        <v>0</v>
      </c>
      <c r="AT408" s="169" t="str">
        <f>K408</f>
        <v>MI</v>
      </c>
      <c r="AU408" s="169" t="str">
        <f>I408</f>
        <v>Mercadorias</v>
      </c>
      <c r="AV408" s="170"/>
      <c r="AW408" s="171">
        <f>IF(K408=$K$50,0,IF(K408=$K$53,0,IF(K408=$K$54,0,IF(K408=$K$55,0,IF(K408=$K$56,0,IF(K408=$K$57,0,IF(K408=$K$58,0,IF(K408=$K$65,0,IF(K408=$K$66,0,IF(K408=$K$67,0,IF(K408=$K$68,0,IF(K408=$K$69,0,IF(K408=$K$51,0,1))))))))))))*AM408*AI408)</f>
        <v>0</v>
      </c>
      <c r="AX408" s="172">
        <f>IF(K408=$K$50,0,IF(K408=$K$53,0,IF(K408=$K$54,0,IF(K408=$K$55,0,IF(K408=$K$56,0,IF(K408=$K$57,0,IF(K408=$K$58,0,IF(K408=$K$65,0,IF(K408=$K$66,0,IF(K408=$K$67,0,IF(K408=$K$68,0,IF(K408=$K$69,0,IF(K408=$K$51,0,1))))))))))))*AM408*AJ408*$AX$94)</f>
        <v>0</v>
      </c>
      <c r="AY408" s="172">
        <f>IF(K408=$K$53,0,IF(K408=$K$54,0,IF(K408=$K$55,0,IF(K408=$K$56,0,IF(K408=$K$58,0,IF(K408=$K$50,0,IF(K408=$K$65,0,IF(K408=$K$57,0,IF(K408=$K$51,0,AM408*$AY$102)))))))))</f>
        <v>0</v>
      </c>
      <c r="AZ408" s="172">
        <f>IF(K408=$K$53,0,IF(K408=$K$54,0,IF(K408=$K$55,0,IF(K408=$K$56,0,IF(K408=$K$58,0,IF(K408=$K$50,0,IF(K408=$K$65,0,IF(K408=$K$57,0,IF(K408=$K$51,0,AM408*$AZ$102)))))))))</f>
        <v>0</v>
      </c>
      <c r="BA408" s="172">
        <f t="shared" si="90"/>
        <v>0</v>
      </c>
      <c r="BB408" s="173">
        <f>IF($BA$97=1,AQ408*$BB$102,IF(K408=$K$50,0,IF(K408=$K$53,0,IF(K408=$K$54,0,IF(K408=$K$55,0,IF(K408=$K$56,0,IF(K408=$K$57,0,IF(K408=$K$58,0,IF(K408=$K$65,0,IF(K408=$K$66,0,IF(K408=$K$67,0,IF(K408=$K$68,0,IF(K408=$K$69,0,IF(K408=$K$51,0,1)))))))))))*AQ408*$BB$102)))</f>
        <v>0</v>
      </c>
      <c r="BC408" s="172">
        <f t="shared" si="91"/>
        <v>0</v>
      </c>
      <c r="BD408" s="172">
        <f t="shared" si="92"/>
        <v>0</v>
      </c>
      <c r="BE408" s="172">
        <f>IF($BE$95=I408,$BE$97,IF(I408=$BE$96,$BE$97,1))*($BE$102*AQ408)*$AZ$97</f>
        <v>0</v>
      </c>
      <c r="BF408" s="172">
        <f>IF('[1]Cockpit Retorno'!$C$65=Sim,Mestre!BA408,SUM(BB408:BE408)+(IF(K408=$K$56,AQ408*MOE_IRRF_LR,0)))</f>
        <v>0</v>
      </c>
      <c r="BG408" s="174">
        <f>IF(AA408&gt;0,0,IF(Z408=$Z$82,AG408*1,(IF(Z408=$Z$81,AG408*1,0))))</f>
        <v>0</v>
      </c>
      <c r="BH408" s="174">
        <f>IF(AA408&gt;0,0,IF(Z408=$Z$83,AG408*1,IF(Z408=$Z$81,AG408*1,0)))</f>
        <v>0</v>
      </c>
      <c r="BI408" s="174">
        <f>IF(AA408&gt;0,0,IF(Z408=$Z$84,AG408*1,IF(Z408=$Z$93,AG408*2,IF(Z408=$Z$100,AG408,IF(Z408=$Z$81,AG408*2,IF(Z408=$Z$80,AG408*1,IF(Z408=$Z$79,AG408*3,IF(Z408=$Z$78,AG408*2,0))))))))</f>
        <v>0</v>
      </c>
      <c r="BJ408" s="174">
        <f>IF(AA408&gt;0,0,IF(Z408=$Z$85,AG408,IF(Z408=$Z$93,AG408,IF(Z408=$Z$100,AG408,IF(Z408=$Z$81,AG408*1,IF(Z408=$Z$80,AG408*2,IF(Z408=$Z$79,AG408*2,IF(Z408=$Z$78,AG408*2,0))))))))</f>
        <v>0</v>
      </c>
      <c r="BK408" s="174">
        <f>IF(AA408&gt;0,0,IF(Z408=$Z$92,AG408,0))</f>
        <v>0</v>
      </c>
      <c r="BL408" s="174">
        <f>IF(AA408&gt;0,0,IF(Z408=$Z$91,AG408,0))</f>
        <v>0</v>
      </c>
      <c r="BM408" s="174">
        <f>IF(AA408&gt;0,0,IF(Z408=$Z$86,AG408,0))</f>
        <v>0</v>
      </c>
      <c r="BN408" s="174">
        <f>IF(AA408&gt;0,0,IF(Z408=$Z$87,AG408,0))</f>
        <v>0</v>
      </c>
      <c r="BO408" s="174">
        <f>IF(AA408&gt;0,0,IF(Z408=$Z$88,AG408,0))</f>
        <v>0</v>
      </c>
      <c r="BP408" s="174">
        <f>IF(AA408&gt;0,0,IF(Z408=$Z$89,AG408,0))</f>
        <v>0</v>
      </c>
      <c r="BQ408" s="174">
        <f>IF(AA408&gt;0,0,IF(Z408=$Z$90,AG408,0))</f>
        <v>0</v>
      </c>
      <c r="BR408" s="174">
        <f>IF(Z408=$Z$82,AA408*AG408,0)</f>
        <v>0</v>
      </c>
      <c r="BS408" s="174">
        <f>IF(Z408=$Z$83,AA408*AG408,0)</f>
        <v>0</v>
      </c>
      <c r="BT408" s="174">
        <f>IF(AA408&lt;1,0,IF(Z408=$Z$84,AA408*AG408,IF(Z408=$Z$93,"ERRO",IF(Z408=$Z$100,"ERRO",0))))</f>
        <v>0</v>
      </c>
      <c r="BU408" s="174">
        <f>IF(AA408&lt;1,0,IF(Z408=$Z$85,AA408*AG408,IF(Z408=$Z$93,"ERRO",IF(Z408=$Z$100,"ERRO",0))))</f>
        <v>0</v>
      </c>
      <c r="BV408" s="174">
        <f>IF(Z408=$Z$92,AA408*AG408,0)</f>
        <v>0</v>
      </c>
      <c r="BW408" s="174">
        <f>IF(Z408=$Z$91,AA408*AG408,0)</f>
        <v>0</v>
      </c>
      <c r="BX408" s="174">
        <f>IF(Z408=$Z$86,AA408*AG408,0)</f>
        <v>0</v>
      </c>
      <c r="BY408" s="174">
        <f>IF(Z408=$Z$87,AA408*AG408,0)</f>
        <v>0</v>
      </c>
      <c r="BZ408" s="174">
        <f>IF(Z408=$Z$88,AA408*AG408,0)</f>
        <v>0</v>
      </c>
      <c r="CA408" s="174">
        <f>IF(Z408=$Z$89,AA408*AG408,0)</f>
        <v>0</v>
      </c>
      <c r="CB408" s="174">
        <f>IF(Z408=$Z$90,AA408*AG408,0)</f>
        <v>0</v>
      </c>
      <c r="CC408" s="175">
        <f>IFERROR(IF(L408=$L$49,AG408*AH408*(1+AI408)*(1-AK408)*(1-AL408),0),0)</f>
        <v>0</v>
      </c>
      <c r="CD408" s="203">
        <f>IF(I408=$CD$97,1,IF(I408=$CD$100,2,IF(K408=$K$66,1,IF(K408=$K$69,1,3))))</f>
        <v>1</v>
      </c>
      <c r="CE408" s="203">
        <f t="shared" si="14"/>
        <v>1.07</v>
      </c>
      <c r="CF408" s="204">
        <f t="shared" si="96"/>
        <v>1.2353999999999998</v>
      </c>
      <c r="CG408" s="203">
        <f t="shared" si="15"/>
        <v>1.42</v>
      </c>
      <c r="CH408" s="204">
        <f t="shared" si="97"/>
        <v>1.5478000000000001</v>
      </c>
      <c r="CI408" s="203">
        <f t="shared" si="16"/>
        <v>1.7</v>
      </c>
      <c r="CJ408" s="205">
        <f t="shared" si="98"/>
        <v>1.0486</v>
      </c>
      <c r="CK408" s="205">
        <f t="shared" si="99"/>
        <v>1.148922</v>
      </c>
      <c r="CL408" s="205">
        <f t="shared" si="100"/>
        <v>1.3915999999999999</v>
      </c>
      <c r="CM408" s="205">
        <f t="shared" si="101"/>
        <v>1.501366</v>
      </c>
      <c r="CN408" s="206">
        <f t="shared" si="102"/>
        <v>1.6319999999999999</v>
      </c>
      <c r="CO408" s="204">
        <f t="shared" si="103"/>
        <v>1.006656</v>
      </c>
      <c r="CP408" s="207">
        <f t="shared" si="104"/>
        <v>0</v>
      </c>
      <c r="CQ408" s="208">
        <f t="shared" si="105"/>
        <v>0</v>
      </c>
      <c r="CR408" s="209">
        <f t="shared" si="93"/>
        <v>0</v>
      </c>
      <c r="CS408" s="49"/>
      <c r="CT408" s="49"/>
      <c r="CU408" s="49"/>
      <c r="CV408" s="49"/>
      <c r="CW408" s="49"/>
      <c r="CX408" s="49"/>
      <c r="CY408" s="49"/>
      <c r="CZ408" s="49"/>
      <c r="DA408" s="49"/>
      <c r="DB408" s="49"/>
      <c r="DC408" s="49"/>
      <c r="DD408" s="49"/>
      <c r="DE408" s="49"/>
      <c r="DF408" s="49"/>
      <c r="DG408" s="49"/>
      <c r="DH408" s="49"/>
      <c r="DI408" s="49"/>
      <c r="DJ408" s="49"/>
      <c r="DK408" s="49"/>
      <c r="DL408" s="49"/>
      <c r="DM408" s="49"/>
      <c r="DN408" s="49"/>
      <c r="DO408" s="49"/>
      <c r="DP408" s="49"/>
      <c r="DQ408" s="49"/>
      <c r="DR408" s="49"/>
      <c r="DS408" s="49"/>
      <c r="DT408" s="49"/>
      <c r="DU408" s="49"/>
      <c r="DV408" s="49"/>
      <c r="DW408" s="49"/>
      <c r="DX408" s="49"/>
      <c r="DY408" s="49"/>
      <c r="DZ408" s="49"/>
      <c r="EA408" s="49"/>
      <c r="EB408" s="49"/>
      <c r="EC408" s="49"/>
      <c r="ED408" s="49"/>
      <c r="EE408" s="49"/>
      <c r="EF408" s="49"/>
      <c r="EG408" s="49"/>
      <c r="EH408" s="49"/>
      <c r="EI408" s="49"/>
      <c r="EJ408" s="49"/>
      <c r="EK408" s="49"/>
      <c r="EL408" s="49"/>
      <c r="EM408" s="49"/>
      <c r="EN408" s="49"/>
      <c r="EO408" s="49"/>
      <c r="EP408" s="49"/>
      <c r="EQ408" s="49"/>
      <c r="ER408" s="49"/>
      <c r="ES408" s="49"/>
      <c r="ET408" s="49"/>
      <c r="EU408" s="49"/>
      <c r="EV408" s="49"/>
      <c r="EW408" s="49"/>
      <c r="EX408" s="49"/>
      <c r="EY408" s="49"/>
      <c r="EZ408" s="49"/>
      <c r="FA408" s="49"/>
    </row>
    <row r="409" spans="1:157" s="210" customFormat="1" x14ac:dyDescent="0.25">
      <c r="A409" s="113">
        <f>IF(AND('[1]Cockpit Retorno'!$E$67=Sim,Mestre!M409=Mestre!$M$98),0,1)</f>
        <v>1</v>
      </c>
      <c r="B409" s="113">
        <f>IF(AND('[1]Cockpit Retorno'!$E$67=Sim,Mestre!L409=Mestre!$L$48),0,1)</f>
        <v>0</v>
      </c>
      <c r="C409" s="113">
        <f>IF(AND('[1]Cockpit Retorno'!$E$67=Sim,Mestre!M409=Mestre!$M$97),0,1)</f>
        <v>1</v>
      </c>
      <c r="D409" s="148" t="s">
        <v>7</v>
      </c>
      <c r="E409" s="115"/>
      <c r="F409" s="116" t="s">
        <v>107</v>
      </c>
      <c r="G409" s="149"/>
      <c r="H409" s="150" t="s">
        <v>7</v>
      </c>
      <c r="I409" s="151" t="str">
        <f t="shared" si="86"/>
        <v>Mercadorias</v>
      </c>
      <c r="J409" s="150" t="s">
        <v>15</v>
      </c>
      <c r="K409" s="152" t="s">
        <v>7</v>
      </c>
      <c r="L409" s="153" t="s">
        <v>15</v>
      </c>
      <c r="M409" s="154"/>
      <c r="N409" s="155" t="s">
        <v>43</v>
      </c>
      <c r="O409" s="155" t="s">
        <v>43</v>
      </c>
      <c r="P409" s="155" t="s">
        <v>43</v>
      </c>
      <c r="Q409" s="155" t="s">
        <v>43</v>
      </c>
      <c r="R409" s="155" t="s">
        <v>43</v>
      </c>
      <c r="S409" s="156" t="s">
        <v>43</v>
      </c>
      <c r="T409" s="156" t="s">
        <v>43</v>
      </c>
      <c r="U409" s="150" t="s">
        <v>43</v>
      </c>
      <c r="V409" s="150" t="s">
        <v>43</v>
      </c>
      <c r="W409" s="150" t="s">
        <v>43</v>
      </c>
      <c r="X409" s="157"/>
      <c r="Y409" s="150" t="s">
        <v>43</v>
      </c>
      <c r="Z409" s="150" t="s">
        <v>43</v>
      </c>
      <c r="AA409" s="158">
        <v>0</v>
      </c>
      <c r="AB409" s="155" t="s">
        <v>43</v>
      </c>
      <c r="AC409" s="150" t="s">
        <v>43</v>
      </c>
      <c r="AD409" s="155" t="s">
        <v>43</v>
      </c>
      <c r="AE409" s="155"/>
      <c r="AF409" s="150" t="s">
        <v>43</v>
      </c>
      <c r="AG409" s="159"/>
      <c r="AH409" s="159">
        <v>0</v>
      </c>
      <c r="AI409" s="202"/>
      <c r="AJ409" s="161"/>
      <c r="AK409" s="162"/>
      <c r="AL409" s="163"/>
      <c r="AM409" s="164">
        <f>(((IF(L409=$L$101,1,IF(L409=$L$47,1,0))*(AH409*(1-AK409)))*AG409)*(1-AL409))</f>
        <v>0</v>
      </c>
      <c r="AN409" s="165">
        <f>IF(K409=$K$50,AM409,IF(K409=$K$53,AM409,IF(K409=$K$54,AM409,IF(K409=$K$55,AM409,IF(K409=$K$56,AM409,IF(K409=$K$57,AM409,IF(K409=$K$58,AM409,IF(K409=$K$65,AM409,IF(K409=$K$66,AM409,IF(K409=$K$67,AM409,IF(K409=$K$68,AM409,IF(K409=$K$69,AM409,IF(K409=$K$51,AM409,(AM409*(1+AI409)))))))))))))))</f>
        <v>0</v>
      </c>
      <c r="AO409" s="166">
        <v>1.4</v>
      </c>
      <c r="AP409" s="160">
        <f t="shared" si="87"/>
        <v>0</v>
      </c>
      <c r="AQ409" s="167">
        <f t="shared" si="95"/>
        <v>0</v>
      </c>
      <c r="AR409" s="160">
        <f t="shared" si="88"/>
        <v>0</v>
      </c>
      <c r="AS409" s="168">
        <f t="shared" si="89"/>
        <v>0</v>
      </c>
      <c r="AT409" s="169" t="str">
        <f>K409</f>
        <v>MI</v>
      </c>
      <c r="AU409" s="169" t="str">
        <f>I409</f>
        <v>Mercadorias</v>
      </c>
      <c r="AV409" s="170"/>
      <c r="AW409" s="171">
        <f>IF(K409=$K$50,0,IF(K409=$K$53,0,IF(K409=$K$54,0,IF(K409=$K$55,0,IF(K409=$K$56,0,IF(K409=$K$57,0,IF(K409=$K$58,0,IF(K409=$K$65,0,IF(K409=$K$66,0,IF(K409=$K$67,0,IF(K409=$K$68,0,IF(K409=$K$69,0,IF(K409=$K$51,0,1))))))))))))*AM409*AI409)</f>
        <v>0</v>
      </c>
      <c r="AX409" s="172">
        <f>IF(K409=$K$50,0,IF(K409=$K$53,0,IF(K409=$K$54,0,IF(K409=$K$55,0,IF(K409=$K$56,0,IF(K409=$K$57,0,IF(K409=$K$58,0,IF(K409=$K$65,0,IF(K409=$K$66,0,IF(K409=$K$67,0,IF(K409=$K$68,0,IF(K409=$K$69,0,IF(K409=$K$51,0,1))))))))))))*AM409*AJ409*$AX$94)</f>
        <v>0</v>
      </c>
      <c r="AY409" s="172">
        <f>IF(K409=$K$53,0,IF(K409=$K$54,0,IF(K409=$K$55,0,IF(K409=$K$56,0,IF(K409=$K$58,0,IF(K409=$K$50,0,IF(K409=$K$65,0,IF(K409=$K$57,0,IF(K409=$K$51,0,AM409*$AY$102)))))))))</f>
        <v>0</v>
      </c>
      <c r="AZ409" s="172">
        <f>IF(K409=$K$53,0,IF(K409=$K$54,0,IF(K409=$K$55,0,IF(K409=$K$56,0,IF(K409=$K$58,0,IF(K409=$K$50,0,IF(K409=$K$65,0,IF(K409=$K$57,0,IF(K409=$K$51,0,AM409*$AZ$102)))))))))</f>
        <v>0</v>
      </c>
      <c r="BA409" s="172">
        <f t="shared" si="90"/>
        <v>0</v>
      </c>
      <c r="BB409" s="173">
        <f>IF($BA$97=1,AQ409*$BB$102,IF(K409=$K$50,0,IF(K409=$K$53,0,IF(K409=$K$54,0,IF(K409=$K$55,0,IF(K409=$K$56,0,IF(K409=$K$57,0,IF(K409=$K$58,0,IF(K409=$K$65,0,IF(K409=$K$66,0,IF(K409=$K$67,0,IF(K409=$K$68,0,IF(K409=$K$69,0,IF(K409=$K$51,0,1)))))))))))*AQ409*$BB$102)))</f>
        <v>0</v>
      </c>
      <c r="BC409" s="172">
        <f t="shared" si="91"/>
        <v>0</v>
      </c>
      <c r="BD409" s="172">
        <f t="shared" si="92"/>
        <v>0</v>
      </c>
      <c r="BE409" s="172">
        <f>IF($BE$95=I409,$BE$97,IF(I409=$BE$96,$BE$97,1))*($BE$102*AQ409)*$AZ$97</f>
        <v>0</v>
      </c>
      <c r="BF409" s="172">
        <f>IF('[1]Cockpit Retorno'!$C$65=Sim,Mestre!BA409,SUM(BB409:BE409)+(IF(K409=$K$56,AQ409*MOE_IRRF_LR,0)))</f>
        <v>0</v>
      </c>
      <c r="BG409" s="174">
        <f>IF(AA409&gt;0,0,IF(Z409=$Z$82,AG409*1,(IF(Z409=$Z$81,AG409*1,0))))</f>
        <v>0</v>
      </c>
      <c r="BH409" s="174">
        <f>IF(AA409&gt;0,0,IF(Z409=$Z$83,AG409*1,IF(Z409=$Z$81,AG409*1,0)))</f>
        <v>0</v>
      </c>
      <c r="BI409" s="174">
        <f>IF(AA409&gt;0,0,IF(Z409=$Z$84,AG409*1,IF(Z409=$Z$93,AG409*2,IF(Z409=$Z$100,AG409,IF(Z409=$Z$81,AG409*2,IF(Z409=$Z$80,AG409*1,IF(Z409=$Z$79,AG409*3,IF(Z409=$Z$78,AG409*2,0))))))))</f>
        <v>0</v>
      </c>
      <c r="BJ409" s="174">
        <f>IF(AA409&gt;0,0,IF(Z409=$Z$85,AG409,IF(Z409=$Z$93,AG409,IF(Z409=$Z$100,AG409,IF(Z409=$Z$81,AG409*1,IF(Z409=$Z$80,AG409*2,IF(Z409=$Z$79,AG409*2,IF(Z409=$Z$78,AG409*2,0))))))))</f>
        <v>0</v>
      </c>
      <c r="BK409" s="174">
        <f>IF(AA409&gt;0,0,IF(Z409=$Z$92,AG409,0))</f>
        <v>0</v>
      </c>
      <c r="BL409" s="174">
        <f>IF(AA409&gt;0,0,IF(Z409=$Z$91,AG409,0))</f>
        <v>0</v>
      </c>
      <c r="BM409" s="174">
        <f>IF(AA409&gt;0,0,IF(Z409=$Z$86,AG409,0))</f>
        <v>0</v>
      </c>
      <c r="BN409" s="174">
        <f>IF(AA409&gt;0,0,IF(Z409=$Z$87,AG409,0))</f>
        <v>0</v>
      </c>
      <c r="BO409" s="174">
        <f>IF(AA409&gt;0,0,IF(Z409=$Z$88,AG409,0))</f>
        <v>0</v>
      </c>
      <c r="BP409" s="174">
        <f>IF(AA409&gt;0,0,IF(Z409=$Z$89,AG409,0))</f>
        <v>0</v>
      </c>
      <c r="BQ409" s="174">
        <f>IF(AA409&gt;0,0,IF(Z409=$Z$90,AG409,0))</f>
        <v>0</v>
      </c>
      <c r="BR409" s="174">
        <f>IF(Z409=$Z$82,AA409*AG409,0)</f>
        <v>0</v>
      </c>
      <c r="BS409" s="174">
        <f>IF(Z409=$Z$83,AA409*AG409,0)</f>
        <v>0</v>
      </c>
      <c r="BT409" s="174">
        <f>IF(AA409&lt;1,0,IF(Z409=$Z$84,AA409*AG409,IF(Z409=$Z$93,"ERRO",IF(Z409=$Z$100,"ERRO",0))))</f>
        <v>0</v>
      </c>
      <c r="BU409" s="174">
        <f>IF(AA409&lt;1,0,IF(Z409=$Z$85,AA409*AG409,IF(Z409=$Z$93,"ERRO",IF(Z409=$Z$100,"ERRO",0))))</f>
        <v>0</v>
      </c>
      <c r="BV409" s="174">
        <f>IF(Z409=$Z$92,AA409*AG409,0)</f>
        <v>0</v>
      </c>
      <c r="BW409" s="174">
        <f>IF(Z409=$Z$91,AA409*AG409,0)</f>
        <v>0</v>
      </c>
      <c r="BX409" s="174">
        <f>IF(Z409=$Z$86,AA409*AG409,0)</f>
        <v>0</v>
      </c>
      <c r="BY409" s="174">
        <f>IF(Z409=$Z$87,AA409*AG409,0)</f>
        <v>0</v>
      </c>
      <c r="BZ409" s="174">
        <f>IF(Z409=$Z$88,AA409*AG409,0)</f>
        <v>0</v>
      </c>
      <c r="CA409" s="174">
        <f>IF(Z409=$Z$89,AA409*AG409,0)</f>
        <v>0</v>
      </c>
      <c r="CB409" s="174">
        <f>IF(Z409=$Z$90,AA409*AG409,0)</f>
        <v>0</v>
      </c>
      <c r="CC409" s="175">
        <f>IFERROR(IF(L409=$L$49,AG409*AH409*(1+AI409)*(1-AK409)*(1-AL409),0),0)</f>
        <v>0</v>
      </c>
      <c r="CD409" s="203">
        <f>IF(I409=$CD$97,1,IF(I409=$CD$100,2,IF(K409=$K$66,1,IF(K409=$K$69,1,3))))</f>
        <v>1</v>
      </c>
      <c r="CE409" s="203">
        <f t="shared" si="14"/>
        <v>1.07</v>
      </c>
      <c r="CF409" s="204">
        <f t="shared" si="96"/>
        <v>1.2353999999999998</v>
      </c>
      <c r="CG409" s="203">
        <f t="shared" si="15"/>
        <v>1.42</v>
      </c>
      <c r="CH409" s="204">
        <f t="shared" si="97"/>
        <v>1.5478000000000001</v>
      </c>
      <c r="CI409" s="203">
        <f t="shared" si="16"/>
        <v>1.7</v>
      </c>
      <c r="CJ409" s="205">
        <f t="shared" si="98"/>
        <v>1.0486</v>
      </c>
      <c r="CK409" s="205">
        <f t="shared" si="99"/>
        <v>1.148922</v>
      </c>
      <c r="CL409" s="205">
        <f t="shared" si="100"/>
        <v>1.3915999999999999</v>
      </c>
      <c r="CM409" s="205">
        <f t="shared" si="101"/>
        <v>1.501366</v>
      </c>
      <c r="CN409" s="206">
        <f t="shared" si="102"/>
        <v>1.6319999999999999</v>
      </c>
      <c r="CO409" s="204">
        <f t="shared" si="103"/>
        <v>1.006656</v>
      </c>
      <c r="CP409" s="207">
        <f t="shared" si="104"/>
        <v>0</v>
      </c>
      <c r="CQ409" s="208">
        <f t="shared" si="105"/>
        <v>0</v>
      </c>
      <c r="CR409" s="209">
        <f t="shared" si="93"/>
        <v>0</v>
      </c>
      <c r="CS409" s="49"/>
      <c r="CT409" s="49"/>
      <c r="CU409" s="49"/>
      <c r="CV409" s="49"/>
      <c r="CW409" s="49"/>
      <c r="CX409" s="49"/>
      <c r="CY409" s="49"/>
      <c r="CZ409" s="49"/>
      <c r="DA409" s="49"/>
      <c r="DB409" s="49"/>
      <c r="DC409" s="49"/>
      <c r="DD409" s="49"/>
      <c r="DE409" s="49"/>
      <c r="DF409" s="49"/>
      <c r="DG409" s="49"/>
      <c r="DH409" s="49"/>
      <c r="DI409" s="49"/>
      <c r="DJ409" s="49"/>
      <c r="DK409" s="49"/>
      <c r="DL409" s="49"/>
      <c r="DM409" s="49"/>
      <c r="DN409" s="49"/>
      <c r="DO409" s="49"/>
      <c r="DP409" s="49"/>
      <c r="DQ409" s="49"/>
      <c r="DR409" s="49"/>
      <c r="DS409" s="49"/>
      <c r="DT409" s="49"/>
      <c r="DU409" s="49"/>
      <c r="DV409" s="49"/>
      <c r="DW409" s="49"/>
      <c r="DX409" s="49"/>
      <c r="DY409" s="49"/>
      <c r="DZ409" s="49"/>
      <c r="EA409" s="49"/>
      <c r="EB409" s="49"/>
      <c r="EC409" s="49"/>
      <c r="ED409" s="49"/>
      <c r="EE409" s="49"/>
      <c r="EF409" s="49"/>
      <c r="EG409" s="49"/>
      <c r="EH409" s="49"/>
      <c r="EI409" s="49"/>
      <c r="EJ409" s="49"/>
      <c r="EK409" s="49"/>
      <c r="EL409" s="49"/>
      <c r="EM409" s="49"/>
      <c r="EN409" s="49"/>
      <c r="EO409" s="49"/>
      <c r="EP409" s="49"/>
      <c r="EQ409" s="49"/>
      <c r="ER409" s="49"/>
      <c r="ES409" s="49"/>
      <c r="ET409" s="49"/>
      <c r="EU409" s="49"/>
      <c r="EV409" s="49"/>
      <c r="EW409" s="49"/>
      <c r="EX409" s="49"/>
      <c r="EY409" s="49"/>
      <c r="EZ409" s="49"/>
      <c r="FA409" s="49"/>
    </row>
    <row r="410" spans="1:157" s="210" customFormat="1" x14ac:dyDescent="0.25">
      <c r="A410" s="113">
        <f>IF(AND('[1]Cockpit Retorno'!$E$67=Sim,Mestre!M410=Mestre!$M$98),0,1)</f>
        <v>1</v>
      </c>
      <c r="B410" s="113">
        <f>IF(AND('[1]Cockpit Retorno'!$E$67=Sim,Mestre!L410=Mestre!$L$48),0,1)</f>
        <v>0</v>
      </c>
      <c r="C410" s="113">
        <f>IF(AND('[1]Cockpit Retorno'!$E$67=Sim,Mestre!M410=Mestre!$M$97),0,1)</f>
        <v>1</v>
      </c>
      <c r="D410" s="148" t="s">
        <v>3</v>
      </c>
      <c r="E410" s="115"/>
      <c r="F410" s="116" t="s">
        <v>107</v>
      </c>
      <c r="G410" s="149"/>
      <c r="H410" s="150" t="s">
        <v>3</v>
      </c>
      <c r="I410" s="151" t="str">
        <f t="shared" si="86"/>
        <v>Mercadorias</v>
      </c>
      <c r="J410" s="150" t="s">
        <v>15</v>
      </c>
      <c r="K410" s="152" t="s">
        <v>3</v>
      </c>
      <c r="L410" s="153" t="s">
        <v>15</v>
      </c>
      <c r="M410" s="154"/>
      <c r="N410" s="155" t="s">
        <v>43</v>
      </c>
      <c r="O410" s="155" t="s">
        <v>43</v>
      </c>
      <c r="P410" s="155" t="s">
        <v>43</v>
      </c>
      <c r="Q410" s="155" t="s">
        <v>43</v>
      </c>
      <c r="R410" s="155" t="s">
        <v>43</v>
      </c>
      <c r="S410" s="156" t="s">
        <v>43</v>
      </c>
      <c r="T410" s="156" t="s">
        <v>43</v>
      </c>
      <c r="U410" s="150" t="s">
        <v>43</v>
      </c>
      <c r="V410" s="150" t="s">
        <v>43</v>
      </c>
      <c r="W410" s="150" t="s">
        <v>43</v>
      </c>
      <c r="X410" s="157"/>
      <c r="Y410" s="150" t="s">
        <v>43</v>
      </c>
      <c r="Z410" s="150" t="s">
        <v>43</v>
      </c>
      <c r="AA410" s="158">
        <v>0</v>
      </c>
      <c r="AB410" s="155" t="s">
        <v>43</v>
      </c>
      <c r="AC410" s="150" t="s">
        <v>43</v>
      </c>
      <c r="AD410" s="155" t="s">
        <v>43</v>
      </c>
      <c r="AE410" s="155"/>
      <c r="AF410" s="150" t="s">
        <v>43</v>
      </c>
      <c r="AG410" s="159"/>
      <c r="AH410" s="159">
        <v>0</v>
      </c>
      <c r="AI410" s="202"/>
      <c r="AJ410" s="161"/>
      <c r="AK410" s="162"/>
      <c r="AL410" s="163"/>
      <c r="AM410" s="164">
        <f>(((IF(L410=$L$101,1,IF(L410=$L$47,1,0))*(AH410*(1-AK410)))*AG410)*(1-AL410))</f>
        <v>0</v>
      </c>
      <c r="AN410" s="165">
        <f>IF(K410=$K$50,AM410,IF(K410=$K$53,AM410,IF(K410=$K$54,AM410,IF(K410=$K$55,AM410,IF(K410=$K$56,AM410,IF(K410=$K$57,AM410,IF(K410=$K$58,AM410,IF(K410=$K$65,AM410,IF(K410=$K$66,AM410,IF(K410=$K$67,AM410,IF(K410=$K$68,AM410,IF(K410=$K$69,AM410,IF(K410=$K$51,AM410,(AM410*(1+AI410)))))))))))))))</f>
        <v>0</v>
      </c>
      <c r="AO410" s="166">
        <v>1.4</v>
      </c>
      <c r="AP410" s="160">
        <f t="shared" si="87"/>
        <v>0</v>
      </c>
      <c r="AQ410" s="167">
        <f t="shared" ref="AQ410:AQ423" si="106">AP410*Fator_Venda</f>
        <v>0</v>
      </c>
      <c r="AR410" s="160">
        <f t="shared" si="88"/>
        <v>0</v>
      </c>
      <c r="AS410" s="168">
        <f t="shared" si="89"/>
        <v>0</v>
      </c>
      <c r="AT410" s="169" t="str">
        <f>K410</f>
        <v>INST</v>
      </c>
      <c r="AU410" s="169" t="str">
        <f>I410</f>
        <v>Mercadorias</v>
      </c>
      <c r="AV410" s="170"/>
      <c r="AW410" s="171">
        <f>IF(K410=$K$50,0,IF(K410=$K$53,0,IF(K410=$K$54,0,IF(K410=$K$55,0,IF(K410=$K$56,0,IF(K410=$K$57,0,IF(K410=$K$58,0,IF(K410=$K$65,0,IF(K410=$K$66,0,IF(K410=$K$67,0,IF(K410=$K$68,0,IF(K410=$K$69,0,IF(K410=$K$51,0,1))))))))))))*AM410*AI410)</f>
        <v>0</v>
      </c>
      <c r="AX410" s="172">
        <f>IF(K410=$K$50,0,IF(K410=$K$53,0,IF(K410=$K$54,0,IF(K410=$K$55,0,IF(K410=$K$56,0,IF(K410=$K$57,0,IF(K410=$K$58,0,IF(K410=$K$65,0,IF(K410=$K$66,0,IF(K410=$K$67,0,IF(K410=$K$68,0,IF(K410=$K$69,0,IF(K410=$K$51,0,1))))))))))))*AM410*AJ410*$AX$94)</f>
        <v>0</v>
      </c>
      <c r="AY410" s="172">
        <f>IF(K410=$K$53,0,IF(K410=$K$54,0,IF(K410=$K$55,0,IF(K410=$K$56,0,IF(K410=$K$58,0,IF(K410=$K$50,0,IF(K410=$K$65,0,IF(K410=$K$57,0,IF(K410=$K$51,0,AM410*$AY$102)))))))))</f>
        <v>0</v>
      </c>
      <c r="AZ410" s="172">
        <f>IF(K410=$K$53,0,IF(K410=$K$54,0,IF(K410=$K$55,0,IF(K410=$K$56,0,IF(K410=$K$58,0,IF(K410=$K$50,0,IF(K410=$K$65,0,IF(K410=$K$57,0,IF(K410=$K$51,0,AM410*$AZ$102)))))))))</f>
        <v>0</v>
      </c>
      <c r="BA410" s="172">
        <f t="shared" si="90"/>
        <v>0</v>
      </c>
      <c r="BB410" s="173">
        <f>IF($BA$97=1,AQ410*$BB$102,IF(K410=$K$50,0,IF(K410=$K$53,0,IF(K410=$K$54,0,IF(K410=$K$55,0,IF(K410=$K$56,0,IF(K410=$K$57,0,IF(K410=$K$58,0,IF(K410=$K$65,0,IF(K410=$K$66,0,IF(K410=$K$67,0,IF(K410=$K$68,0,IF(K410=$K$69,0,IF(K410=$K$51,0,1)))))))))))*AQ410*$BB$102)))</f>
        <v>0</v>
      </c>
      <c r="BC410" s="172">
        <f t="shared" si="91"/>
        <v>0</v>
      </c>
      <c r="BD410" s="172">
        <f t="shared" si="92"/>
        <v>0</v>
      </c>
      <c r="BE410" s="172">
        <f>IF($BE$95=I410,$BE$97,IF(I410=$BE$96,$BE$97,1))*($BE$102*AQ410)*$AZ$97</f>
        <v>0</v>
      </c>
      <c r="BF410" s="172">
        <f>IF('[1]Cockpit Retorno'!$C$65=Sim,Mestre!BA410,SUM(BB410:BE410)+(IF(K410=$K$56,AQ410*MOE_IRRF_LR,0)))</f>
        <v>0</v>
      </c>
      <c r="BG410" s="174">
        <f>IF(AA410&gt;0,0,IF(Z410=$Z$82,AG410*1,(IF(Z410=$Z$81,AG410*1,0))))</f>
        <v>0</v>
      </c>
      <c r="BH410" s="174">
        <f>IF(AA410&gt;0,0,IF(Z410=$Z$83,AG410*1,IF(Z410=$Z$81,AG410*1,0)))</f>
        <v>0</v>
      </c>
      <c r="BI410" s="174">
        <f>IF(AA410&gt;0,0,IF(Z410=$Z$84,AG410*1,IF(Z410=$Z$93,AG410*2,IF(Z410=$Z$100,AG410,IF(Z410=$Z$81,AG410*2,IF(Z410=$Z$80,AG410*1,IF(Z410=$Z$79,AG410*3,IF(Z410=$Z$78,AG410*2,0))))))))</f>
        <v>0</v>
      </c>
      <c r="BJ410" s="174">
        <f>IF(AA410&gt;0,0,IF(Z410=$Z$85,AG410,IF(Z410=$Z$93,AG410,IF(Z410=$Z$100,AG410,IF(Z410=$Z$81,AG410*1,IF(Z410=$Z$80,AG410*2,IF(Z410=$Z$79,AG410*2,IF(Z410=$Z$78,AG410*2,0))))))))</f>
        <v>0</v>
      </c>
      <c r="BK410" s="174">
        <f>IF(AA410&gt;0,0,IF(Z410=$Z$92,AG410,0))</f>
        <v>0</v>
      </c>
      <c r="BL410" s="174">
        <f>IF(AA410&gt;0,0,IF(Z410=$Z$91,AG410,0))</f>
        <v>0</v>
      </c>
      <c r="BM410" s="174">
        <f>IF(AA410&gt;0,0,IF(Z410=$Z$86,AG410,0))</f>
        <v>0</v>
      </c>
      <c r="BN410" s="174">
        <f>IF(AA410&gt;0,0,IF(Z410=$Z$87,AG410,0))</f>
        <v>0</v>
      </c>
      <c r="BO410" s="174">
        <f>IF(AA410&gt;0,0,IF(Z410=$Z$88,AG410,0))</f>
        <v>0</v>
      </c>
      <c r="BP410" s="174">
        <f>IF(AA410&gt;0,0,IF(Z410=$Z$89,AG410,0))</f>
        <v>0</v>
      </c>
      <c r="BQ410" s="174">
        <f>IF(AA410&gt;0,0,IF(Z410=$Z$90,AG410,0))</f>
        <v>0</v>
      </c>
      <c r="BR410" s="174">
        <f>IF(Z410=$Z$82,AA410*AG410,0)</f>
        <v>0</v>
      </c>
      <c r="BS410" s="174">
        <f>IF(Z410=$Z$83,AA410*AG410,0)</f>
        <v>0</v>
      </c>
      <c r="BT410" s="174">
        <f>IF(AA410&lt;1,0,IF(Z410=$Z$84,AA410*AG410,IF(Z410=$Z$93,"ERRO",IF(Z410=$Z$100,"ERRO",0))))</f>
        <v>0</v>
      </c>
      <c r="BU410" s="174">
        <f>IF(AA410&lt;1,0,IF(Z410=$Z$85,AA410*AG410,IF(Z410=$Z$93,"ERRO",IF(Z410=$Z$100,"ERRO",0))))</f>
        <v>0</v>
      </c>
      <c r="BV410" s="174">
        <f>IF(Z410=$Z$92,AA410*AG410,0)</f>
        <v>0</v>
      </c>
      <c r="BW410" s="174">
        <f>IF(Z410=$Z$91,AA410*AG410,0)</f>
        <v>0</v>
      </c>
      <c r="BX410" s="174">
        <f>IF(Z410=$Z$86,AA410*AG410,0)</f>
        <v>0</v>
      </c>
      <c r="BY410" s="174">
        <f>IF(Z410=$Z$87,AA410*AG410,0)</f>
        <v>0</v>
      </c>
      <c r="BZ410" s="174">
        <f>IF(Z410=$Z$88,AA410*AG410,0)</f>
        <v>0</v>
      </c>
      <c r="CA410" s="174">
        <f>IF(Z410=$Z$89,AA410*AG410,0)</f>
        <v>0</v>
      </c>
      <c r="CB410" s="174">
        <f>IF(Z410=$Z$90,AA410*AG410,0)</f>
        <v>0</v>
      </c>
      <c r="CC410" s="175">
        <f>IFERROR(IF(L410=$L$49,AG410*AH410*(1+AI410)*(1-AK410)*(1-AL410),0),0)</f>
        <v>0</v>
      </c>
      <c r="CD410" s="203">
        <f>IF(I410=$CD$97,1,IF(I410=$CD$100,2,IF(K410=$K$66,1,IF(K410=$K$69,1,3))))</f>
        <v>1</v>
      </c>
      <c r="CE410" s="203">
        <f t="shared" si="14"/>
        <v>1.07</v>
      </c>
      <c r="CF410" s="204">
        <f t="shared" si="96"/>
        <v>1.2353999999999998</v>
      </c>
      <c r="CG410" s="203">
        <f t="shared" si="15"/>
        <v>1.42</v>
      </c>
      <c r="CH410" s="204">
        <f t="shared" si="97"/>
        <v>1.5478000000000001</v>
      </c>
      <c r="CI410" s="203">
        <f t="shared" si="16"/>
        <v>1.7</v>
      </c>
      <c r="CJ410" s="205">
        <f>CE410*$CJ$102</f>
        <v>1.0486</v>
      </c>
      <c r="CK410" s="205">
        <f>CF410*$CK$102</f>
        <v>1.148922</v>
      </c>
      <c r="CL410" s="205">
        <f>CG410*$CL$102</f>
        <v>1.3915999999999999</v>
      </c>
      <c r="CM410" s="205">
        <f>CH410*$CM$102</f>
        <v>1.501366</v>
      </c>
      <c r="CN410" s="206">
        <f>CI410*$CN$102</f>
        <v>1.6319999999999999</v>
      </c>
      <c r="CO410" s="204">
        <f t="shared" si="103"/>
        <v>1.006656</v>
      </c>
      <c r="CP410" s="207">
        <f t="shared" si="104"/>
        <v>0</v>
      </c>
      <c r="CQ410" s="208">
        <f t="shared" si="105"/>
        <v>0</v>
      </c>
      <c r="CR410" s="209">
        <f t="shared" si="93"/>
        <v>0</v>
      </c>
      <c r="CS410" s="49"/>
      <c r="CT410" s="49"/>
      <c r="CU410" s="49"/>
      <c r="CV410" s="49"/>
      <c r="CW410" s="49"/>
      <c r="CX410" s="49"/>
      <c r="CY410" s="49"/>
      <c r="CZ410" s="49"/>
      <c r="DA410" s="49"/>
      <c r="DB410" s="49"/>
      <c r="DC410" s="49"/>
      <c r="DD410" s="49"/>
      <c r="DE410" s="49"/>
      <c r="DF410" s="49"/>
      <c r="DG410" s="49"/>
      <c r="DH410" s="49"/>
      <c r="DI410" s="49"/>
      <c r="DJ410" s="49"/>
      <c r="DK410" s="49"/>
      <c r="DL410" s="49"/>
      <c r="DM410" s="49"/>
      <c r="DN410" s="49"/>
      <c r="DO410" s="49"/>
      <c r="DP410" s="49"/>
      <c r="DQ410" s="49"/>
      <c r="DR410" s="49"/>
      <c r="DS410" s="49"/>
      <c r="DT410" s="49"/>
      <c r="DU410" s="49"/>
      <c r="DV410" s="49"/>
      <c r="DW410" s="49"/>
      <c r="DX410" s="49"/>
      <c r="DY410" s="49"/>
      <c r="DZ410" s="49"/>
      <c r="EA410" s="49"/>
      <c r="EB410" s="49"/>
      <c r="EC410" s="49"/>
      <c r="ED410" s="49"/>
      <c r="EE410" s="49"/>
      <c r="EF410" s="49"/>
      <c r="EG410" s="49"/>
      <c r="EH410" s="49"/>
      <c r="EI410" s="49"/>
      <c r="EJ410" s="49"/>
      <c r="EK410" s="49"/>
      <c r="EL410" s="49"/>
      <c r="EM410" s="49"/>
      <c r="EN410" s="49"/>
      <c r="EO410" s="49"/>
      <c r="EP410" s="49"/>
      <c r="EQ410" s="49"/>
      <c r="ER410" s="49"/>
      <c r="ES410" s="49"/>
      <c r="ET410" s="49"/>
      <c r="EU410" s="49"/>
      <c r="EV410" s="49"/>
      <c r="EW410" s="49"/>
      <c r="EX410" s="49"/>
      <c r="EY410" s="49"/>
      <c r="EZ410" s="49"/>
      <c r="FA410" s="49"/>
    </row>
    <row r="411" spans="1:157" s="210" customFormat="1" x14ac:dyDescent="0.25">
      <c r="A411" s="113">
        <f>IF(AND('[1]Cockpit Retorno'!$E$67=Sim,Mestre!M411=Mestre!$M$98),0,1)</f>
        <v>1</v>
      </c>
      <c r="B411" s="113">
        <f>IF(AND('[1]Cockpit Retorno'!$E$67=Sim,Mestre!L411=Mestre!$L$48),0,1)</f>
        <v>0</v>
      </c>
      <c r="C411" s="113">
        <f>IF(AND('[1]Cockpit Retorno'!$E$67=Sim,Mestre!M411=Mestre!$M$97),0,1)</f>
        <v>1</v>
      </c>
      <c r="D411" s="148" t="s">
        <v>74</v>
      </c>
      <c r="E411" s="115"/>
      <c r="F411" s="116" t="s">
        <v>107</v>
      </c>
      <c r="G411" s="149"/>
      <c r="H411" s="150" t="s">
        <v>74</v>
      </c>
      <c r="I411" s="151" t="str">
        <f t="shared" si="86"/>
        <v>Mercadorias</v>
      </c>
      <c r="J411" s="150" t="s">
        <v>15</v>
      </c>
      <c r="K411" s="152" t="s">
        <v>74</v>
      </c>
      <c r="L411" s="153" t="s">
        <v>15</v>
      </c>
      <c r="M411" s="154"/>
      <c r="N411" s="155" t="s">
        <v>43</v>
      </c>
      <c r="O411" s="155" t="s">
        <v>43</v>
      </c>
      <c r="P411" s="155" t="s">
        <v>43</v>
      </c>
      <c r="Q411" s="155" t="s">
        <v>43</v>
      </c>
      <c r="R411" s="155" t="s">
        <v>43</v>
      </c>
      <c r="S411" s="156" t="s">
        <v>43</v>
      </c>
      <c r="T411" s="156" t="s">
        <v>43</v>
      </c>
      <c r="U411" s="150" t="s">
        <v>43</v>
      </c>
      <c r="V411" s="150" t="s">
        <v>43</v>
      </c>
      <c r="W411" s="150" t="s">
        <v>43</v>
      </c>
      <c r="X411" s="157"/>
      <c r="Y411" s="150" t="s">
        <v>43</v>
      </c>
      <c r="Z411" s="150" t="s">
        <v>43</v>
      </c>
      <c r="AA411" s="158">
        <v>0</v>
      </c>
      <c r="AB411" s="155" t="s">
        <v>43</v>
      </c>
      <c r="AC411" s="150" t="s">
        <v>43</v>
      </c>
      <c r="AD411" s="155" t="s">
        <v>43</v>
      </c>
      <c r="AE411" s="155"/>
      <c r="AF411" s="150" t="s">
        <v>43</v>
      </c>
      <c r="AG411" s="159"/>
      <c r="AH411" s="159">
        <v>0</v>
      </c>
      <c r="AI411" s="202"/>
      <c r="AJ411" s="161"/>
      <c r="AK411" s="162"/>
      <c r="AL411" s="163"/>
      <c r="AM411" s="164">
        <f>(((IF(L411=$L$101,1,IF(L411=$L$47,1,0))*(AH411*(1-AK411)))*AG411)*(1-AL411))</f>
        <v>0</v>
      </c>
      <c r="AN411" s="165">
        <f>IF(K411=$K$50,AM411,IF(K411=$K$53,AM411,IF(K411=$K$54,AM411,IF(K411=$K$55,AM411,IF(K411=$K$56,AM411,IF(K411=$K$57,AM411,IF(K411=$K$58,AM411,IF(K411=$K$65,AM411,IF(K411=$K$66,AM411,IF(K411=$K$67,AM411,IF(K411=$K$68,AM411,IF(K411=$K$69,AM411,IF(K411=$K$51,AM411,(AM411*(1+AI411)))))))))))))))</f>
        <v>0</v>
      </c>
      <c r="AO411" s="166">
        <v>1.4</v>
      </c>
      <c r="AP411" s="160">
        <f t="shared" si="87"/>
        <v>0</v>
      </c>
      <c r="AQ411" s="167">
        <f t="shared" si="106"/>
        <v>0</v>
      </c>
      <c r="AR411" s="160">
        <f t="shared" si="88"/>
        <v>0</v>
      </c>
      <c r="AS411" s="168">
        <f t="shared" si="89"/>
        <v>0</v>
      </c>
      <c r="AT411" s="169" t="str">
        <f>K411</f>
        <v>MOV</v>
      </c>
      <c r="AU411" s="169" t="str">
        <f>I411</f>
        <v>Mercadorias</v>
      </c>
      <c r="AV411" s="170"/>
      <c r="AW411" s="171">
        <f>IF(K411=$K$50,0,IF(K411=$K$53,0,IF(K411=$K$54,0,IF(K411=$K$55,0,IF(K411=$K$56,0,IF(K411=$K$57,0,IF(K411=$K$58,0,IF(K411=$K$65,0,IF(K411=$K$66,0,IF(K411=$K$67,0,IF(K411=$K$68,0,IF(K411=$K$69,0,IF(K411=$K$51,0,1))))))))))))*AM411*AI411)</f>
        <v>0</v>
      </c>
      <c r="AX411" s="172">
        <f>IF(K411=$K$50,0,IF(K411=$K$53,0,IF(K411=$K$54,0,IF(K411=$K$55,0,IF(K411=$K$56,0,IF(K411=$K$57,0,IF(K411=$K$58,0,IF(K411=$K$65,0,IF(K411=$K$66,0,IF(K411=$K$67,0,IF(K411=$K$68,0,IF(K411=$K$69,0,IF(K411=$K$51,0,1))))))))))))*AM411*AJ411*$AX$94)</f>
        <v>0</v>
      </c>
      <c r="AY411" s="172">
        <f>IF(K411=$K$53,0,IF(K411=$K$54,0,IF(K411=$K$55,0,IF(K411=$K$56,0,IF(K411=$K$58,0,IF(K411=$K$50,0,IF(K411=$K$65,0,IF(K411=$K$57,0,IF(K411=$K$51,0,AM411*$AY$102)))))))))</f>
        <v>0</v>
      </c>
      <c r="AZ411" s="172">
        <f>IF(K411=$K$53,0,IF(K411=$K$54,0,IF(K411=$K$55,0,IF(K411=$K$56,0,IF(K411=$K$58,0,IF(K411=$K$50,0,IF(K411=$K$65,0,IF(K411=$K$57,0,IF(K411=$K$51,0,AM411*$AZ$102)))))))))</f>
        <v>0</v>
      </c>
      <c r="BA411" s="172">
        <f t="shared" si="90"/>
        <v>0</v>
      </c>
      <c r="BB411" s="173">
        <f>IF($BA$97=1,AQ411*$BB$102,IF(K411=$K$50,0,IF(K411=$K$53,0,IF(K411=$K$54,0,IF(K411=$K$55,0,IF(K411=$K$56,0,IF(K411=$K$57,0,IF(K411=$K$58,0,IF(K411=$K$65,0,IF(K411=$K$66,0,IF(K411=$K$67,0,IF(K411=$K$68,0,IF(K411=$K$69,0,IF(K411=$K$51,0,1)))))))))))*AQ411*$BB$102)))</f>
        <v>0</v>
      </c>
      <c r="BC411" s="172">
        <f t="shared" si="91"/>
        <v>0</v>
      </c>
      <c r="BD411" s="172">
        <f t="shared" si="92"/>
        <v>0</v>
      </c>
      <c r="BE411" s="172">
        <f>IF($BE$95=I411,$BE$97,IF(I411=$BE$96,$BE$97,1))*($BE$102*AQ411)*$AZ$97</f>
        <v>0</v>
      </c>
      <c r="BF411" s="172">
        <f>IF('[1]Cockpit Retorno'!$C$65=Sim,Mestre!BA411,SUM(BB411:BE411)+(IF(K411=$K$56,AQ411*MOE_IRRF_LR,0)))</f>
        <v>0</v>
      </c>
      <c r="BG411" s="174">
        <f>IF(AA411&gt;0,0,IF(Z411=$Z$82,AG411*1,(IF(Z411=$Z$81,AG411*1,0))))</f>
        <v>0</v>
      </c>
      <c r="BH411" s="174">
        <f>IF(AA411&gt;0,0,IF(Z411=$Z$83,AG411*1,IF(Z411=$Z$81,AG411*1,0)))</f>
        <v>0</v>
      </c>
      <c r="BI411" s="174">
        <f>IF(AA411&gt;0,0,IF(Z411=$Z$84,AG411*1,IF(Z411=$Z$93,AG411*2,IF(Z411=$Z$100,AG411,IF(Z411=$Z$81,AG411*2,IF(Z411=$Z$80,AG411*1,IF(Z411=$Z$79,AG411*3,IF(Z411=$Z$78,AG411*2,0))))))))</f>
        <v>0</v>
      </c>
      <c r="BJ411" s="174">
        <f>IF(AA411&gt;0,0,IF(Z411=$Z$85,AG411,IF(Z411=$Z$93,AG411,IF(Z411=$Z$100,AG411,IF(Z411=$Z$81,AG411*1,IF(Z411=$Z$80,AG411*2,IF(Z411=$Z$79,AG411*2,IF(Z411=$Z$78,AG411*2,0))))))))</f>
        <v>0</v>
      </c>
      <c r="BK411" s="174">
        <f>IF(AA411&gt;0,0,IF(Z411=$Z$92,AG411,0))</f>
        <v>0</v>
      </c>
      <c r="BL411" s="174">
        <f>IF(AA411&gt;0,0,IF(Z411=$Z$91,AG411,0))</f>
        <v>0</v>
      </c>
      <c r="BM411" s="174">
        <f>IF(AA411&gt;0,0,IF(Z411=$Z$86,AG411,0))</f>
        <v>0</v>
      </c>
      <c r="BN411" s="174">
        <f>IF(AA411&gt;0,0,IF(Z411=$Z$87,AG411,0))</f>
        <v>0</v>
      </c>
      <c r="BO411" s="174">
        <f>IF(AA411&gt;0,0,IF(Z411=$Z$88,AG411,0))</f>
        <v>0</v>
      </c>
      <c r="BP411" s="174">
        <f>IF(AA411&gt;0,0,IF(Z411=$Z$89,AG411,0))</f>
        <v>0</v>
      </c>
      <c r="BQ411" s="174">
        <f>IF(AA411&gt;0,0,IF(Z411=$Z$90,AG411,0))</f>
        <v>0</v>
      </c>
      <c r="BR411" s="174">
        <f>IF(Z411=$Z$82,AA411*AG411,0)</f>
        <v>0</v>
      </c>
      <c r="BS411" s="174">
        <f>IF(Z411=$Z$83,AA411*AG411,0)</f>
        <v>0</v>
      </c>
      <c r="BT411" s="174">
        <f>IF(AA411&lt;1,0,IF(Z411=$Z$84,AA411*AG411,IF(Z411=$Z$93,"ERRO",IF(Z411=$Z$100,"ERRO",0))))</f>
        <v>0</v>
      </c>
      <c r="BU411" s="174">
        <f>IF(AA411&lt;1,0,IF(Z411=$Z$85,AA411*AG411,IF(Z411=$Z$93,"ERRO",IF(Z411=$Z$100,"ERRO",0))))</f>
        <v>0</v>
      </c>
      <c r="BV411" s="174">
        <f>IF(Z411=$Z$92,AA411*AG411,0)</f>
        <v>0</v>
      </c>
      <c r="BW411" s="174">
        <f>IF(Z411=$Z$91,AA411*AG411,0)</f>
        <v>0</v>
      </c>
      <c r="BX411" s="174">
        <f>IF(Z411=$Z$86,AA411*AG411,0)</f>
        <v>0</v>
      </c>
      <c r="BY411" s="174">
        <f>IF(Z411=$Z$87,AA411*AG411,0)</f>
        <v>0</v>
      </c>
      <c r="BZ411" s="174">
        <f>IF(Z411=$Z$88,AA411*AG411,0)</f>
        <v>0</v>
      </c>
      <c r="CA411" s="174">
        <f>IF(Z411=$Z$89,AA411*AG411,0)</f>
        <v>0</v>
      </c>
      <c r="CB411" s="174">
        <f>IF(Z411=$Z$90,AA411*AG411,0)</f>
        <v>0</v>
      </c>
      <c r="CC411" s="175">
        <f>IFERROR(IF(L411=$L$49,AG411*AH411*(1+AI411)*(1-AK411)*(1-AL411),0),0)</f>
        <v>0</v>
      </c>
      <c r="CD411" s="203">
        <f>IF(I411=$CD$97,1,IF(I411=$CD$100,2,IF(K411=$K$66,1,IF(K411=$K$69,1,3))))</f>
        <v>1</v>
      </c>
      <c r="CE411" s="203">
        <f t="shared" si="14"/>
        <v>1.07</v>
      </c>
      <c r="CF411" s="204">
        <f t="shared" si="96"/>
        <v>1.2353999999999998</v>
      </c>
      <c r="CG411" s="203">
        <f t="shared" si="15"/>
        <v>1.42</v>
      </c>
      <c r="CH411" s="204">
        <f t="shared" si="97"/>
        <v>1.5478000000000001</v>
      </c>
      <c r="CI411" s="203">
        <f t="shared" si="16"/>
        <v>1.7</v>
      </c>
      <c r="CJ411" s="205">
        <f>CE411*$CJ$102</f>
        <v>1.0486</v>
      </c>
      <c r="CK411" s="205">
        <f>CF411*$CK$102</f>
        <v>1.148922</v>
      </c>
      <c r="CL411" s="205">
        <f>CG411*$CL$102</f>
        <v>1.3915999999999999</v>
      </c>
      <c r="CM411" s="205">
        <f>CH411*$CM$102</f>
        <v>1.501366</v>
      </c>
      <c r="CN411" s="206">
        <f>CI411*$CN$102</f>
        <v>1.6319999999999999</v>
      </c>
      <c r="CO411" s="204">
        <f t="shared" si="103"/>
        <v>1.006656</v>
      </c>
      <c r="CP411" s="207">
        <f t="shared" si="104"/>
        <v>0</v>
      </c>
      <c r="CQ411" s="208">
        <f t="shared" si="105"/>
        <v>0</v>
      </c>
      <c r="CR411" s="209">
        <f t="shared" si="93"/>
        <v>0</v>
      </c>
      <c r="CS411" s="49"/>
      <c r="CT411" s="49"/>
      <c r="CU411" s="49"/>
      <c r="CV411" s="49"/>
      <c r="CW411" s="49"/>
      <c r="CX411" s="49"/>
      <c r="CY411" s="49"/>
      <c r="CZ411" s="49"/>
      <c r="DA411" s="49"/>
      <c r="DB411" s="49"/>
      <c r="DC411" s="49"/>
      <c r="DD411" s="49"/>
      <c r="DE411" s="49"/>
      <c r="DF411" s="49"/>
      <c r="DG411" s="49"/>
      <c r="DH411" s="49"/>
      <c r="DI411" s="49"/>
      <c r="DJ411" s="49"/>
      <c r="DK411" s="49"/>
      <c r="DL411" s="49"/>
      <c r="DM411" s="49"/>
      <c r="DN411" s="49"/>
      <c r="DO411" s="49"/>
      <c r="DP411" s="49"/>
      <c r="DQ411" s="49"/>
      <c r="DR411" s="49"/>
      <c r="DS411" s="49"/>
      <c r="DT411" s="49"/>
      <c r="DU411" s="49"/>
      <c r="DV411" s="49"/>
      <c r="DW411" s="49"/>
      <c r="DX411" s="49"/>
      <c r="DY411" s="49"/>
      <c r="DZ411" s="49"/>
      <c r="EA411" s="49"/>
      <c r="EB411" s="49"/>
      <c r="EC411" s="49"/>
      <c r="ED411" s="49"/>
      <c r="EE411" s="49"/>
      <c r="EF411" s="49"/>
      <c r="EG411" s="49"/>
      <c r="EH411" s="49"/>
      <c r="EI411" s="49"/>
      <c r="EJ411" s="49"/>
      <c r="EK411" s="49"/>
      <c r="EL411" s="49"/>
      <c r="EM411" s="49"/>
      <c r="EN411" s="49"/>
      <c r="EO411" s="49"/>
      <c r="EP411" s="49"/>
      <c r="EQ411" s="49"/>
      <c r="ER411" s="49"/>
      <c r="ES411" s="49"/>
      <c r="ET411" s="49"/>
      <c r="EU411" s="49"/>
      <c r="EV411" s="49"/>
      <c r="EW411" s="49"/>
      <c r="EX411" s="49"/>
      <c r="EY411" s="49"/>
      <c r="EZ411" s="49"/>
      <c r="FA411" s="49"/>
    </row>
    <row r="412" spans="1:157" s="210" customFormat="1" x14ac:dyDescent="0.25">
      <c r="A412" s="113">
        <f>IF(AND('[1]Cockpit Retorno'!$E$67=Sim,Mestre!M412=Mestre!$M$98),0,1)</f>
        <v>1</v>
      </c>
      <c r="B412" s="113">
        <f>IF(AND('[1]Cockpit Retorno'!$E$67=Sim,Mestre!L412=Mestre!$L$48),0,1)</f>
        <v>0</v>
      </c>
      <c r="C412" s="113">
        <f>IF(AND('[1]Cockpit Retorno'!$E$67=Sim,Mestre!M412=Mestre!$M$97),0,1)</f>
        <v>1</v>
      </c>
      <c r="D412" s="148" t="s">
        <v>577</v>
      </c>
      <c r="E412" s="115"/>
      <c r="F412" s="116" t="s">
        <v>107</v>
      </c>
      <c r="G412" s="149"/>
      <c r="H412" s="150" t="s">
        <v>128</v>
      </c>
      <c r="I412" s="151" t="str">
        <f t="shared" si="86"/>
        <v>Mercadorias</v>
      </c>
      <c r="J412" s="150" t="s">
        <v>15</v>
      </c>
      <c r="K412" s="152" t="s">
        <v>79</v>
      </c>
      <c r="L412" s="153" t="s">
        <v>15</v>
      </c>
      <c r="M412" s="154"/>
      <c r="N412" s="155" t="s">
        <v>43</v>
      </c>
      <c r="O412" s="155" t="s">
        <v>43</v>
      </c>
      <c r="P412" s="155" t="s">
        <v>43</v>
      </c>
      <c r="Q412" s="155" t="s">
        <v>43</v>
      </c>
      <c r="R412" s="155" t="s">
        <v>43</v>
      </c>
      <c r="S412" s="156" t="s">
        <v>43</v>
      </c>
      <c r="T412" s="156" t="s">
        <v>43</v>
      </c>
      <c r="U412" s="150" t="s">
        <v>43</v>
      </c>
      <c r="V412" s="150" t="s">
        <v>43</v>
      </c>
      <c r="W412" s="150" t="s">
        <v>43</v>
      </c>
      <c r="X412" s="157"/>
      <c r="Y412" s="150" t="s">
        <v>43</v>
      </c>
      <c r="Z412" s="150" t="s">
        <v>43</v>
      </c>
      <c r="AA412" s="158">
        <v>0</v>
      </c>
      <c r="AB412" s="155" t="s">
        <v>43</v>
      </c>
      <c r="AC412" s="150" t="s">
        <v>43</v>
      </c>
      <c r="AD412" s="155" t="s">
        <v>43</v>
      </c>
      <c r="AE412" s="155"/>
      <c r="AF412" s="150" t="s">
        <v>43</v>
      </c>
      <c r="AG412" s="159"/>
      <c r="AH412" s="159">
        <v>0</v>
      </c>
      <c r="AI412" s="202"/>
      <c r="AJ412" s="161"/>
      <c r="AK412" s="162"/>
      <c r="AL412" s="163"/>
      <c r="AM412" s="164">
        <f>(((IF(L412=$L$101,1,IF(L412=$L$47,1,0))*(AH412*(1-AK412)))*AG412)*(1-AL412))</f>
        <v>0</v>
      </c>
      <c r="AN412" s="165">
        <f>IF(K412=$K$50,AM412,IF(K412=$K$53,AM412,IF(K412=$K$54,AM412,IF(K412=$K$55,AM412,IF(K412=$K$56,AM412,IF(K412=$K$57,AM412,IF(K412=$K$58,AM412,IF(K412=$K$65,AM412,IF(K412=$K$66,AM412,IF(K412=$K$67,AM412,IF(K412=$K$68,AM412,IF(K412=$K$69,AM412,IF(K412=$K$51,AM412,(AM412*(1+AI412)))))))))))))))</f>
        <v>0</v>
      </c>
      <c r="AO412" s="166">
        <v>1.4</v>
      </c>
      <c r="AP412" s="160">
        <f t="shared" si="87"/>
        <v>0</v>
      </c>
      <c r="AQ412" s="167">
        <f t="shared" si="106"/>
        <v>0</v>
      </c>
      <c r="AR412" s="160">
        <f t="shared" si="88"/>
        <v>0</v>
      </c>
      <c r="AS412" s="168">
        <f t="shared" si="89"/>
        <v>0</v>
      </c>
      <c r="AT412" s="169" t="str">
        <f>K412</f>
        <v>PLC_DCS</v>
      </c>
      <c r="AU412" s="169" t="str">
        <f>I412</f>
        <v>Mercadorias</v>
      </c>
      <c r="AV412" s="170"/>
      <c r="AW412" s="171">
        <f>IF(K412=$K$50,0,IF(K412=$K$53,0,IF(K412=$K$54,0,IF(K412=$K$55,0,IF(K412=$K$56,0,IF(K412=$K$57,0,IF(K412=$K$58,0,IF(K412=$K$65,0,IF(K412=$K$66,0,IF(K412=$K$67,0,IF(K412=$K$68,0,IF(K412=$K$69,0,IF(K412=$K$51,0,1))))))))))))*AM412*AI412)</f>
        <v>0</v>
      </c>
      <c r="AX412" s="172">
        <f>IF(K412=$K$50,0,IF(K412=$K$53,0,IF(K412=$K$54,0,IF(K412=$K$55,0,IF(K412=$K$56,0,IF(K412=$K$57,0,IF(K412=$K$58,0,IF(K412=$K$65,0,IF(K412=$K$66,0,IF(K412=$K$67,0,IF(K412=$K$68,0,IF(K412=$K$69,0,IF(K412=$K$51,0,1))))))))))))*AM412*AJ412*$AX$94)</f>
        <v>0</v>
      </c>
      <c r="AY412" s="172">
        <f>IF(K412=$K$53,0,IF(K412=$K$54,0,IF(K412=$K$55,0,IF(K412=$K$56,0,IF(K412=$K$58,0,IF(K412=$K$50,0,IF(K412=$K$65,0,IF(K412=$K$57,0,IF(K412=$K$51,0,AM412*$AY$102)))))))))</f>
        <v>0</v>
      </c>
      <c r="AZ412" s="172">
        <f>IF(K412=$K$53,0,IF(K412=$K$54,0,IF(K412=$K$55,0,IF(K412=$K$56,0,IF(K412=$K$58,0,IF(K412=$K$50,0,IF(K412=$K$65,0,IF(K412=$K$57,0,IF(K412=$K$51,0,AM412*$AZ$102)))))))))</f>
        <v>0</v>
      </c>
      <c r="BA412" s="172">
        <f t="shared" si="90"/>
        <v>0</v>
      </c>
      <c r="BB412" s="173">
        <f>IF($BA$97=1,AQ412*$BB$102,IF(K412=$K$50,0,IF(K412=$K$53,0,IF(K412=$K$54,0,IF(K412=$K$55,0,IF(K412=$K$56,0,IF(K412=$K$57,0,IF(K412=$K$58,0,IF(K412=$K$65,0,IF(K412=$K$66,0,IF(K412=$K$67,0,IF(K412=$K$68,0,IF(K412=$K$69,0,IF(K412=$K$51,0,1)))))))))))*AQ412*$BB$102)))</f>
        <v>0</v>
      </c>
      <c r="BC412" s="172">
        <f t="shared" si="91"/>
        <v>0</v>
      </c>
      <c r="BD412" s="172">
        <f t="shared" si="92"/>
        <v>0</v>
      </c>
      <c r="BE412" s="172">
        <f>IF($BE$95=I412,$BE$97,IF(I412=$BE$96,$BE$97,1))*($BE$102*AQ412)*$AZ$97</f>
        <v>0</v>
      </c>
      <c r="BF412" s="172">
        <f>IF('[1]Cockpit Retorno'!$C$65=Sim,Mestre!BA412,SUM(BB412:BE412)+(IF(K412=$K$56,AQ412*MOE_IRRF_LR,0)))</f>
        <v>0</v>
      </c>
      <c r="BG412" s="174">
        <f>IF(AA412&gt;0,0,IF(Z412=$Z$82,AG412*1,(IF(Z412=$Z$81,AG412*1,0))))</f>
        <v>0</v>
      </c>
      <c r="BH412" s="174">
        <f>IF(AA412&gt;0,0,IF(Z412=$Z$83,AG412*1,IF(Z412=$Z$81,AG412*1,0)))</f>
        <v>0</v>
      </c>
      <c r="BI412" s="174">
        <f>IF(AA412&gt;0,0,IF(Z412=$Z$84,AG412*1,IF(Z412=$Z$93,AG412*2,IF(Z412=$Z$100,AG412,IF(Z412=$Z$81,AG412*2,IF(Z412=$Z$80,AG412*1,IF(Z412=$Z$79,AG412*3,IF(Z412=$Z$78,AG412*2,0))))))))</f>
        <v>0</v>
      </c>
      <c r="BJ412" s="174">
        <f>IF(AA412&gt;0,0,IF(Z412=$Z$85,AG412,IF(Z412=$Z$93,AG412,IF(Z412=$Z$100,AG412,IF(Z412=$Z$81,AG412*1,IF(Z412=$Z$80,AG412*2,IF(Z412=$Z$79,AG412*2,IF(Z412=$Z$78,AG412*2,0))))))))</f>
        <v>0</v>
      </c>
      <c r="BK412" s="174">
        <f>IF(AA412&gt;0,0,IF(Z412=$Z$92,AG412,0))</f>
        <v>0</v>
      </c>
      <c r="BL412" s="174">
        <f>IF(AA412&gt;0,0,IF(Z412=$Z$91,AG412,0))</f>
        <v>0</v>
      </c>
      <c r="BM412" s="174">
        <f>IF(AA412&gt;0,0,IF(Z412=$Z$86,AG412,0))</f>
        <v>0</v>
      </c>
      <c r="BN412" s="174">
        <f>IF(AA412&gt;0,0,IF(Z412=$Z$87,AG412,0))</f>
        <v>0</v>
      </c>
      <c r="BO412" s="174">
        <f>IF(AA412&gt;0,0,IF(Z412=$Z$88,AG412,0))</f>
        <v>0</v>
      </c>
      <c r="BP412" s="174">
        <f>IF(AA412&gt;0,0,IF(Z412=$Z$89,AG412,0))</f>
        <v>0</v>
      </c>
      <c r="BQ412" s="174">
        <f>IF(AA412&gt;0,0,IF(Z412=$Z$90,AG412,0))</f>
        <v>0</v>
      </c>
      <c r="BR412" s="174">
        <f>IF(Z412=$Z$82,AA412*AG412,0)</f>
        <v>0</v>
      </c>
      <c r="BS412" s="174">
        <f>IF(Z412=$Z$83,AA412*AG412,0)</f>
        <v>0</v>
      </c>
      <c r="BT412" s="174">
        <f>IF(AA412&lt;1,0,IF(Z412=$Z$84,AA412*AG412,IF(Z412=$Z$93,"ERRO",IF(Z412=$Z$100,"ERRO",0))))</f>
        <v>0</v>
      </c>
      <c r="BU412" s="174">
        <f>IF(AA412&lt;1,0,IF(Z412=$Z$85,AA412*AG412,IF(Z412=$Z$93,"ERRO",IF(Z412=$Z$100,"ERRO",0))))</f>
        <v>0</v>
      </c>
      <c r="BV412" s="174">
        <f>IF(Z412=$Z$92,AA412*AG412,0)</f>
        <v>0</v>
      </c>
      <c r="BW412" s="174">
        <f>IF(Z412=$Z$91,AA412*AG412,0)</f>
        <v>0</v>
      </c>
      <c r="BX412" s="174">
        <f>IF(Z412=$Z$86,AA412*AG412,0)</f>
        <v>0</v>
      </c>
      <c r="BY412" s="174">
        <f>IF(Z412=$Z$87,AA412*AG412,0)</f>
        <v>0</v>
      </c>
      <c r="BZ412" s="174">
        <f>IF(Z412=$Z$88,AA412*AG412,0)</f>
        <v>0</v>
      </c>
      <c r="CA412" s="174">
        <f>IF(Z412=$Z$89,AA412*AG412,0)</f>
        <v>0</v>
      </c>
      <c r="CB412" s="174">
        <f>IF(Z412=$Z$90,AA412*AG412,0)</f>
        <v>0</v>
      </c>
      <c r="CC412" s="175">
        <f>IFERROR(IF(L412=$L$49,AG412*AH412*(1+AI412)*(1-AK412)*(1-AL412),0),0)</f>
        <v>0</v>
      </c>
      <c r="CD412" s="203">
        <f>IF(I412=$CD$97,1,IF(I412=$CD$100,2,IF(K412=$K$66,1,IF(K412=$K$69,1,3))))</f>
        <v>1</v>
      </c>
      <c r="CE412" s="203">
        <f t="shared" si="14"/>
        <v>1.07</v>
      </c>
      <c r="CF412" s="204">
        <f t="shared" si="96"/>
        <v>1.2353999999999998</v>
      </c>
      <c r="CG412" s="203">
        <f t="shared" si="15"/>
        <v>1.42</v>
      </c>
      <c r="CH412" s="204">
        <f t="shared" si="97"/>
        <v>1.5478000000000001</v>
      </c>
      <c r="CI412" s="203">
        <f t="shared" si="16"/>
        <v>1.7</v>
      </c>
      <c r="CJ412" s="205">
        <f>CE412*$CJ$102</f>
        <v>1.0486</v>
      </c>
      <c r="CK412" s="205">
        <f>CF412*$CK$102</f>
        <v>1.148922</v>
      </c>
      <c r="CL412" s="205">
        <f>CG412*$CL$102</f>
        <v>1.3915999999999999</v>
      </c>
      <c r="CM412" s="205">
        <f>CH412*$CM$102</f>
        <v>1.501366</v>
      </c>
      <c r="CN412" s="206">
        <f>CI412*$CN$102</f>
        <v>1.6319999999999999</v>
      </c>
      <c r="CO412" s="204">
        <f t="shared" si="103"/>
        <v>1.006656</v>
      </c>
      <c r="CP412" s="207">
        <f t="shared" si="104"/>
        <v>0</v>
      </c>
      <c r="CQ412" s="208">
        <f t="shared" si="105"/>
        <v>0</v>
      </c>
      <c r="CR412" s="209">
        <f t="shared" si="93"/>
        <v>0</v>
      </c>
      <c r="CS412" s="49"/>
      <c r="CT412" s="49"/>
      <c r="CU412" s="49"/>
      <c r="CV412" s="49"/>
      <c r="CW412" s="49"/>
      <c r="CX412" s="49"/>
      <c r="CY412" s="49"/>
      <c r="CZ412" s="49"/>
      <c r="DA412" s="49"/>
      <c r="DB412" s="49"/>
      <c r="DC412" s="49"/>
      <c r="DD412" s="49"/>
      <c r="DE412" s="49"/>
      <c r="DF412" s="49"/>
      <c r="DG412" s="49"/>
      <c r="DH412" s="49"/>
      <c r="DI412" s="49"/>
      <c r="DJ412" s="49"/>
      <c r="DK412" s="49"/>
      <c r="DL412" s="49"/>
      <c r="DM412" s="49"/>
      <c r="DN412" s="49"/>
      <c r="DO412" s="49"/>
      <c r="DP412" s="49"/>
      <c r="DQ412" s="49"/>
      <c r="DR412" s="49"/>
      <c r="DS412" s="49"/>
      <c r="DT412" s="49"/>
      <c r="DU412" s="49"/>
      <c r="DV412" s="49"/>
      <c r="DW412" s="49"/>
      <c r="DX412" s="49"/>
      <c r="DY412" s="49"/>
      <c r="DZ412" s="49"/>
      <c r="EA412" s="49"/>
      <c r="EB412" s="49"/>
      <c r="EC412" s="49"/>
      <c r="ED412" s="49"/>
      <c r="EE412" s="49"/>
      <c r="EF412" s="49"/>
      <c r="EG412" s="49"/>
      <c r="EH412" s="49"/>
      <c r="EI412" s="49"/>
      <c r="EJ412" s="49"/>
      <c r="EK412" s="49"/>
      <c r="EL412" s="49"/>
      <c r="EM412" s="49"/>
      <c r="EN412" s="49"/>
      <c r="EO412" s="49"/>
      <c r="EP412" s="49"/>
      <c r="EQ412" s="49"/>
      <c r="ER412" s="49"/>
      <c r="ES412" s="49"/>
      <c r="ET412" s="49"/>
      <c r="EU412" s="49"/>
      <c r="EV412" s="49"/>
      <c r="EW412" s="49"/>
      <c r="EX412" s="49"/>
      <c r="EY412" s="49"/>
      <c r="EZ412" s="49"/>
      <c r="FA412" s="49"/>
    </row>
    <row r="413" spans="1:157" s="210" customFormat="1" x14ac:dyDescent="0.25">
      <c r="A413" s="113">
        <f>IF(AND('[1]Cockpit Retorno'!$E$67=Sim,Mestre!M413=Mestre!$M$98),0,1)</f>
        <v>1</v>
      </c>
      <c r="B413" s="113">
        <f>IF(AND('[1]Cockpit Retorno'!$E$67=Sim,Mestre!L413=Mestre!$L$48),0,1)</f>
        <v>0</v>
      </c>
      <c r="C413" s="113">
        <f>IF(AND('[1]Cockpit Retorno'!$E$67=Sim,Mestre!M413=Mestre!$M$97),0,1)</f>
        <v>1</v>
      </c>
      <c r="D413" s="148" t="s">
        <v>84</v>
      </c>
      <c r="E413" s="115"/>
      <c r="F413" s="116" t="s">
        <v>107</v>
      </c>
      <c r="G413" s="149"/>
      <c r="H413" s="150" t="s">
        <v>84</v>
      </c>
      <c r="I413" s="151" t="str">
        <f t="shared" si="86"/>
        <v>Mercadorias</v>
      </c>
      <c r="J413" s="150" t="s">
        <v>15</v>
      </c>
      <c r="K413" s="152" t="s">
        <v>84</v>
      </c>
      <c r="L413" s="153" t="s">
        <v>15</v>
      </c>
      <c r="M413" s="154"/>
      <c r="N413" s="155" t="s">
        <v>43</v>
      </c>
      <c r="O413" s="155" t="s">
        <v>43</v>
      </c>
      <c r="P413" s="155" t="s">
        <v>43</v>
      </c>
      <c r="Q413" s="155" t="s">
        <v>43</v>
      </c>
      <c r="R413" s="155" t="s">
        <v>43</v>
      </c>
      <c r="S413" s="156" t="s">
        <v>43</v>
      </c>
      <c r="T413" s="156" t="s">
        <v>43</v>
      </c>
      <c r="U413" s="150" t="s">
        <v>43</v>
      </c>
      <c r="V413" s="150" t="s">
        <v>43</v>
      </c>
      <c r="W413" s="150" t="s">
        <v>43</v>
      </c>
      <c r="X413" s="157"/>
      <c r="Y413" s="150" t="s">
        <v>43</v>
      </c>
      <c r="Z413" s="150" t="s">
        <v>43</v>
      </c>
      <c r="AA413" s="158">
        <v>0</v>
      </c>
      <c r="AB413" s="155" t="s">
        <v>43</v>
      </c>
      <c r="AC413" s="150" t="s">
        <v>43</v>
      </c>
      <c r="AD413" s="155" t="s">
        <v>43</v>
      </c>
      <c r="AE413" s="155"/>
      <c r="AF413" s="150" t="s">
        <v>43</v>
      </c>
      <c r="AG413" s="159"/>
      <c r="AH413" s="159">
        <v>0</v>
      </c>
      <c r="AI413" s="202"/>
      <c r="AJ413" s="161"/>
      <c r="AK413" s="162"/>
      <c r="AL413" s="163"/>
      <c r="AM413" s="164">
        <f>(((IF(L413=$L$101,1,IF(L413=$L$47,1,0))*(AH413*(1-AK413)))*AG413)*(1-AL413))</f>
        <v>0</v>
      </c>
      <c r="AN413" s="165">
        <f>IF(K413=$K$50,AM413,IF(K413=$K$53,AM413,IF(K413=$K$54,AM413,IF(K413=$K$55,AM413,IF(K413=$K$56,AM413,IF(K413=$K$57,AM413,IF(K413=$K$58,AM413,IF(K413=$K$65,AM413,IF(K413=$K$66,AM413,IF(K413=$K$67,AM413,IF(K413=$K$68,AM413,IF(K413=$K$69,AM413,IF(K413=$K$51,AM413,(AM413*(1+AI413)))))))))))))))</f>
        <v>0</v>
      </c>
      <c r="AO413" s="166">
        <v>1.4</v>
      </c>
      <c r="AP413" s="160">
        <f t="shared" si="87"/>
        <v>0</v>
      </c>
      <c r="AQ413" s="167">
        <f t="shared" si="106"/>
        <v>0</v>
      </c>
      <c r="AR413" s="160">
        <f t="shared" si="88"/>
        <v>0</v>
      </c>
      <c r="AS413" s="168">
        <f t="shared" si="89"/>
        <v>0</v>
      </c>
      <c r="AT413" s="169" t="str">
        <f>K413</f>
        <v>PNL</v>
      </c>
      <c r="AU413" s="169" t="str">
        <f>I413</f>
        <v>Mercadorias</v>
      </c>
      <c r="AV413" s="170"/>
      <c r="AW413" s="171">
        <f>IF(K413=$K$50,0,IF(K413=$K$53,0,IF(K413=$K$54,0,IF(K413=$K$55,0,IF(K413=$K$56,0,IF(K413=$K$57,0,IF(K413=$K$58,0,IF(K413=$K$65,0,IF(K413=$K$66,0,IF(K413=$K$67,0,IF(K413=$K$68,0,IF(K413=$K$69,0,IF(K413=$K$51,0,1))))))))))))*AM413*AI413)</f>
        <v>0</v>
      </c>
      <c r="AX413" s="172">
        <f>IF(K413=$K$50,0,IF(K413=$K$53,0,IF(K413=$K$54,0,IF(K413=$K$55,0,IF(K413=$K$56,0,IF(K413=$K$57,0,IF(K413=$K$58,0,IF(K413=$K$65,0,IF(K413=$K$66,0,IF(K413=$K$67,0,IF(K413=$K$68,0,IF(K413=$K$69,0,IF(K413=$K$51,0,1))))))))))))*AM413*AJ413*$AX$94)</f>
        <v>0</v>
      </c>
      <c r="AY413" s="172">
        <f>IF(K413=$K$53,0,IF(K413=$K$54,0,IF(K413=$K$55,0,IF(K413=$K$56,0,IF(K413=$K$58,0,IF(K413=$K$50,0,IF(K413=$K$65,0,IF(K413=$K$57,0,IF(K413=$K$51,0,AM413*$AY$102)))))))))</f>
        <v>0</v>
      </c>
      <c r="AZ413" s="172">
        <f>IF(K413=$K$53,0,IF(K413=$K$54,0,IF(K413=$K$55,0,IF(K413=$K$56,0,IF(K413=$K$58,0,IF(K413=$K$50,0,IF(K413=$K$65,0,IF(K413=$K$57,0,IF(K413=$K$51,0,AM413*$AZ$102)))))))))</f>
        <v>0</v>
      </c>
      <c r="BA413" s="172">
        <f t="shared" si="90"/>
        <v>0</v>
      </c>
      <c r="BB413" s="173">
        <f>IF($BA$97=1,AQ413*$BB$102,IF(K413=$K$50,0,IF(K413=$K$53,0,IF(K413=$K$54,0,IF(K413=$K$55,0,IF(K413=$K$56,0,IF(K413=$K$57,0,IF(K413=$K$58,0,IF(K413=$K$65,0,IF(K413=$K$66,0,IF(K413=$K$67,0,IF(K413=$K$68,0,IF(K413=$K$69,0,IF(K413=$K$51,0,1)))))))))))*AQ413*$BB$102)))</f>
        <v>0</v>
      </c>
      <c r="BC413" s="172">
        <f t="shared" si="91"/>
        <v>0</v>
      </c>
      <c r="BD413" s="172">
        <f t="shared" si="92"/>
        <v>0</v>
      </c>
      <c r="BE413" s="172">
        <f>IF($BE$95=I413,$BE$97,IF(I413=$BE$96,$BE$97,1))*($BE$102*AQ413)*$AZ$97</f>
        <v>0</v>
      </c>
      <c r="BF413" s="172">
        <f>IF('[1]Cockpit Retorno'!$C$65=Sim,Mestre!BA413,SUM(BB413:BE413)+(IF(K413=$K$56,AQ413*MOE_IRRF_LR,0)))</f>
        <v>0</v>
      </c>
      <c r="BG413" s="174">
        <f>IF(AA413&gt;0,0,IF(Z413=$Z$82,AG413*1,(IF(Z413=$Z$81,AG413*1,0))))</f>
        <v>0</v>
      </c>
      <c r="BH413" s="174">
        <f>IF(AA413&gt;0,0,IF(Z413=$Z$83,AG413*1,IF(Z413=$Z$81,AG413*1,0)))</f>
        <v>0</v>
      </c>
      <c r="BI413" s="174">
        <f>IF(AA413&gt;0,0,IF(Z413=$Z$84,AG413*1,IF(Z413=$Z$93,AG413*2,IF(Z413=$Z$100,AG413,IF(Z413=$Z$81,AG413*2,IF(Z413=$Z$80,AG413*1,IF(Z413=$Z$79,AG413*3,IF(Z413=$Z$78,AG413*2,0))))))))</f>
        <v>0</v>
      </c>
      <c r="BJ413" s="174">
        <f>IF(AA413&gt;0,0,IF(Z413=$Z$85,AG413,IF(Z413=$Z$93,AG413,IF(Z413=$Z$100,AG413,IF(Z413=$Z$81,AG413*1,IF(Z413=$Z$80,AG413*2,IF(Z413=$Z$79,AG413*2,IF(Z413=$Z$78,AG413*2,0))))))))</f>
        <v>0</v>
      </c>
      <c r="BK413" s="174">
        <f>IF(AA413&gt;0,0,IF(Z413=$Z$92,AG413,0))</f>
        <v>0</v>
      </c>
      <c r="BL413" s="174">
        <f>IF(AA413&gt;0,0,IF(Z413=$Z$91,AG413,0))</f>
        <v>0</v>
      </c>
      <c r="BM413" s="174">
        <f>IF(AA413&gt;0,0,IF(Z413=$Z$86,AG413,0))</f>
        <v>0</v>
      </c>
      <c r="BN413" s="174">
        <f>IF(AA413&gt;0,0,IF(Z413=$Z$87,AG413,0))</f>
        <v>0</v>
      </c>
      <c r="BO413" s="174">
        <f>IF(AA413&gt;0,0,IF(Z413=$Z$88,AG413,0))</f>
        <v>0</v>
      </c>
      <c r="BP413" s="174">
        <f>IF(AA413&gt;0,0,IF(Z413=$Z$89,AG413,0))</f>
        <v>0</v>
      </c>
      <c r="BQ413" s="174">
        <f>IF(AA413&gt;0,0,IF(Z413=$Z$90,AG413,0))</f>
        <v>0</v>
      </c>
      <c r="BR413" s="174">
        <f>IF(Z413=$Z$82,AA413*AG413,0)</f>
        <v>0</v>
      </c>
      <c r="BS413" s="174">
        <f>IF(Z413=$Z$83,AA413*AG413,0)</f>
        <v>0</v>
      </c>
      <c r="BT413" s="174">
        <f>IF(AA413&lt;1,0,IF(Z413=$Z$84,AA413*AG413,IF(Z413=$Z$93,"ERRO",IF(Z413=$Z$100,"ERRO",0))))</f>
        <v>0</v>
      </c>
      <c r="BU413" s="174">
        <f>IF(AA413&lt;1,0,IF(Z413=$Z$85,AA413*AG413,IF(Z413=$Z$93,"ERRO",IF(Z413=$Z$100,"ERRO",0))))</f>
        <v>0</v>
      </c>
      <c r="BV413" s="174">
        <f>IF(Z413=$Z$92,AA413*AG413,0)</f>
        <v>0</v>
      </c>
      <c r="BW413" s="174">
        <f>IF(Z413=$Z$91,AA413*AG413,0)</f>
        <v>0</v>
      </c>
      <c r="BX413" s="174">
        <f>IF(Z413=$Z$86,AA413*AG413,0)</f>
        <v>0</v>
      </c>
      <c r="BY413" s="174">
        <f>IF(Z413=$Z$87,AA413*AG413,0)</f>
        <v>0</v>
      </c>
      <c r="BZ413" s="174">
        <f>IF(Z413=$Z$88,AA413*AG413,0)</f>
        <v>0</v>
      </c>
      <c r="CA413" s="174">
        <f>IF(Z413=$Z$89,AA413*AG413,0)</f>
        <v>0</v>
      </c>
      <c r="CB413" s="174">
        <f>IF(Z413=$Z$90,AA413*AG413,0)</f>
        <v>0</v>
      </c>
      <c r="CC413" s="175">
        <f>IFERROR(IF(L413=$L$49,AG413*AH413*(1+AI413)*(1-AK413)*(1-AL413),0),0)</f>
        <v>0</v>
      </c>
      <c r="CD413" s="203">
        <f>IF(I413=$CD$97,1,IF(I413=$CD$100,2,IF(K413=$K$66,1,IF(K413=$K$69,1,3))))</f>
        <v>1</v>
      </c>
      <c r="CE413" s="203">
        <f t="shared" si="14"/>
        <v>1.07</v>
      </c>
      <c r="CF413" s="204">
        <f t="shared" si="96"/>
        <v>1.2353999999999998</v>
      </c>
      <c r="CG413" s="203">
        <f t="shared" si="15"/>
        <v>1.42</v>
      </c>
      <c r="CH413" s="204">
        <f t="shared" si="97"/>
        <v>1.5478000000000001</v>
      </c>
      <c r="CI413" s="203">
        <f t="shared" si="16"/>
        <v>1.7</v>
      </c>
      <c r="CJ413" s="205">
        <f>CE413*$CJ$102</f>
        <v>1.0486</v>
      </c>
      <c r="CK413" s="205">
        <f>CF413*$CK$102</f>
        <v>1.148922</v>
      </c>
      <c r="CL413" s="205">
        <f>CG413*$CL$102</f>
        <v>1.3915999999999999</v>
      </c>
      <c r="CM413" s="205">
        <f>CH413*$CM$102</f>
        <v>1.501366</v>
      </c>
      <c r="CN413" s="206">
        <f>CI413*$CN$102</f>
        <v>1.6319999999999999</v>
      </c>
      <c r="CO413" s="204">
        <f t="shared" si="103"/>
        <v>1.006656</v>
      </c>
      <c r="CP413" s="207">
        <f t="shared" si="104"/>
        <v>0</v>
      </c>
      <c r="CQ413" s="208">
        <f t="shared" si="105"/>
        <v>0</v>
      </c>
      <c r="CR413" s="209">
        <f t="shared" si="93"/>
        <v>0</v>
      </c>
      <c r="CS413" s="49"/>
      <c r="CT413" s="49"/>
      <c r="CU413" s="49"/>
      <c r="CV413" s="49"/>
      <c r="CW413" s="49"/>
      <c r="CX413" s="49"/>
      <c r="CY413" s="49"/>
      <c r="CZ413" s="49"/>
      <c r="DA413" s="49"/>
      <c r="DB413" s="49"/>
      <c r="DC413" s="49"/>
      <c r="DD413" s="49"/>
      <c r="DE413" s="49"/>
      <c r="DF413" s="49"/>
      <c r="DG413" s="49"/>
      <c r="DH413" s="49"/>
      <c r="DI413" s="49"/>
      <c r="DJ413" s="49"/>
      <c r="DK413" s="49"/>
      <c r="DL413" s="49"/>
      <c r="DM413" s="49"/>
      <c r="DN413" s="49"/>
      <c r="DO413" s="49"/>
      <c r="DP413" s="49"/>
      <c r="DQ413" s="49"/>
      <c r="DR413" s="49"/>
      <c r="DS413" s="49"/>
      <c r="DT413" s="49"/>
      <c r="DU413" s="49"/>
      <c r="DV413" s="49"/>
      <c r="DW413" s="49"/>
      <c r="DX413" s="49"/>
      <c r="DY413" s="49"/>
      <c r="DZ413" s="49"/>
      <c r="EA413" s="49"/>
      <c r="EB413" s="49"/>
      <c r="EC413" s="49"/>
      <c r="ED413" s="49"/>
      <c r="EE413" s="49"/>
      <c r="EF413" s="49"/>
      <c r="EG413" s="49"/>
      <c r="EH413" s="49"/>
      <c r="EI413" s="49"/>
      <c r="EJ413" s="49"/>
      <c r="EK413" s="49"/>
      <c r="EL413" s="49"/>
      <c r="EM413" s="49"/>
      <c r="EN413" s="49"/>
      <c r="EO413" s="49"/>
      <c r="EP413" s="49"/>
      <c r="EQ413" s="49"/>
      <c r="ER413" s="49"/>
      <c r="ES413" s="49"/>
      <c r="ET413" s="49"/>
      <c r="EU413" s="49"/>
      <c r="EV413" s="49"/>
      <c r="EW413" s="49"/>
      <c r="EX413" s="49"/>
      <c r="EY413" s="49"/>
      <c r="EZ413" s="49"/>
      <c r="FA413" s="49"/>
    </row>
    <row r="414" spans="1:157" s="210" customFormat="1" x14ac:dyDescent="0.25">
      <c r="A414" s="113">
        <f>IF(AND('[1]Cockpit Retorno'!$E$67=Sim,Mestre!M414=Mestre!$M$98),0,1)</f>
        <v>1</v>
      </c>
      <c r="B414" s="113">
        <f>IF(AND('[1]Cockpit Retorno'!$E$67=Sim,Mestre!L414=Mestre!$L$48),0,1)</f>
        <v>1</v>
      </c>
      <c r="C414" s="113">
        <f>IF(AND('[1]Cockpit Retorno'!$E$67=Sim,Mestre!M414=Mestre!$M$97),0,1)</f>
        <v>1</v>
      </c>
      <c r="D414" s="148" t="s">
        <v>578</v>
      </c>
      <c r="E414" s="115"/>
      <c r="F414" s="116" t="s">
        <v>107</v>
      </c>
      <c r="G414" s="149"/>
      <c r="H414" s="150" t="s">
        <v>89</v>
      </c>
      <c r="I414" s="151" t="str">
        <f t="shared" si="86"/>
        <v>Mercadorias</v>
      </c>
      <c r="J414" s="150" t="s">
        <v>15</v>
      </c>
      <c r="K414" s="152" t="s">
        <v>89</v>
      </c>
      <c r="L414" s="153" t="s">
        <v>21</v>
      </c>
      <c r="M414" s="154"/>
      <c r="N414" s="155"/>
      <c r="O414" s="155" t="s">
        <v>15</v>
      </c>
      <c r="P414" s="155"/>
      <c r="Q414" s="155"/>
      <c r="R414" s="155"/>
      <c r="S414" s="156"/>
      <c r="T414" s="156"/>
      <c r="U414" s="150"/>
      <c r="V414" s="150"/>
      <c r="W414" s="150"/>
      <c r="X414" s="157" t="s">
        <v>579</v>
      </c>
      <c r="Y414" s="150"/>
      <c r="Z414" s="150"/>
      <c r="AA414" s="158"/>
      <c r="AB414" s="155"/>
      <c r="AC414" s="150"/>
      <c r="AD414" s="155"/>
      <c r="AE414" s="155"/>
      <c r="AF414" s="150"/>
      <c r="AG414" s="159">
        <v>1</v>
      </c>
      <c r="AH414" s="159">
        <v>0</v>
      </c>
      <c r="AI414" s="202"/>
      <c r="AJ414" s="161"/>
      <c r="AK414" s="162"/>
      <c r="AL414" s="163"/>
      <c r="AM414" s="164">
        <f>(((IF(L414=$L$101,1,IF(L414=$L$47,1,0))*(AH414*(1-AK414)))*AG414)*(1-AL414))</f>
        <v>0</v>
      </c>
      <c r="AN414" s="165">
        <f>IF(K414=$K$50,AM414,IF(K414=$K$53,AM414,IF(K414=$K$54,AM414,IF(K414=$K$55,AM414,IF(K414=$K$56,AM414,IF(K414=$K$57,AM414,IF(K414=$K$58,AM414,IF(K414=$K$65,AM414,IF(K414=$K$66,AM414,IF(K414=$K$67,AM414,IF(K414=$K$68,AM414,IF(K414=$K$69,AM414,IF(K414=$K$51,AM414,(AM414*(1+AI414)))))))))))))))</f>
        <v>0</v>
      </c>
      <c r="AO414" s="166">
        <v>1.4</v>
      </c>
      <c r="AP414" s="160">
        <f t="shared" si="87"/>
        <v>0</v>
      </c>
      <c r="AQ414" s="167">
        <f t="shared" si="106"/>
        <v>0</v>
      </c>
      <c r="AR414" s="160">
        <f t="shared" si="88"/>
        <v>0</v>
      </c>
      <c r="AS414" s="168">
        <f t="shared" si="89"/>
        <v>0</v>
      </c>
      <c r="AT414" s="169" t="str">
        <f>K414</f>
        <v>PROD</v>
      </c>
      <c r="AU414" s="169" t="str">
        <f>I414</f>
        <v>Mercadorias</v>
      </c>
      <c r="AV414" s="170"/>
      <c r="AW414" s="171">
        <f>IF(K414=$K$50,0,IF(K414=$K$53,0,IF(K414=$K$54,0,IF(K414=$K$55,0,IF(K414=$K$56,0,IF(K414=$K$57,0,IF(K414=$K$58,0,IF(K414=$K$65,0,IF(K414=$K$66,0,IF(K414=$K$67,0,IF(K414=$K$68,0,IF(K414=$K$69,0,IF(K414=$K$51,0,1))))))))))))*AM414*AI414)</f>
        <v>0</v>
      </c>
      <c r="AX414" s="172">
        <f>IF(K414=$K$50,0,IF(K414=$K$53,0,IF(K414=$K$54,0,IF(K414=$K$55,0,IF(K414=$K$56,0,IF(K414=$K$57,0,IF(K414=$K$58,0,IF(K414=$K$65,0,IF(K414=$K$66,0,IF(K414=$K$67,0,IF(K414=$K$68,0,IF(K414=$K$69,0,IF(K414=$K$51,0,1))))))))))))*AM414*AJ414*$AX$94)</f>
        <v>0</v>
      </c>
      <c r="AY414" s="172">
        <f>IF(K414=$K$53,0,IF(K414=$K$54,0,IF(K414=$K$55,0,IF(K414=$K$56,0,IF(K414=$K$58,0,IF(K414=$K$50,0,IF(K414=$K$65,0,IF(K414=$K$57,0,IF(K414=$K$51,0,AM414*$AY$102)))))))))</f>
        <v>0</v>
      </c>
      <c r="AZ414" s="172">
        <f>IF(K414=$K$53,0,IF(K414=$K$54,0,IF(K414=$K$55,0,IF(K414=$K$56,0,IF(K414=$K$58,0,IF(K414=$K$50,0,IF(K414=$K$65,0,IF(K414=$K$57,0,IF(K414=$K$51,0,AM414*$AZ$102)))))))))</f>
        <v>0</v>
      </c>
      <c r="BA414" s="172">
        <f t="shared" si="90"/>
        <v>0</v>
      </c>
      <c r="BB414" s="173">
        <f>IF($BA$97=1,AQ414*$BB$102,IF(K414=$K$50,0,IF(K414=$K$53,0,IF(K414=$K$54,0,IF(K414=$K$55,0,IF(K414=$K$56,0,IF(K414=$K$57,0,IF(K414=$K$58,0,IF(K414=$K$65,0,IF(K414=$K$66,0,IF(K414=$K$67,0,IF(K414=$K$68,0,IF(K414=$K$69,0,IF(K414=$K$51,0,1)))))))))))*AQ414*$BB$102)))</f>
        <v>0</v>
      </c>
      <c r="BC414" s="172">
        <f t="shared" si="91"/>
        <v>0</v>
      </c>
      <c r="BD414" s="172">
        <f t="shared" si="92"/>
        <v>0</v>
      </c>
      <c r="BE414" s="172">
        <f>IF($BE$95=I414,$BE$97,IF(I414=$BE$96,$BE$97,1))*($BE$102*AQ414)*$AZ$97</f>
        <v>0</v>
      </c>
      <c r="BF414" s="172">
        <f>IF('[1]Cockpit Retorno'!$C$65=Sim,Mestre!BA414,SUM(BB414:BE414)+(IF(K414=$K$56,AQ414*MOE_IRRF_LR,0)))</f>
        <v>0</v>
      </c>
      <c r="BG414" s="174">
        <f>IF(AA414&gt;0,0,IF(Z414=$Z$82,AG414*1,(IF(Z414=$Z$81,AG414*1,0))))</f>
        <v>0</v>
      </c>
      <c r="BH414" s="174">
        <f>IF(AA414&gt;0,0,IF(Z414=$Z$83,AG414*1,IF(Z414=$Z$81,AG414*1,0)))</f>
        <v>0</v>
      </c>
      <c r="BI414" s="174">
        <f>IF(AA414&gt;0,0,IF(Z414=$Z$84,AG414*1,IF(Z414=$Z$93,AG414*2,IF(Z414=$Z$100,AG414,IF(Z414=$Z$81,AG414*2,IF(Z414=$Z$80,AG414*1,IF(Z414=$Z$79,AG414*3,IF(Z414=$Z$78,AG414*2,0))))))))</f>
        <v>0</v>
      </c>
      <c r="BJ414" s="174">
        <f>IF(AA414&gt;0,0,IF(Z414=$Z$85,AG414,IF(Z414=$Z$93,AG414,IF(Z414=$Z$100,AG414,IF(Z414=$Z$81,AG414*1,IF(Z414=$Z$80,AG414*2,IF(Z414=$Z$79,AG414*2,IF(Z414=$Z$78,AG414*2,0))))))))</f>
        <v>0</v>
      </c>
      <c r="BK414" s="174">
        <f>IF(AA414&gt;0,0,IF(Z414=$Z$92,AG414,0))</f>
        <v>0</v>
      </c>
      <c r="BL414" s="174">
        <f>IF(AA414&gt;0,0,IF(Z414=$Z$91,AG414,0))</f>
        <v>0</v>
      </c>
      <c r="BM414" s="174">
        <f>IF(AA414&gt;0,0,IF(Z414=$Z$86,AG414,0))</f>
        <v>0</v>
      </c>
      <c r="BN414" s="174">
        <f>IF(AA414&gt;0,0,IF(Z414=$Z$87,AG414,0))</f>
        <v>0</v>
      </c>
      <c r="BO414" s="174">
        <f>IF(AA414&gt;0,0,IF(Z414=$Z$88,AG414,0))</f>
        <v>0</v>
      </c>
      <c r="BP414" s="174">
        <f>IF(AA414&gt;0,0,IF(Z414=$Z$89,AG414,0))</f>
        <v>0</v>
      </c>
      <c r="BQ414" s="174">
        <f>IF(AA414&gt;0,0,IF(Z414=$Z$90,AG414,0))</f>
        <v>0</v>
      </c>
      <c r="BR414" s="174">
        <f>IF(Z414=$Z$82,AA414*AG414,0)</f>
        <v>0</v>
      </c>
      <c r="BS414" s="174">
        <f>IF(Z414=$Z$83,AA414*AG414,0)</f>
        <v>0</v>
      </c>
      <c r="BT414" s="174">
        <f>IF(AA414&lt;1,0,IF(Z414=$Z$84,AA414*AG414,IF(Z414=$Z$93,"ERRO",IF(Z414=$Z$100,"ERRO",0))))</f>
        <v>0</v>
      </c>
      <c r="BU414" s="174">
        <f>IF(AA414&lt;1,0,IF(Z414=$Z$85,AA414*AG414,IF(Z414=$Z$93,"ERRO",IF(Z414=$Z$100,"ERRO",0))))</f>
        <v>0</v>
      </c>
      <c r="BV414" s="174">
        <f>IF(Z414=$Z$92,AA414*AG414,0)</f>
        <v>0</v>
      </c>
      <c r="BW414" s="174">
        <f>IF(Z414=$Z$91,AA414*AG414,0)</f>
        <v>0</v>
      </c>
      <c r="BX414" s="174">
        <f>IF(Z414=$Z$86,AA414*AG414,0)</f>
        <v>0</v>
      </c>
      <c r="BY414" s="174">
        <f>IF(Z414=$Z$87,AA414*AG414,0)</f>
        <v>0</v>
      </c>
      <c r="BZ414" s="174">
        <f>IF(Z414=$Z$88,AA414*AG414,0)</f>
        <v>0</v>
      </c>
      <c r="CA414" s="174">
        <f>IF(Z414=$Z$89,AA414*AG414,0)</f>
        <v>0</v>
      </c>
      <c r="CB414" s="174">
        <f>IF(Z414=$Z$90,AA414*AG414,0)</f>
        <v>0</v>
      </c>
      <c r="CC414" s="175">
        <f>IFERROR(IF(L414=$L$49,AG414*AH414*(1+AI414)*(1-AK414)*(1-AL414),0),0)</f>
        <v>0</v>
      </c>
      <c r="CD414" s="203">
        <f>IF(I414=$CD$97,1,IF(I414=$CD$100,2,IF(K414=$K$66,1,IF(K414=$K$69,1,3))))</f>
        <v>1</v>
      </c>
      <c r="CE414" s="203">
        <f t="shared" si="14"/>
        <v>1.07</v>
      </c>
      <c r="CF414" s="204">
        <f t="shared" si="96"/>
        <v>1.2353999999999998</v>
      </c>
      <c r="CG414" s="203">
        <f t="shared" si="15"/>
        <v>1.42</v>
      </c>
      <c r="CH414" s="204">
        <f t="shared" si="97"/>
        <v>1.5478000000000001</v>
      </c>
      <c r="CI414" s="203">
        <f t="shared" si="16"/>
        <v>1.7</v>
      </c>
      <c r="CJ414" s="205">
        <f>CE414*$CJ$102</f>
        <v>1.0486</v>
      </c>
      <c r="CK414" s="205">
        <f>CF414*$CK$102</f>
        <v>1.148922</v>
      </c>
      <c r="CL414" s="205">
        <f>CG414*$CL$102</f>
        <v>1.3915999999999999</v>
      </c>
      <c r="CM414" s="205">
        <f>CH414*$CM$102</f>
        <v>1.501366</v>
      </c>
      <c r="CN414" s="206">
        <f>CI414*$CN$102</f>
        <v>1.6319999999999999</v>
      </c>
      <c r="CO414" s="204">
        <f t="shared" si="103"/>
        <v>1.006656</v>
      </c>
      <c r="CP414" s="207">
        <f t="shared" si="104"/>
        <v>0</v>
      </c>
      <c r="CQ414" s="208">
        <f t="shared" si="105"/>
        <v>0</v>
      </c>
      <c r="CR414" s="209">
        <f t="shared" si="93"/>
        <v>0</v>
      </c>
      <c r="CS414" s="49"/>
      <c r="CT414" s="49"/>
      <c r="CU414" s="49"/>
      <c r="CV414" s="49"/>
      <c r="CW414" s="49"/>
      <c r="CX414" s="49"/>
      <c r="CY414" s="49"/>
      <c r="CZ414" s="49"/>
      <c r="DA414" s="49"/>
      <c r="DB414" s="49"/>
      <c r="DC414" s="49"/>
      <c r="DD414" s="49"/>
      <c r="DE414" s="49"/>
      <c r="DF414" s="49"/>
      <c r="DG414" s="49"/>
      <c r="DH414" s="49"/>
      <c r="DI414" s="49"/>
      <c r="DJ414" s="49"/>
      <c r="DK414" s="49"/>
      <c r="DL414" s="49"/>
      <c r="DM414" s="49"/>
      <c r="DN414" s="49"/>
      <c r="DO414" s="49"/>
      <c r="DP414" s="49"/>
      <c r="DQ414" s="49"/>
      <c r="DR414" s="49"/>
      <c r="DS414" s="49"/>
      <c r="DT414" s="49"/>
      <c r="DU414" s="49"/>
      <c r="DV414" s="49"/>
      <c r="DW414" s="49"/>
      <c r="DX414" s="49"/>
      <c r="DY414" s="49"/>
      <c r="DZ414" s="49"/>
      <c r="EA414" s="49"/>
      <c r="EB414" s="49"/>
      <c r="EC414" s="49"/>
      <c r="ED414" s="49"/>
      <c r="EE414" s="49"/>
      <c r="EF414" s="49"/>
      <c r="EG414" s="49"/>
      <c r="EH414" s="49"/>
      <c r="EI414" s="49"/>
      <c r="EJ414" s="49"/>
      <c r="EK414" s="49"/>
      <c r="EL414" s="49"/>
      <c r="EM414" s="49"/>
      <c r="EN414" s="49"/>
      <c r="EO414" s="49"/>
      <c r="EP414" s="49"/>
      <c r="EQ414" s="49"/>
      <c r="ER414" s="49"/>
      <c r="ES414" s="49"/>
      <c r="ET414" s="49"/>
      <c r="EU414" s="49"/>
      <c r="EV414" s="49"/>
      <c r="EW414" s="49"/>
      <c r="EX414" s="49"/>
      <c r="EY414" s="49"/>
      <c r="EZ414" s="49"/>
      <c r="FA414" s="49"/>
    </row>
    <row r="415" spans="1:157" s="210" customFormat="1" x14ac:dyDescent="0.25">
      <c r="A415" s="113">
        <f>IF(AND('[1]Cockpit Retorno'!$E$67=Sim,Mestre!M415=Mestre!$M$98),0,1)</f>
        <v>1</v>
      </c>
      <c r="B415" s="113">
        <f>IF(AND('[1]Cockpit Retorno'!$E$67=Sim,Mestre!L415=Mestre!$L$48),0,1)</f>
        <v>0</v>
      </c>
      <c r="C415" s="113">
        <f>IF(AND('[1]Cockpit Retorno'!$E$67=Sim,Mestre!M415=Mestre!$M$97),0,1)</f>
        <v>1</v>
      </c>
      <c r="D415" s="148" t="s">
        <v>577</v>
      </c>
      <c r="E415" s="115"/>
      <c r="F415" s="116" t="s">
        <v>107</v>
      </c>
      <c r="G415" s="149"/>
      <c r="H415" s="150" t="s">
        <v>108</v>
      </c>
      <c r="I415" s="151" t="str">
        <f t="shared" si="86"/>
        <v>Mercadorias</v>
      </c>
      <c r="J415" s="150" t="s">
        <v>15</v>
      </c>
      <c r="K415" s="152" t="s">
        <v>108</v>
      </c>
      <c r="L415" s="153" t="s">
        <v>15</v>
      </c>
      <c r="M415" s="154"/>
      <c r="N415" s="155" t="s">
        <v>43</v>
      </c>
      <c r="O415" s="155" t="s">
        <v>43</v>
      </c>
      <c r="P415" s="155" t="s">
        <v>43</v>
      </c>
      <c r="Q415" s="155" t="s">
        <v>43</v>
      </c>
      <c r="R415" s="155" t="s">
        <v>43</v>
      </c>
      <c r="S415" s="156" t="s">
        <v>43</v>
      </c>
      <c r="T415" s="156" t="s">
        <v>43</v>
      </c>
      <c r="U415" s="150" t="s">
        <v>43</v>
      </c>
      <c r="V415" s="150" t="s">
        <v>43</v>
      </c>
      <c r="W415" s="150" t="s">
        <v>43</v>
      </c>
      <c r="X415" s="157"/>
      <c r="Y415" s="150" t="s">
        <v>43</v>
      </c>
      <c r="Z415" s="150" t="s">
        <v>43</v>
      </c>
      <c r="AA415" s="158">
        <v>0</v>
      </c>
      <c r="AB415" s="155" t="s">
        <v>43</v>
      </c>
      <c r="AC415" s="150" t="s">
        <v>43</v>
      </c>
      <c r="AD415" s="155" t="s">
        <v>43</v>
      </c>
      <c r="AE415" s="155"/>
      <c r="AF415" s="150" t="s">
        <v>43</v>
      </c>
      <c r="AG415" s="159"/>
      <c r="AH415" s="159">
        <v>0</v>
      </c>
      <c r="AI415" s="202"/>
      <c r="AJ415" s="161"/>
      <c r="AK415" s="162"/>
      <c r="AL415" s="163"/>
      <c r="AM415" s="164">
        <f>(((IF(L415=$L$101,1,IF(L415=$L$47,1,0))*(AH415*(1-AK415)))*AG415)*(1-AL415))</f>
        <v>0</v>
      </c>
      <c r="AN415" s="165">
        <f>IF(K415=$K$50,AM415,IF(K415=$K$53,AM415,IF(K415=$K$54,AM415,IF(K415=$K$55,AM415,IF(K415=$K$56,AM415,IF(K415=$K$57,AM415,IF(K415=$K$58,AM415,IF(K415=$K$65,AM415,IF(K415=$K$66,AM415,IF(K415=$K$67,AM415,IF(K415=$K$68,AM415,IF(K415=$K$69,AM415,IF(K415=$K$51,AM415,(AM415*(1+AI415)))))))))))))))</f>
        <v>0</v>
      </c>
      <c r="AO415" s="166">
        <v>1.4</v>
      </c>
      <c r="AP415" s="160">
        <f t="shared" si="87"/>
        <v>0</v>
      </c>
      <c r="AQ415" s="167">
        <f t="shared" si="106"/>
        <v>0</v>
      </c>
      <c r="AR415" s="160">
        <f t="shared" si="88"/>
        <v>0</v>
      </c>
      <c r="AS415" s="168">
        <f t="shared" si="89"/>
        <v>0</v>
      </c>
      <c r="AT415" s="169" t="str">
        <f>K415</f>
        <v>SOFT</v>
      </c>
      <c r="AU415" s="169" t="str">
        <f>I415</f>
        <v>Mercadorias</v>
      </c>
      <c r="AV415" s="170"/>
      <c r="AW415" s="171">
        <f>IF(K415=$K$50,0,IF(K415=$K$53,0,IF(K415=$K$54,0,IF(K415=$K$55,0,IF(K415=$K$56,0,IF(K415=$K$57,0,IF(K415=$K$58,0,IF(K415=$K$65,0,IF(K415=$K$66,0,IF(K415=$K$67,0,IF(K415=$K$68,0,IF(K415=$K$69,0,IF(K415=$K$51,0,1))))))))))))*AM415*AI415)</f>
        <v>0</v>
      </c>
      <c r="AX415" s="172">
        <f>IF(K415=$K$50,0,IF(K415=$K$53,0,IF(K415=$K$54,0,IF(K415=$K$55,0,IF(K415=$K$56,0,IF(K415=$K$57,0,IF(K415=$K$58,0,IF(K415=$K$65,0,IF(K415=$K$66,0,IF(K415=$K$67,0,IF(K415=$K$68,0,IF(K415=$K$69,0,IF(K415=$K$51,0,1))))))))))))*AM415*AJ415*$AX$94)</f>
        <v>0</v>
      </c>
      <c r="AY415" s="172">
        <f>IF(K415=$K$53,0,IF(K415=$K$54,0,IF(K415=$K$55,0,IF(K415=$K$56,0,IF(K415=$K$58,0,IF(K415=$K$50,0,IF(K415=$K$65,0,IF(K415=$K$57,0,IF(K415=$K$51,0,AM415*$AY$102)))))))))</f>
        <v>0</v>
      </c>
      <c r="AZ415" s="172">
        <f>IF(K415=$K$53,0,IF(K415=$K$54,0,IF(K415=$K$55,0,IF(K415=$K$56,0,IF(K415=$K$58,0,IF(K415=$K$50,0,IF(K415=$K$65,0,IF(K415=$K$57,0,IF(K415=$K$51,0,AM415*$AZ$102)))))))))</f>
        <v>0</v>
      </c>
      <c r="BA415" s="172">
        <f t="shared" si="90"/>
        <v>0</v>
      </c>
      <c r="BB415" s="173">
        <f>IF($BA$97=1,AQ415*$BB$102,IF(K415=$K$50,0,IF(K415=$K$53,0,IF(K415=$K$54,0,IF(K415=$K$55,0,IF(K415=$K$56,0,IF(K415=$K$57,0,IF(K415=$K$58,0,IF(K415=$K$65,0,IF(K415=$K$66,0,IF(K415=$K$67,0,IF(K415=$K$68,0,IF(K415=$K$69,0,IF(K415=$K$51,0,1)))))))))))*AQ415*$BB$102)))</f>
        <v>0</v>
      </c>
      <c r="BC415" s="172">
        <f t="shared" si="91"/>
        <v>0</v>
      </c>
      <c r="BD415" s="172">
        <f t="shared" si="92"/>
        <v>0</v>
      </c>
      <c r="BE415" s="172">
        <f>IF($BE$95=I415,$BE$97,IF(I415=$BE$96,$BE$97,1))*($BE$102*AQ415)*$AZ$97</f>
        <v>0</v>
      </c>
      <c r="BF415" s="172">
        <f>IF('[1]Cockpit Retorno'!$C$65=Sim,Mestre!BA415,SUM(BB415:BE415)+(IF(K415=$K$56,AQ415*MOE_IRRF_LR,0)))</f>
        <v>0</v>
      </c>
      <c r="BG415" s="174">
        <f>IF(AA415&gt;0,0,IF(Z415=$Z$82,AG415*1,(IF(Z415=$Z$81,AG415*1,0))))</f>
        <v>0</v>
      </c>
      <c r="BH415" s="174">
        <f>IF(AA415&gt;0,0,IF(Z415=$Z$83,AG415*1,IF(Z415=$Z$81,AG415*1,0)))</f>
        <v>0</v>
      </c>
      <c r="BI415" s="174">
        <f>IF(AA415&gt;0,0,IF(Z415=$Z$84,AG415*1,IF(Z415=$Z$93,AG415*2,IF(Z415=$Z$100,AG415,IF(Z415=$Z$81,AG415*2,IF(Z415=$Z$80,AG415*1,IF(Z415=$Z$79,AG415*3,IF(Z415=$Z$78,AG415*2,0))))))))</f>
        <v>0</v>
      </c>
      <c r="BJ415" s="174">
        <f>IF(AA415&gt;0,0,IF(Z415=$Z$85,AG415,IF(Z415=$Z$93,AG415,IF(Z415=$Z$100,AG415,IF(Z415=$Z$81,AG415*1,IF(Z415=$Z$80,AG415*2,IF(Z415=$Z$79,AG415*2,IF(Z415=$Z$78,AG415*2,0))))))))</f>
        <v>0</v>
      </c>
      <c r="BK415" s="174">
        <f>IF(AA415&gt;0,0,IF(Z415=$Z$92,AG415,0))</f>
        <v>0</v>
      </c>
      <c r="BL415" s="174">
        <f>IF(AA415&gt;0,0,IF(Z415=$Z$91,AG415,0))</f>
        <v>0</v>
      </c>
      <c r="BM415" s="174">
        <f>IF(AA415&gt;0,0,IF(Z415=$Z$86,AG415,0))</f>
        <v>0</v>
      </c>
      <c r="BN415" s="174">
        <f>IF(AA415&gt;0,0,IF(Z415=$Z$87,AG415,0))</f>
        <v>0</v>
      </c>
      <c r="BO415" s="174">
        <f>IF(AA415&gt;0,0,IF(Z415=$Z$88,AG415,0))</f>
        <v>0</v>
      </c>
      <c r="BP415" s="174">
        <f>IF(AA415&gt;0,0,IF(Z415=$Z$89,AG415,0))</f>
        <v>0</v>
      </c>
      <c r="BQ415" s="174">
        <f>IF(AA415&gt;0,0,IF(Z415=$Z$90,AG415,0))</f>
        <v>0</v>
      </c>
      <c r="BR415" s="174">
        <f>IF(Z415=$Z$82,AA415*AG415,0)</f>
        <v>0</v>
      </c>
      <c r="BS415" s="174">
        <f>IF(Z415=$Z$83,AA415*AG415,0)</f>
        <v>0</v>
      </c>
      <c r="BT415" s="174">
        <f>IF(AA415&lt;1,0,IF(Z415=$Z$84,AA415*AG415,IF(Z415=$Z$93,"ERRO",IF(Z415=$Z$100,"ERRO",0))))</f>
        <v>0</v>
      </c>
      <c r="BU415" s="174">
        <f>IF(AA415&lt;1,0,IF(Z415=$Z$85,AA415*AG415,IF(Z415=$Z$93,"ERRO",IF(Z415=$Z$100,"ERRO",0))))</f>
        <v>0</v>
      </c>
      <c r="BV415" s="174">
        <f>IF(Z415=$Z$92,AA415*AG415,0)</f>
        <v>0</v>
      </c>
      <c r="BW415" s="174">
        <f>IF(Z415=$Z$91,AA415*AG415,0)</f>
        <v>0</v>
      </c>
      <c r="BX415" s="174">
        <f>IF(Z415=$Z$86,AA415*AG415,0)</f>
        <v>0</v>
      </c>
      <c r="BY415" s="174">
        <f>IF(Z415=$Z$87,AA415*AG415,0)</f>
        <v>0</v>
      </c>
      <c r="BZ415" s="174">
        <f>IF(Z415=$Z$88,AA415*AG415,0)</f>
        <v>0</v>
      </c>
      <c r="CA415" s="174">
        <f>IF(Z415=$Z$89,AA415*AG415,0)</f>
        <v>0</v>
      </c>
      <c r="CB415" s="174">
        <f>IF(Z415=$Z$90,AA415*AG415,0)</f>
        <v>0</v>
      </c>
      <c r="CC415" s="175">
        <f>IFERROR(IF(L415=$L$49,AG415*AH415*(1+AI415)*(1-AK415)*(1-AL415),0),0)</f>
        <v>0</v>
      </c>
      <c r="CD415" s="203">
        <f>IF(I415=$CD$97,1,IF(I415=$CD$100,2,IF(K415=$K$66,1,IF(K415=$K$69,1,3))))</f>
        <v>1</v>
      </c>
      <c r="CE415" s="203">
        <f t="shared" si="14"/>
        <v>1.07</v>
      </c>
      <c r="CF415" s="204">
        <f t="shared" si="96"/>
        <v>1.2353999999999998</v>
      </c>
      <c r="CG415" s="203">
        <f t="shared" si="15"/>
        <v>1.42</v>
      </c>
      <c r="CH415" s="204">
        <f t="shared" si="97"/>
        <v>1.5478000000000001</v>
      </c>
      <c r="CI415" s="203">
        <f t="shared" si="16"/>
        <v>1.7</v>
      </c>
      <c r="CJ415" s="205">
        <f t="shared" ref="CJ415:CJ454" si="107">CE415*$CJ$102</f>
        <v>1.0486</v>
      </c>
      <c r="CK415" s="205">
        <f t="shared" ref="CK415:CK454" si="108">CF415*$CK$102</f>
        <v>1.148922</v>
      </c>
      <c r="CL415" s="205">
        <f t="shared" ref="CL415:CL454" si="109">CG415*$CL$102</f>
        <v>1.3915999999999999</v>
      </c>
      <c r="CM415" s="205">
        <f t="shared" ref="CM415:CM454" si="110">CH415*$CM$102</f>
        <v>1.501366</v>
      </c>
      <c r="CN415" s="206">
        <f t="shared" ref="CN415:CN454" si="111">CI415*$CN$102</f>
        <v>1.6319999999999999</v>
      </c>
      <c r="CO415" s="204">
        <f t="shared" si="103"/>
        <v>1.006656</v>
      </c>
      <c r="CP415" s="207">
        <f t="shared" si="104"/>
        <v>0</v>
      </c>
      <c r="CQ415" s="208">
        <f t="shared" si="105"/>
        <v>0</v>
      </c>
      <c r="CR415" s="209">
        <f t="shared" si="93"/>
        <v>0</v>
      </c>
      <c r="CS415" s="49"/>
      <c r="CT415" s="49"/>
      <c r="CU415" s="49"/>
      <c r="CV415" s="49"/>
      <c r="CW415" s="49"/>
      <c r="CX415" s="49"/>
      <c r="CY415" s="49"/>
      <c r="CZ415" s="49"/>
      <c r="DA415" s="49"/>
      <c r="DB415" s="49"/>
      <c r="DC415" s="49"/>
      <c r="DD415" s="49"/>
      <c r="DE415" s="49"/>
      <c r="DF415" s="49"/>
      <c r="DG415" s="49"/>
      <c r="DH415" s="49"/>
      <c r="DI415" s="49"/>
      <c r="DJ415" s="49"/>
      <c r="DK415" s="49"/>
      <c r="DL415" s="49"/>
      <c r="DM415" s="49"/>
      <c r="DN415" s="49"/>
      <c r="DO415" s="49"/>
      <c r="DP415" s="49"/>
      <c r="DQ415" s="49"/>
      <c r="DR415" s="49"/>
      <c r="DS415" s="49"/>
      <c r="DT415" s="49"/>
      <c r="DU415" s="49"/>
      <c r="DV415" s="49"/>
      <c r="DW415" s="49"/>
      <c r="DX415" s="49"/>
      <c r="DY415" s="49"/>
      <c r="DZ415" s="49"/>
      <c r="EA415" s="49"/>
      <c r="EB415" s="49"/>
      <c r="EC415" s="49"/>
      <c r="ED415" s="49"/>
      <c r="EE415" s="49"/>
      <c r="EF415" s="49"/>
      <c r="EG415" s="49"/>
      <c r="EH415" s="49"/>
      <c r="EI415" s="49"/>
      <c r="EJ415" s="49"/>
      <c r="EK415" s="49"/>
      <c r="EL415" s="49"/>
      <c r="EM415" s="49"/>
      <c r="EN415" s="49"/>
      <c r="EO415" s="49"/>
      <c r="EP415" s="49"/>
      <c r="EQ415" s="49"/>
      <c r="ER415" s="49"/>
      <c r="ES415" s="49"/>
      <c r="ET415" s="49"/>
      <c r="EU415" s="49"/>
      <c r="EV415" s="49"/>
      <c r="EW415" s="49"/>
      <c r="EX415" s="49"/>
      <c r="EY415" s="49"/>
      <c r="EZ415" s="49"/>
      <c r="FA415" s="49"/>
    </row>
    <row r="416" spans="1:157" s="210" customFormat="1" x14ac:dyDescent="0.25">
      <c r="A416" s="113">
        <f>IF(AND('[1]Cockpit Retorno'!$E$67=Sim,Mestre!M416=Mestre!$M$98),0,1)</f>
        <v>1</v>
      </c>
      <c r="B416" s="113">
        <f>IF(AND('[1]Cockpit Retorno'!$E$67=Sim,Mestre!L416=Mestre!$L$48),0,1)</f>
        <v>0</v>
      </c>
      <c r="C416" s="113">
        <f>IF(AND('[1]Cockpit Retorno'!$E$67=Sim,Mestre!M416=Mestre!$M$97),0,1)</f>
        <v>1</v>
      </c>
      <c r="D416" s="114" t="s">
        <v>289</v>
      </c>
      <c r="E416" s="115"/>
      <c r="F416" s="116" t="s">
        <v>107</v>
      </c>
      <c r="G416" s="149"/>
      <c r="H416" s="150" t="s">
        <v>94</v>
      </c>
      <c r="I416" s="151" t="str">
        <f t="shared" si="86"/>
        <v>Mercadorias</v>
      </c>
      <c r="J416" s="150" t="s">
        <v>15</v>
      </c>
      <c r="K416" s="152" t="s">
        <v>94</v>
      </c>
      <c r="L416" s="153" t="s">
        <v>15</v>
      </c>
      <c r="M416" s="154"/>
      <c r="N416" s="155" t="s">
        <v>43</v>
      </c>
      <c r="O416" s="155" t="s">
        <v>43</v>
      </c>
      <c r="P416" s="155" t="s">
        <v>43</v>
      </c>
      <c r="Q416" s="155" t="s">
        <v>43</v>
      </c>
      <c r="R416" s="155" t="s">
        <v>43</v>
      </c>
      <c r="S416" s="156" t="s">
        <v>43</v>
      </c>
      <c r="T416" s="156" t="s">
        <v>43</v>
      </c>
      <c r="U416" s="150" t="s">
        <v>43</v>
      </c>
      <c r="V416" s="150" t="s">
        <v>43</v>
      </c>
      <c r="W416" s="150" t="s">
        <v>43</v>
      </c>
      <c r="X416" s="157"/>
      <c r="Y416" s="150" t="s">
        <v>43</v>
      </c>
      <c r="Z416" s="150" t="s">
        <v>43</v>
      </c>
      <c r="AA416" s="158">
        <v>0</v>
      </c>
      <c r="AB416" s="155" t="s">
        <v>43</v>
      </c>
      <c r="AC416" s="150" t="s">
        <v>43</v>
      </c>
      <c r="AD416" s="155" t="s">
        <v>43</v>
      </c>
      <c r="AE416" s="155"/>
      <c r="AF416" s="150" t="s">
        <v>43</v>
      </c>
      <c r="AG416" s="159"/>
      <c r="AH416" s="159">
        <v>0</v>
      </c>
      <c r="AI416" s="202"/>
      <c r="AJ416" s="161"/>
      <c r="AK416" s="162"/>
      <c r="AL416" s="163"/>
      <c r="AM416" s="164">
        <f>(((IF(L416=$L$101,1,IF(L416=$L$47,1,0))*(AH416*(1-AK416)))*AG416)*(1-AL416))</f>
        <v>0</v>
      </c>
      <c r="AN416" s="165">
        <f>IF(K416=$K$50,AM416,IF(K416=$K$53,AM416,IF(K416=$K$54,AM416,IF(K416=$K$55,AM416,IF(K416=$K$56,AM416,IF(K416=$K$57,AM416,IF(K416=$K$58,AM416,IF(K416=$K$65,AM416,IF(K416=$K$66,AM416,IF(K416=$K$67,AM416,IF(K416=$K$68,AM416,IF(K416=$K$69,AM416,IF(K416=$K$51,AM416,(AM416*(1+AI416)))))))))))))))</f>
        <v>0</v>
      </c>
      <c r="AO416" s="166">
        <v>1.4</v>
      </c>
      <c r="AP416" s="160">
        <f t="shared" si="87"/>
        <v>0</v>
      </c>
      <c r="AQ416" s="167">
        <f t="shared" si="106"/>
        <v>0</v>
      </c>
      <c r="AR416" s="160">
        <f t="shared" si="88"/>
        <v>0</v>
      </c>
      <c r="AS416" s="168">
        <f t="shared" si="89"/>
        <v>0</v>
      </c>
      <c r="AT416" s="169" t="str">
        <f>K416</f>
        <v>PROD REDE</v>
      </c>
      <c r="AU416" s="169" t="str">
        <f>I416</f>
        <v>Mercadorias</v>
      </c>
      <c r="AV416" s="170"/>
      <c r="AW416" s="171">
        <f>IF(K416=$K$50,0,IF(K416=$K$53,0,IF(K416=$K$54,0,IF(K416=$K$55,0,IF(K416=$K$56,0,IF(K416=$K$57,0,IF(K416=$K$58,0,IF(K416=$K$65,0,IF(K416=$K$66,0,IF(K416=$K$67,0,IF(K416=$K$68,0,IF(K416=$K$69,0,IF(K416=$K$51,0,1))))))))))))*AM416*AI416)</f>
        <v>0</v>
      </c>
      <c r="AX416" s="172">
        <f>IF(K416=$K$50,0,IF(K416=$K$53,0,IF(K416=$K$54,0,IF(K416=$K$55,0,IF(K416=$K$56,0,IF(K416=$K$57,0,IF(K416=$K$58,0,IF(K416=$K$65,0,IF(K416=$K$66,0,IF(K416=$K$67,0,IF(K416=$K$68,0,IF(K416=$K$69,0,IF(K416=$K$51,0,1))))))))))))*AM416*AJ416*$AX$94)</f>
        <v>0</v>
      </c>
      <c r="AY416" s="172">
        <f>IF(K416=$K$53,0,IF(K416=$K$54,0,IF(K416=$K$55,0,IF(K416=$K$56,0,IF(K416=$K$58,0,IF(K416=$K$50,0,IF(K416=$K$65,0,IF(K416=$K$57,0,IF(K416=$K$51,0,AM416*$AY$102)))))))))</f>
        <v>0</v>
      </c>
      <c r="AZ416" s="172">
        <f>IF(K416=$K$53,0,IF(K416=$K$54,0,IF(K416=$K$55,0,IF(K416=$K$56,0,IF(K416=$K$58,0,IF(K416=$K$50,0,IF(K416=$K$65,0,IF(K416=$K$57,0,IF(K416=$K$51,0,AM416*$AZ$102)))))))))</f>
        <v>0</v>
      </c>
      <c r="BA416" s="172">
        <f t="shared" si="90"/>
        <v>0</v>
      </c>
      <c r="BB416" s="173">
        <f>IF($BA$97=1,AQ416*$BB$102,IF(K416=$K$50,0,IF(K416=$K$53,0,IF(K416=$K$54,0,IF(K416=$K$55,0,IF(K416=$K$56,0,IF(K416=$K$57,0,IF(K416=$K$58,0,IF(K416=$K$65,0,IF(K416=$K$66,0,IF(K416=$K$67,0,IF(K416=$K$68,0,IF(K416=$K$69,0,IF(K416=$K$51,0,1)))))))))))*AQ416*$BB$102)))</f>
        <v>0</v>
      </c>
      <c r="BC416" s="172">
        <f t="shared" si="91"/>
        <v>0</v>
      </c>
      <c r="BD416" s="172">
        <f t="shared" si="92"/>
        <v>0</v>
      </c>
      <c r="BE416" s="172">
        <f>IF($BE$95=I416,$BE$97,IF(I416=$BE$96,$BE$97,1))*($BE$102*AQ416)*$AZ$97</f>
        <v>0</v>
      </c>
      <c r="BF416" s="172">
        <f>IF('[1]Cockpit Retorno'!$C$65=Sim,Mestre!BA416,SUM(BB416:BE416)+(IF(K416=$K$56,AQ416*MOE_IRRF_LR,0)))</f>
        <v>0</v>
      </c>
      <c r="BG416" s="174">
        <f>IF(AA416&gt;0,0,IF(Z416=$Z$82,AG416*1,(IF(Z416=$Z$81,AG416*1,0))))</f>
        <v>0</v>
      </c>
      <c r="BH416" s="174">
        <f>IF(AA416&gt;0,0,IF(Z416=$Z$83,AG416*1,IF(Z416=$Z$81,AG416*1,0)))</f>
        <v>0</v>
      </c>
      <c r="BI416" s="174">
        <f>IF(AA416&gt;0,0,IF(Z416=$Z$84,AG416*1,IF(Z416=$Z$93,AG416*2,IF(Z416=$Z$100,AG416,IF(Z416=$Z$81,AG416*2,IF(Z416=$Z$80,AG416*1,IF(Z416=$Z$79,AG416*3,IF(Z416=$Z$78,AG416*2,0))))))))</f>
        <v>0</v>
      </c>
      <c r="BJ416" s="174">
        <f>IF(AA416&gt;0,0,IF(Z416=$Z$85,AG416,IF(Z416=$Z$93,AG416,IF(Z416=$Z$100,AG416,IF(Z416=$Z$81,AG416*1,IF(Z416=$Z$80,AG416*2,IF(Z416=$Z$79,AG416*2,IF(Z416=$Z$78,AG416*2,0))))))))</f>
        <v>0</v>
      </c>
      <c r="BK416" s="174">
        <f>IF(AA416&gt;0,0,IF(Z416=$Z$92,AG416,0))</f>
        <v>0</v>
      </c>
      <c r="BL416" s="174">
        <f>IF(AA416&gt;0,0,IF(Z416=$Z$91,AG416,0))</f>
        <v>0</v>
      </c>
      <c r="BM416" s="174">
        <f>IF(AA416&gt;0,0,IF(Z416=$Z$86,AG416,0))</f>
        <v>0</v>
      </c>
      <c r="BN416" s="174">
        <f>IF(AA416&gt;0,0,IF(Z416=$Z$87,AG416,0))</f>
        <v>0</v>
      </c>
      <c r="BO416" s="174">
        <f>IF(AA416&gt;0,0,IF(Z416=$Z$88,AG416,0))</f>
        <v>0</v>
      </c>
      <c r="BP416" s="174">
        <f>IF(AA416&gt;0,0,IF(Z416=$Z$89,AG416,0))</f>
        <v>0</v>
      </c>
      <c r="BQ416" s="174">
        <f>IF(AA416&gt;0,0,IF(Z416=$Z$90,AG416,0))</f>
        <v>0</v>
      </c>
      <c r="BR416" s="174">
        <f>IF(Z416=$Z$82,AA416*AG416,0)</f>
        <v>0</v>
      </c>
      <c r="BS416" s="174">
        <f>IF(Z416=$Z$83,AA416*AG416,0)</f>
        <v>0</v>
      </c>
      <c r="BT416" s="174">
        <f>IF(AA416&lt;1,0,IF(Z416=$Z$84,AA416*AG416,IF(Z416=$Z$93,"ERRO",IF(Z416=$Z$100,"ERRO",0))))</f>
        <v>0</v>
      </c>
      <c r="BU416" s="174">
        <f>IF(AA416&lt;1,0,IF(Z416=$Z$85,AA416*AG416,IF(Z416=$Z$93,"ERRO",IF(Z416=$Z$100,"ERRO",0))))</f>
        <v>0</v>
      </c>
      <c r="BV416" s="174">
        <f>IF(Z416=$Z$92,AA416*AG416,0)</f>
        <v>0</v>
      </c>
      <c r="BW416" s="174">
        <f>IF(Z416=$Z$91,AA416*AG416,0)</f>
        <v>0</v>
      </c>
      <c r="BX416" s="174">
        <f>IF(Z416=$Z$86,AA416*AG416,0)</f>
        <v>0</v>
      </c>
      <c r="BY416" s="174">
        <f>IF(Z416=$Z$87,AA416*AG416,0)</f>
        <v>0</v>
      </c>
      <c r="BZ416" s="174">
        <f>IF(Z416=$Z$88,AA416*AG416,0)</f>
        <v>0</v>
      </c>
      <c r="CA416" s="174">
        <f>IF(Z416=$Z$89,AA416*AG416,0)</f>
        <v>0</v>
      </c>
      <c r="CB416" s="174">
        <f>IF(Z416=$Z$90,AA416*AG416,0)</f>
        <v>0</v>
      </c>
      <c r="CC416" s="175">
        <f>IFERROR(IF(L416=$L$49,AG416*AH416*(1+AI416)*(1-AK416)*(1-AL416),0),0)</f>
        <v>0</v>
      </c>
      <c r="CD416" s="203">
        <f>IF(I416=$CD$97,1,IF(I416=$CD$100,2,IF(K416=$K$66,1,IF(K416=$K$69,1,3))))</f>
        <v>1</v>
      </c>
      <c r="CE416" s="203">
        <f t="shared" si="14"/>
        <v>1.07</v>
      </c>
      <c r="CF416" s="204">
        <f t="shared" si="96"/>
        <v>1.2353999999999998</v>
      </c>
      <c r="CG416" s="203">
        <f t="shared" si="15"/>
        <v>1.42</v>
      </c>
      <c r="CH416" s="204">
        <f t="shared" si="97"/>
        <v>1.5478000000000001</v>
      </c>
      <c r="CI416" s="203">
        <f t="shared" si="16"/>
        <v>1.7</v>
      </c>
      <c r="CJ416" s="205">
        <f t="shared" si="107"/>
        <v>1.0486</v>
      </c>
      <c r="CK416" s="205">
        <f t="shared" si="108"/>
        <v>1.148922</v>
      </c>
      <c r="CL416" s="205">
        <f t="shared" si="109"/>
        <v>1.3915999999999999</v>
      </c>
      <c r="CM416" s="205">
        <f t="shared" si="110"/>
        <v>1.501366</v>
      </c>
      <c r="CN416" s="206">
        <f t="shared" si="111"/>
        <v>1.6319999999999999</v>
      </c>
      <c r="CO416" s="204">
        <f t="shared" si="103"/>
        <v>1.006656</v>
      </c>
      <c r="CP416" s="207">
        <f t="shared" si="104"/>
        <v>0</v>
      </c>
      <c r="CQ416" s="208">
        <f t="shared" si="105"/>
        <v>0</v>
      </c>
      <c r="CR416" s="209">
        <f t="shared" si="93"/>
        <v>0</v>
      </c>
      <c r="CS416" s="49"/>
      <c r="CT416" s="49"/>
      <c r="CU416" s="49"/>
      <c r="CV416" s="49"/>
      <c r="CW416" s="49"/>
      <c r="CX416" s="49"/>
      <c r="CY416" s="49"/>
      <c r="CZ416" s="49"/>
      <c r="DA416" s="49"/>
      <c r="DB416" s="49"/>
      <c r="DC416" s="49"/>
      <c r="DD416" s="49"/>
      <c r="DE416" s="49"/>
      <c r="DF416" s="49"/>
      <c r="DG416" s="49"/>
      <c r="DH416" s="49"/>
      <c r="DI416" s="49"/>
      <c r="DJ416" s="49"/>
      <c r="DK416" s="49"/>
      <c r="DL416" s="49"/>
      <c r="DM416" s="49"/>
      <c r="DN416" s="49"/>
      <c r="DO416" s="49"/>
      <c r="DP416" s="49"/>
      <c r="DQ416" s="49"/>
      <c r="DR416" s="49"/>
      <c r="DS416" s="49"/>
      <c r="DT416" s="49"/>
      <c r="DU416" s="49"/>
      <c r="DV416" s="49"/>
      <c r="DW416" s="49"/>
      <c r="DX416" s="49"/>
      <c r="DY416" s="49"/>
      <c r="DZ416" s="49"/>
      <c r="EA416" s="49"/>
      <c r="EB416" s="49"/>
      <c r="EC416" s="49"/>
      <c r="ED416" s="49"/>
      <c r="EE416" s="49"/>
      <c r="EF416" s="49"/>
      <c r="EG416" s="49"/>
      <c r="EH416" s="49"/>
      <c r="EI416" s="49"/>
      <c r="EJ416" s="49"/>
      <c r="EK416" s="49"/>
      <c r="EL416" s="49"/>
      <c r="EM416" s="49"/>
      <c r="EN416" s="49"/>
      <c r="EO416" s="49"/>
      <c r="EP416" s="49"/>
      <c r="EQ416" s="49"/>
      <c r="ER416" s="49"/>
      <c r="ES416" s="49"/>
      <c r="ET416" s="49"/>
      <c r="EU416" s="49"/>
      <c r="EV416" s="49"/>
      <c r="EW416" s="49"/>
      <c r="EX416" s="49"/>
      <c r="EY416" s="49"/>
      <c r="EZ416" s="49"/>
      <c r="FA416" s="49"/>
    </row>
    <row r="417" spans="1:157" s="210" customFormat="1" x14ac:dyDescent="0.25">
      <c r="A417" s="113">
        <f>IF(AND('[1]Cockpit Retorno'!$E$67=Sim,Mestre!M417=Mestre!$M$98),0,1)</f>
        <v>1</v>
      </c>
      <c r="B417" s="113">
        <f>IF(AND('[1]Cockpit Retorno'!$E$67=Sim,Mestre!L417=Mestre!$L$48),0,1)</f>
        <v>0</v>
      </c>
      <c r="C417" s="113">
        <f>IF(AND('[1]Cockpit Retorno'!$E$67=Sim,Mestre!M417=Mestre!$M$97),0,1)</f>
        <v>1</v>
      </c>
      <c r="D417" s="114" t="s">
        <v>289</v>
      </c>
      <c r="E417" s="115"/>
      <c r="F417" s="116" t="s">
        <v>107</v>
      </c>
      <c r="G417" s="149"/>
      <c r="H417" s="150" t="s">
        <v>99</v>
      </c>
      <c r="I417" s="151" t="str">
        <f t="shared" si="86"/>
        <v>Mercadorias</v>
      </c>
      <c r="J417" s="150" t="s">
        <v>15</v>
      </c>
      <c r="K417" s="152" t="s">
        <v>99</v>
      </c>
      <c r="L417" s="153" t="s">
        <v>15</v>
      </c>
      <c r="M417" s="154"/>
      <c r="N417" s="155" t="s">
        <v>43</v>
      </c>
      <c r="O417" s="155" t="s">
        <v>43</v>
      </c>
      <c r="P417" s="155" t="s">
        <v>43</v>
      </c>
      <c r="Q417" s="155" t="s">
        <v>43</v>
      </c>
      <c r="R417" s="155" t="s">
        <v>43</v>
      </c>
      <c r="S417" s="156" t="s">
        <v>43</v>
      </c>
      <c r="T417" s="156" t="s">
        <v>43</v>
      </c>
      <c r="U417" s="150" t="s">
        <v>43</v>
      </c>
      <c r="V417" s="150" t="s">
        <v>43</v>
      </c>
      <c r="W417" s="150" t="s">
        <v>43</v>
      </c>
      <c r="X417" s="157"/>
      <c r="Y417" s="150" t="s">
        <v>43</v>
      </c>
      <c r="Z417" s="150" t="s">
        <v>43</v>
      </c>
      <c r="AA417" s="158">
        <v>0</v>
      </c>
      <c r="AB417" s="155" t="s">
        <v>43</v>
      </c>
      <c r="AC417" s="150" t="s">
        <v>43</v>
      </c>
      <c r="AD417" s="155" t="s">
        <v>43</v>
      </c>
      <c r="AE417" s="155"/>
      <c r="AF417" s="150" t="s">
        <v>43</v>
      </c>
      <c r="AG417" s="159"/>
      <c r="AH417" s="159">
        <v>0</v>
      </c>
      <c r="AI417" s="202"/>
      <c r="AJ417" s="161"/>
      <c r="AK417" s="162"/>
      <c r="AL417" s="163"/>
      <c r="AM417" s="164">
        <f>(((IF(L417=$L$101,1,IF(L417=$L$47,1,0))*(AH417*(1-AK417)))*AG417)*(1-AL417))</f>
        <v>0</v>
      </c>
      <c r="AN417" s="165">
        <f>IF(K417=$K$50,AM417,IF(K417=$K$53,AM417,IF(K417=$K$54,AM417,IF(K417=$K$55,AM417,IF(K417=$K$56,AM417,IF(K417=$K$57,AM417,IF(K417=$K$58,AM417,IF(K417=$K$65,AM417,IF(K417=$K$66,AM417,IF(K417=$K$67,AM417,IF(K417=$K$68,AM417,IF(K417=$K$69,AM417,IF(K417=$K$51,AM417,(AM417*(1+AI417)))))))))))))))</f>
        <v>0</v>
      </c>
      <c r="AO417" s="166">
        <v>1.4</v>
      </c>
      <c r="AP417" s="160">
        <f t="shared" si="87"/>
        <v>0</v>
      </c>
      <c r="AQ417" s="167">
        <f t="shared" si="106"/>
        <v>0</v>
      </c>
      <c r="AR417" s="160">
        <f t="shared" si="88"/>
        <v>0</v>
      </c>
      <c r="AS417" s="168">
        <f t="shared" si="89"/>
        <v>0</v>
      </c>
      <c r="AT417" s="169" t="str">
        <f>K417</f>
        <v>PROD TI</v>
      </c>
      <c r="AU417" s="169" t="str">
        <f>I417</f>
        <v>Mercadorias</v>
      </c>
      <c r="AV417" s="170"/>
      <c r="AW417" s="171">
        <f>IF(K417=$K$50,0,IF(K417=$K$53,0,IF(K417=$K$54,0,IF(K417=$K$55,0,IF(K417=$K$56,0,IF(K417=$K$57,0,IF(K417=$K$58,0,IF(K417=$K$65,0,IF(K417=$K$66,0,IF(K417=$K$67,0,IF(K417=$K$68,0,IF(K417=$K$69,0,IF(K417=$K$51,0,1))))))))))))*AM417*AI417)</f>
        <v>0</v>
      </c>
      <c r="AX417" s="172">
        <f>IF(K417=$K$50,0,IF(K417=$K$53,0,IF(K417=$K$54,0,IF(K417=$K$55,0,IF(K417=$K$56,0,IF(K417=$K$57,0,IF(K417=$K$58,0,IF(K417=$K$65,0,IF(K417=$K$66,0,IF(K417=$K$67,0,IF(K417=$K$68,0,IF(K417=$K$69,0,IF(K417=$K$51,0,1))))))))))))*AM417*AJ417*$AX$94)</f>
        <v>0</v>
      </c>
      <c r="AY417" s="172">
        <f>IF(K417=$K$53,0,IF(K417=$K$54,0,IF(K417=$K$55,0,IF(K417=$K$56,0,IF(K417=$K$58,0,IF(K417=$K$50,0,IF(K417=$K$65,0,IF(K417=$K$57,0,IF(K417=$K$51,0,AM417*$AY$102)))))))))</f>
        <v>0</v>
      </c>
      <c r="AZ417" s="172">
        <f>IF(K417=$K$53,0,IF(K417=$K$54,0,IF(K417=$K$55,0,IF(K417=$K$56,0,IF(K417=$K$58,0,IF(K417=$K$50,0,IF(K417=$K$65,0,IF(K417=$K$57,0,IF(K417=$K$51,0,AM417*$AZ$102)))))))))</f>
        <v>0</v>
      </c>
      <c r="BA417" s="172">
        <f t="shared" si="90"/>
        <v>0</v>
      </c>
      <c r="BB417" s="173">
        <f>IF($BA$97=1,AQ417*$BB$102,IF(K417=$K$50,0,IF(K417=$K$53,0,IF(K417=$K$54,0,IF(K417=$K$55,0,IF(K417=$K$56,0,IF(K417=$K$57,0,IF(K417=$K$58,0,IF(K417=$K$65,0,IF(K417=$K$66,0,IF(K417=$K$67,0,IF(K417=$K$68,0,IF(K417=$K$69,0,IF(K417=$K$51,0,1)))))))))))*AQ417*$BB$102)))</f>
        <v>0</v>
      </c>
      <c r="BC417" s="172">
        <f t="shared" si="91"/>
        <v>0</v>
      </c>
      <c r="BD417" s="172">
        <f t="shared" si="92"/>
        <v>0</v>
      </c>
      <c r="BE417" s="172">
        <f>IF($BE$95=I417,$BE$97,IF(I417=$BE$96,$BE$97,1))*($BE$102*AQ417)*$AZ$97</f>
        <v>0</v>
      </c>
      <c r="BF417" s="172">
        <f>IF('[1]Cockpit Retorno'!$C$65=Sim,Mestre!BA417,SUM(BB417:BE417)+(IF(K417=$K$56,AQ417*MOE_IRRF_LR,0)))</f>
        <v>0</v>
      </c>
      <c r="BG417" s="174">
        <f>IF(AA417&gt;0,0,IF(Z417=$Z$82,AG417*1,(IF(Z417=$Z$81,AG417*1,0))))</f>
        <v>0</v>
      </c>
      <c r="BH417" s="174">
        <f>IF(AA417&gt;0,0,IF(Z417=$Z$83,AG417*1,IF(Z417=$Z$81,AG417*1,0)))</f>
        <v>0</v>
      </c>
      <c r="BI417" s="174">
        <f>IF(AA417&gt;0,0,IF(Z417=$Z$84,AG417*1,IF(Z417=$Z$93,AG417*2,IF(Z417=$Z$100,AG417,IF(Z417=$Z$81,AG417*2,IF(Z417=$Z$80,AG417*1,IF(Z417=$Z$79,AG417*3,IF(Z417=$Z$78,AG417*2,0))))))))</f>
        <v>0</v>
      </c>
      <c r="BJ417" s="174">
        <f>IF(AA417&gt;0,0,IF(Z417=$Z$85,AG417,IF(Z417=$Z$93,AG417,IF(Z417=$Z$100,AG417,IF(Z417=$Z$81,AG417*1,IF(Z417=$Z$80,AG417*2,IF(Z417=$Z$79,AG417*2,IF(Z417=$Z$78,AG417*2,0))))))))</f>
        <v>0</v>
      </c>
      <c r="BK417" s="174">
        <f>IF(AA417&gt;0,0,IF(Z417=$Z$92,AG417,0))</f>
        <v>0</v>
      </c>
      <c r="BL417" s="174">
        <f>IF(AA417&gt;0,0,IF(Z417=$Z$91,AG417,0))</f>
        <v>0</v>
      </c>
      <c r="BM417" s="174">
        <f>IF(AA417&gt;0,0,IF(Z417=$Z$86,AG417,0))</f>
        <v>0</v>
      </c>
      <c r="BN417" s="174">
        <f>IF(AA417&gt;0,0,IF(Z417=$Z$87,AG417,0))</f>
        <v>0</v>
      </c>
      <c r="BO417" s="174">
        <f>IF(AA417&gt;0,0,IF(Z417=$Z$88,AG417,0))</f>
        <v>0</v>
      </c>
      <c r="BP417" s="174">
        <f>IF(AA417&gt;0,0,IF(Z417=$Z$89,AG417,0))</f>
        <v>0</v>
      </c>
      <c r="BQ417" s="174">
        <f>IF(AA417&gt;0,0,IF(Z417=$Z$90,AG417,0))</f>
        <v>0</v>
      </c>
      <c r="BR417" s="174">
        <f>IF(Z417=$Z$82,AA417*AG417,0)</f>
        <v>0</v>
      </c>
      <c r="BS417" s="174">
        <f>IF(Z417=$Z$83,AA417*AG417,0)</f>
        <v>0</v>
      </c>
      <c r="BT417" s="174">
        <f>IF(AA417&lt;1,0,IF(Z417=$Z$84,AA417*AG417,IF(Z417=$Z$93,"ERRO",IF(Z417=$Z$100,"ERRO",0))))</f>
        <v>0</v>
      </c>
      <c r="BU417" s="174">
        <f>IF(AA417&lt;1,0,IF(Z417=$Z$85,AA417*AG417,IF(Z417=$Z$93,"ERRO",IF(Z417=$Z$100,"ERRO",0))))</f>
        <v>0</v>
      </c>
      <c r="BV417" s="174">
        <f>IF(Z417=$Z$92,AA417*AG417,0)</f>
        <v>0</v>
      </c>
      <c r="BW417" s="174">
        <f>IF(Z417=$Z$91,AA417*AG417,0)</f>
        <v>0</v>
      </c>
      <c r="BX417" s="174">
        <f>IF(Z417=$Z$86,AA417*AG417,0)</f>
        <v>0</v>
      </c>
      <c r="BY417" s="174">
        <f>IF(Z417=$Z$87,AA417*AG417,0)</f>
        <v>0</v>
      </c>
      <c r="BZ417" s="174">
        <f>IF(Z417=$Z$88,AA417*AG417,0)</f>
        <v>0</v>
      </c>
      <c r="CA417" s="174">
        <f>IF(Z417=$Z$89,AA417*AG417,0)</f>
        <v>0</v>
      </c>
      <c r="CB417" s="174">
        <f>IF(Z417=$Z$90,AA417*AG417,0)</f>
        <v>0</v>
      </c>
      <c r="CC417" s="175">
        <f>IFERROR(IF(L417=$L$49,AG417*AH417*(1+AI417)*(1-AK417)*(1-AL417),0),0)</f>
        <v>0</v>
      </c>
      <c r="CD417" s="203">
        <f>IF(I417=$CD$97,1,IF(I417=$CD$100,2,IF(K417=$K$66,1,IF(K417=$K$69,1,3))))</f>
        <v>1</v>
      </c>
      <c r="CE417" s="203">
        <f t="shared" si="14"/>
        <v>1.07</v>
      </c>
      <c r="CF417" s="204">
        <f t="shared" si="96"/>
        <v>1.2353999999999998</v>
      </c>
      <c r="CG417" s="203">
        <f t="shared" si="15"/>
        <v>1.42</v>
      </c>
      <c r="CH417" s="204">
        <f t="shared" si="97"/>
        <v>1.5478000000000001</v>
      </c>
      <c r="CI417" s="203">
        <f t="shared" si="16"/>
        <v>1.7</v>
      </c>
      <c r="CJ417" s="205">
        <f t="shared" si="107"/>
        <v>1.0486</v>
      </c>
      <c r="CK417" s="205">
        <f t="shared" si="108"/>
        <v>1.148922</v>
      </c>
      <c r="CL417" s="205">
        <f t="shared" si="109"/>
        <v>1.3915999999999999</v>
      </c>
      <c r="CM417" s="205">
        <f t="shared" si="110"/>
        <v>1.501366</v>
      </c>
      <c r="CN417" s="206">
        <f t="shared" si="111"/>
        <v>1.6319999999999999</v>
      </c>
      <c r="CO417" s="204">
        <f t="shared" si="103"/>
        <v>1.006656</v>
      </c>
      <c r="CP417" s="207">
        <f t="shared" si="104"/>
        <v>0</v>
      </c>
      <c r="CQ417" s="208">
        <f t="shared" si="105"/>
        <v>0</v>
      </c>
      <c r="CR417" s="209">
        <f t="shared" si="93"/>
        <v>0</v>
      </c>
      <c r="CS417" s="49"/>
      <c r="CT417" s="49"/>
      <c r="CU417" s="49"/>
      <c r="CV417" s="49"/>
      <c r="CW417" s="49"/>
      <c r="CX417" s="49"/>
      <c r="CY417" s="49"/>
      <c r="CZ417" s="49"/>
      <c r="DA417" s="49"/>
      <c r="DB417" s="49"/>
      <c r="DC417" s="49"/>
      <c r="DD417" s="49"/>
      <c r="DE417" s="49"/>
      <c r="DF417" s="49"/>
      <c r="DG417" s="49"/>
      <c r="DH417" s="49"/>
      <c r="DI417" s="49"/>
      <c r="DJ417" s="49"/>
      <c r="DK417" s="49"/>
      <c r="DL417" s="49"/>
      <c r="DM417" s="49"/>
      <c r="DN417" s="49"/>
      <c r="DO417" s="49"/>
      <c r="DP417" s="49"/>
      <c r="DQ417" s="49"/>
      <c r="DR417" s="49"/>
      <c r="DS417" s="49"/>
      <c r="DT417" s="49"/>
      <c r="DU417" s="49"/>
      <c r="DV417" s="49"/>
      <c r="DW417" s="49"/>
      <c r="DX417" s="49"/>
      <c r="DY417" s="49"/>
      <c r="DZ417" s="49"/>
      <c r="EA417" s="49"/>
      <c r="EB417" s="49"/>
      <c r="EC417" s="49"/>
      <c r="ED417" s="49"/>
      <c r="EE417" s="49"/>
      <c r="EF417" s="49"/>
      <c r="EG417" s="49"/>
      <c r="EH417" s="49"/>
      <c r="EI417" s="49"/>
      <c r="EJ417" s="49"/>
      <c r="EK417" s="49"/>
      <c r="EL417" s="49"/>
      <c r="EM417" s="49"/>
      <c r="EN417" s="49"/>
      <c r="EO417" s="49"/>
      <c r="EP417" s="49"/>
      <c r="EQ417" s="49"/>
      <c r="ER417" s="49"/>
      <c r="ES417" s="49"/>
      <c r="ET417" s="49"/>
      <c r="EU417" s="49"/>
      <c r="EV417" s="49"/>
      <c r="EW417" s="49"/>
      <c r="EX417" s="49"/>
      <c r="EY417" s="49"/>
      <c r="EZ417" s="49"/>
      <c r="FA417" s="49"/>
    </row>
    <row r="418" spans="1:157" s="113" customFormat="1" x14ac:dyDescent="0.25">
      <c r="A418" s="113">
        <f>IF(AND('[1]Cockpit Retorno'!$E$67=Sim,Mestre!M418=Mestre!$M$98),0,1)</f>
        <v>1</v>
      </c>
      <c r="B418" s="113">
        <f>IF(AND('[1]Cockpit Retorno'!$E$67=Sim,Mestre!L418=Mestre!$L$48),0,1)</f>
        <v>0</v>
      </c>
      <c r="C418" s="113">
        <f>IF(AND('[1]Cockpit Retorno'!$E$67=Sim,Mestre!M418=Mestre!$M$97),0,1)</f>
        <v>1</v>
      </c>
      <c r="D418" s="114" t="s">
        <v>259</v>
      </c>
      <c r="E418" s="115"/>
      <c r="F418" s="116" t="s">
        <v>107</v>
      </c>
      <c r="G418" s="149"/>
      <c r="H418" s="153" t="s">
        <v>4</v>
      </c>
      <c r="I418" s="151" t="str">
        <f t="shared" si="86"/>
        <v>Despesas</v>
      </c>
      <c r="J418" s="150" t="s">
        <v>12</v>
      </c>
      <c r="K418" s="152" t="s">
        <v>27</v>
      </c>
      <c r="L418" s="153" t="s">
        <v>15</v>
      </c>
      <c r="M418" s="154"/>
      <c r="N418" s="155" t="s">
        <v>43</v>
      </c>
      <c r="O418" s="155" t="s">
        <v>43</v>
      </c>
      <c r="P418" s="155" t="s">
        <v>43</v>
      </c>
      <c r="Q418" s="155" t="s">
        <v>43</v>
      </c>
      <c r="R418" s="155" t="s">
        <v>43</v>
      </c>
      <c r="S418" s="156" t="s">
        <v>43</v>
      </c>
      <c r="T418" s="156" t="s">
        <v>43</v>
      </c>
      <c r="U418" s="150" t="s">
        <v>43</v>
      </c>
      <c r="V418" s="150" t="s">
        <v>43</v>
      </c>
      <c r="W418" s="150" t="s">
        <v>43</v>
      </c>
      <c r="X418" s="157"/>
      <c r="Y418" s="150" t="s">
        <v>43</v>
      </c>
      <c r="Z418" s="150" t="s">
        <v>43</v>
      </c>
      <c r="AA418" s="158">
        <v>0</v>
      </c>
      <c r="AB418" s="155" t="s">
        <v>43</v>
      </c>
      <c r="AC418" s="150" t="s">
        <v>43</v>
      </c>
      <c r="AD418" s="155" t="s">
        <v>43</v>
      </c>
      <c r="AE418" s="155"/>
      <c r="AF418" s="150" t="s">
        <v>43</v>
      </c>
      <c r="AG418" s="159"/>
      <c r="AH418" s="159">
        <v>0</v>
      </c>
      <c r="AI418" s="161"/>
      <c r="AJ418" s="161"/>
      <c r="AK418" s="162"/>
      <c r="AL418" s="163"/>
      <c r="AM418" s="164">
        <f>(((IF(L418=$L$101,1,IF(L418=$L$47,1,0))*(AH418*(1-AK418)))*AG418)*(1-AL418))</f>
        <v>0</v>
      </c>
      <c r="AN418" s="165">
        <f>IF(K418=$K$50,AM418,IF(K418=$K$53,AM418,IF(K418=$K$54,AM418,IF(K418=$K$55,AM418,IF(K418=$K$56,AM418,IF(K418=$K$57,AM418,IF(K418=$K$58,AM418,IF(K418=$K$65,AM418,IF(K418=$K$66,AM418,IF(K418=$K$67,AM418,IF(K418=$K$68,AM418,IF(K418=$K$69,AM418,IF(K418=$K$51,AM418,(AM418*(1+AI418)))))))))))))))</f>
        <v>0</v>
      </c>
      <c r="AO418" s="132">
        <v>1.6</v>
      </c>
      <c r="AP418" s="160">
        <f t="shared" si="87"/>
        <v>0</v>
      </c>
      <c r="AQ418" s="167">
        <f t="shared" si="106"/>
        <v>0</v>
      </c>
      <c r="AR418" s="160">
        <f t="shared" si="88"/>
        <v>0</v>
      </c>
      <c r="AS418" s="183">
        <f t="shared" si="89"/>
        <v>0</v>
      </c>
      <c r="AT418" s="169" t="str">
        <f>K418</f>
        <v>LOG</v>
      </c>
      <c r="AU418" s="169" t="str">
        <f>I418</f>
        <v>Despesas</v>
      </c>
      <c r="AV418" s="170"/>
      <c r="AW418" s="171">
        <f>IF(K418=$K$50,0,IF(K418=$K$53,0,IF(K418=$K$54,0,IF(K418=$K$55,0,IF(K418=$K$56,0,IF(K418=$K$57,0,IF(K418=$K$58,0,IF(K418=$K$65,0,IF(K418=$K$66,0,IF(K418=$K$67,0,IF(K418=$K$68,0,IF(K418=$K$69,0,IF(K418=$K$51,0,1))))))))))))*AM418*AI418)</f>
        <v>0</v>
      </c>
      <c r="AX418" s="172">
        <f>IF(K418=$K$50,0,IF(K418=$K$53,0,IF(K418=$K$54,0,IF(K418=$K$55,0,IF(K418=$K$56,0,IF(K418=$K$57,0,IF(K418=$K$58,0,IF(K418=$K$65,0,IF(K418=$K$66,0,IF(K418=$K$67,0,IF(K418=$K$68,0,IF(K418=$K$69,0,IF(K418=$K$51,0,1))))))))))))*AM418*AJ418*$AX$94)</f>
        <v>0</v>
      </c>
      <c r="AY418" s="172">
        <f>IF(K418=$K$53,0,IF(K418=$K$54,0,IF(K418=$K$55,0,IF(K418=$K$56,0,IF(K418=$K$58,0,IF(K418=$K$50,0,IF(K418=$K$65,0,IF(K418=$K$57,0,IF(K418=$K$51,0,AM418*$AY$102)))))))))</f>
        <v>0</v>
      </c>
      <c r="AZ418" s="172">
        <f>IF(K418=$K$53,0,IF(K418=$K$54,0,IF(K418=$K$55,0,IF(K418=$K$56,0,IF(K418=$K$58,0,IF(K418=$K$50,0,IF(K418=$K$65,0,IF(K418=$K$57,0,IF(K418=$K$51,0,AM418*$AZ$102)))))))))</f>
        <v>0</v>
      </c>
      <c r="BA418" s="172">
        <f t="shared" si="90"/>
        <v>0</v>
      </c>
      <c r="BB418" s="173">
        <f>IF($BA$97=1,AQ418*$BB$102,IF(K418=$K$50,0,IF(K418=$K$53,0,IF(K418=$K$54,0,IF(K418=$K$55,0,IF(K418=$K$56,0,IF(K418=$K$57,0,IF(K418=$K$58,0,IF(K418=$K$65,0,IF(K418=$K$66,0,IF(K418=$K$67,0,IF(K418=$K$68,0,IF(K418=$K$69,0,IF(K418=$K$51,0,1)))))))))))*AQ418*$BB$102)))</f>
        <v>0</v>
      </c>
      <c r="BC418" s="172">
        <f t="shared" si="91"/>
        <v>0</v>
      </c>
      <c r="BD418" s="172">
        <f t="shared" si="92"/>
        <v>0</v>
      </c>
      <c r="BE418" s="172">
        <f>IF($BE$95=I418,$BE$97,IF(I418=$BE$96,$BE$97,1))*($BE$102*AQ418)*$AZ$97</f>
        <v>0</v>
      </c>
      <c r="BF418" s="172">
        <f>IF('[1]Cockpit Retorno'!$C$65=Sim,Mestre!BA418,SUM(BB418:BE418)+(IF(K418=$K$56,AQ418*MOE_IRRF_LR,0)))</f>
        <v>0</v>
      </c>
      <c r="BG418" s="174">
        <f>IF(AA418&gt;0,0,IF(Z418=$Z$82,AG418*1,(IF(Z418=$Z$81,AG418*1,0))))</f>
        <v>0</v>
      </c>
      <c r="BH418" s="174">
        <f>IF(AA418&gt;0,0,IF(Z418=$Z$83,AG418*1,IF(Z418=$Z$81,AG418*1,0)))</f>
        <v>0</v>
      </c>
      <c r="BI418" s="174">
        <f>IF(AA418&gt;0,0,IF(Z418=$Z$84,AG418*1,IF(Z418=$Z$93,AG418*2,IF(Z418=$Z$100,AG418,IF(Z418=$Z$81,AG418*2,IF(Z418=$Z$80,AG418*1,IF(Z418=$Z$79,AG418*3,IF(Z418=$Z$78,AG418*2,0))))))))</f>
        <v>0</v>
      </c>
      <c r="BJ418" s="174">
        <f>IF(AA418&gt;0,0,IF(Z418=$Z$85,AG418,IF(Z418=$Z$93,AG418,IF(Z418=$Z$100,AG418,IF(Z418=$Z$81,AG418*1,IF(Z418=$Z$80,AG418*2,IF(Z418=$Z$79,AG418*2,IF(Z418=$Z$78,AG418*2,0))))))))</f>
        <v>0</v>
      </c>
      <c r="BK418" s="174">
        <f>IF(AA418&gt;0,0,IF(Z418=$Z$92,AG418,0))</f>
        <v>0</v>
      </c>
      <c r="BL418" s="174">
        <f>IF(AA418&gt;0,0,IF(Z418=$Z$91,AG418,0))</f>
        <v>0</v>
      </c>
      <c r="BM418" s="174">
        <f>IF(AA418&gt;0,0,IF(Z418=$Z$86,AG418,0))</f>
        <v>0</v>
      </c>
      <c r="BN418" s="174">
        <f>IF(AA418&gt;0,0,IF(Z418=$Z$87,AG418,0))</f>
        <v>0</v>
      </c>
      <c r="BO418" s="174">
        <f>IF(AA418&gt;0,0,IF(Z418=$Z$88,AG418,0))</f>
        <v>0</v>
      </c>
      <c r="BP418" s="174">
        <f>IF(AA418&gt;0,0,IF(Z418=$Z$89,AG418,0))</f>
        <v>0</v>
      </c>
      <c r="BQ418" s="174">
        <f>IF(AA418&gt;0,0,IF(Z418=$Z$90,AG418,0))</f>
        <v>0</v>
      </c>
      <c r="BR418" s="174">
        <f>IF(Z418=$Z$82,AA418*AG418,0)</f>
        <v>0</v>
      </c>
      <c r="BS418" s="174">
        <f>IF(Z418=$Z$83,AA418*AG418,0)</f>
        <v>0</v>
      </c>
      <c r="BT418" s="174">
        <f>IF(AA418&lt;1,0,IF(Z418=$Z$84,AA418*AG418,IF(Z418=$Z$93,"ERRO",IF(Z418=$Z$100,"ERRO",0))))</f>
        <v>0</v>
      </c>
      <c r="BU418" s="174">
        <f>IF(AA418&lt;1,0,IF(Z418=$Z$85,AA418*AG418,IF(Z418=$Z$93,"ERRO",IF(Z418=$Z$100,"ERRO",0))))</f>
        <v>0</v>
      </c>
      <c r="BV418" s="174">
        <f>IF(Z418=$Z$92,AA418*AG418,0)</f>
        <v>0</v>
      </c>
      <c r="BW418" s="174">
        <f>IF(Z418=$Z$91,AA418*AG418,0)</f>
        <v>0</v>
      </c>
      <c r="BX418" s="174">
        <f>IF(Z418=$Z$86,AA418*AG418,0)</f>
        <v>0</v>
      </c>
      <c r="BY418" s="174">
        <f>IF(Z418=$Z$87,AA418*AG418,0)</f>
        <v>0</v>
      </c>
      <c r="BZ418" s="174">
        <f>IF(Z418=$Z$88,AA418*AG418,0)</f>
        <v>0</v>
      </c>
      <c r="CA418" s="174">
        <f>IF(Z418=$Z$89,AA418*AG418,0)</f>
        <v>0</v>
      </c>
      <c r="CB418" s="174">
        <f>IF(Z418=$Z$90,AA418*AG418,0)</f>
        <v>0</v>
      </c>
      <c r="CC418" s="175">
        <f>IFERROR(IF(L418=$L$49,AG418*AH418*(1+AI418)*(1-AK418)*(1-AL418),0),0)</f>
        <v>0</v>
      </c>
      <c r="CD418" s="143">
        <f>IF(I418=$CD$97,1,IF(I418=$CD$100,2,IF(K418=$K$66,1,IF(K418=$K$69,1,3))))</f>
        <v>2</v>
      </c>
      <c r="CE418" s="143">
        <f t="shared" si="14"/>
        <v>1.07</v>
      </c>
      <c r="CF418" s="144">
        <f t="shared" si="96"/>
        <v>1.2788999999999999</v>
      </c>
      <c r="CG418" s="143">
        <f t="shared" si="15"/>
        <v>1.47</v>
      </c>
      <c r="CH418" s="144">
        <f t="shared" si="97"/>
        <v>1.6023000000000001</v>
      </c>
      <c r="CI418" s="143">
        <f t="shared" si="16"/>
        <v>1.7</v>
      </c>
      <c r="CJ418" s="144">
        <f t="shared" si="107"/>
        <v>1.0486</v>
      </c>
      <c r="CK418" s="144">
        <f t="shared" si="108"/>
        <v>1.1893769999999999</v>
      </c>
      <c r="CL418" s="144">
        <f t="shared" si="109"/>
        <v>1.4405999999999999</v>
      </c>
      <c r="CM418" s="144">
        <f t="shared" si="110"/>
        <v>1.5542309999999999</v>
      </c>
      <c r="CN418" s="143">
        <f t="shared" si="111"/>
        <v>1.6319999999999999</v>
      </c>
      <c r="CO418" s="145">
        <v>1.3</v>
      </c>
      <c r="CP418" s="146">
        <f t="shared" si="104"/>
        <v>0</v>
      </c>
      <c r="CQ418" s="147">
        <f t="shared" si="105"/>
        <v>0</v>
      </c>
      <c r="CR418" s="190">
        <f t="shared" si="93"/>
        <v>0</v>
      </c>
      <c r="CS418" s="49"/>
      <c r="CT418" s="49"/>
      <c r="CU418" s="49"/>
      <c r="CV418" s="49"/>
      <c r="CW418" s="49"/>
      <c r="CX418" s="49"/>
      <c r="CY418" s="49"/>
      <c r="CZ418" s="49"/>
      <c r="DA418" s="49"/>
      <c r="DB418" s="49"/>
      <c r="DC418" s="49"/>
      <c r="DD418" s="49"/>
      <c r="DE418" s="49"/>
      <c r="DF418" s="49"/>
      <c r="DG418" s="49"/>
      <c r="DH418" s="49"/>
      <c r="DI418" s="49"/>
      <c r="DJ418" s="49"/>
      <c r="DK418" s="49"/>
      <c r="DL418" s="49"/>
      <c r="DM418" s="49"/>
      <c r="DN418" s="49"/>
      <c r="DO418" s="49"/>
      <c r="DP418" s="49"/>
      <c r="DQ418" s="49"/>
      <c r="DR418" s="49"/>
      <c r="DS418" s="49"/>
      <c r="DT418" s="49"/>
      <c r="DU418" s="49"/>
      <c r="DV418" s="49"/>
      <c r="DW418" s="49"/>
      <c r="DX418" s="49"/>
      <c r="DY418" s="49"/>
      <c r="DZ418" s="49"/>
      <c r="EA418" s="49"/>
      <c r="EB418" s="49"/>
      <c r="EC418" s="49"/>
      <c r="ED418" s="49"/>
      <c r="EE418" s="49"/>
      <c r="EF418" s="49"/>
      <c r="EG418" s="49"/>
      <c r="EH418" s="49"/>
      <c r="EI418" s="49"/>
      <c r="EJ418" s="49"/>
      <c r="EK418" s="49"/>
      <c r="EL418" s="49"/>
      <c r="EM418" s="49"/>
      <c r="EN418" s="49"/>
      <c r="EO418" s="49"/>
      <c r="EP418" s="49"/>
      <c r="EQ418" s="49"/>
      <c r="ER418" s="49"/>
      <c r="ES418" s="49"/>
      <c r="ET418" s="49"/>
      <c r="EU418" s="49"/>
      <c r="EV418" s="49"/>
      <c r="EW418" s="49"/>
      <c r="EX418" s="49"/>
      <c r="EY418" s="49"/>
      <c r="EZ418" s="49"/>
      <c r="FA418" s="49"/>
    </row>
    <row r="419" spans="1:157" s="113" customFormat="1" x14ac:dyDescent="0.25">
      <c r="A419" s="113">
        <f>IF(AND('[1]Cockpit Retorno'!$E$67=Sim,Mestre!M419=Mestre!$M$98),0,1)</f>
        <v>1</v>
      </c>
      <c r="B419" s="113">
        <f>IF(AND('[1]Cockpit Retorno'!$E$67=Sim,Mestre!L419=Mestre!$L$48),0,1)</f>
        <v>0</v>
      </c>
      <c r="C419" s="113">
        <f>IF(AND('[1]Cockpit Retorno'!$E$67=Sim,Mestre!M419=Mestre!$M$97),0,1)</f>
        <v>1</v>
      </c>
      <c r="D419" s="114" t="s">
        <v>270</v>
      </c>
      <c r="E419" s="115"/>
      <c r="F419" s="116" t="s">
        <v>107</v>
      </c>
      <c r="G419" s="149"/>
      <c r="H419" s="153" t="s">
        <v>50</v>
      </c>
      <c r="I419" s="151" t="str">
        <f t="shared" si="86"/>
        <v>Despesas</v>
      </c>
      <c r="J419" s="150" t="s">
        <v>12</v>
      </c>
      <c r="K419" s="152" t="s">
        <v>50</v>
      </c>
      <c r="L419" s="153" t="s">
        <v>15</v>
      </c>
      <c r="M419" s="154"/>
      <c r="N419" s="155" t="s">
        <v>43</v>
      </c>
      <c r="O419" s="155" t="s">
        <v>43</v>
      </c>
      <c r="P419" s="155" t="s">
        <v>43</v>
      </c>
      <c r="Q419" s="155" t="s">
        <v>43</v>
      </c>
      <c r="R419" s="155" t="s">
        <v>43</v>
      </c>
      <c r="S419" s="156" t="s">
        <v>43</v>
      </c>
      <c r="T419" s="156" t="s">
        <v>43</v>
      </c>
      <c r="U419" s="150" t="s">
        <v>43</v>
      </c>
      <c r="V419" s="150" t="s">
        <v>43</v>
      </c>
      <c r="W419" s="150" t="s">
        <v>43</v>
      </c>
      <c r="X419" s="157"/>
      <c r="Y419" s="150" t="s">
        <v>43</v>
      </c>
      <c r="Z419" s="150" t="s">
        <v>43</v>
      </c>
      <c r="AA419" s="158">
        <v>0</v>
      </c>
      <c r="AB419" s="155" t="s">
        <v>43</v>
      </c>
      <c r="AC419" s="150" t="s">
        <v>43</v>
      </c>
      <c r="AD419" s="155" t="s">
        <v>43</v>
      </c>
      <c r="AE419" s="155"/>
      <c r="AF419" s="150" t="s">
        <v>43</v>
      </c>
      <c r="AG419" s="159"/>
      <c r="AH419" s="159">
        <v>0</v>
      </c>
      <c r="AI419" s="161"/>
      <c r="AJ419" s="161"/>
      <c r="AK419" s="162"/>
      <c r="AL419" s="163"/>
      <c r="AM419" s="164">
        <f>(((IF(L419=$L$101,1,IF(L419=$L$47,1,0))*(AH419*(1-AK419)))*AG419)*(1-AL419))</f>
        <v>0</v>
      </c>
      <c r="AN419" s="191">
        <f>IF(K419=$K$50,AM419,IF(K419=$K$53,AM419,IF(K419=$K$54,AM419,IF(K419=$K$55,AM419,IF(K419=$K$56,AM419,IF(K419=$K$57,AM419,IF(K419=$K$58,AM419,IF(K419=$K$65,AM419,IF(K419=$K$66,AM419,IF(K419=$K$67,AM419,IF(K419=$K$68,AM419,IF(K419=$K$69,AM419,IF(K419=$K$51,AM419,(AM419*(1+AI419)))))))))))))))</f>
        <v>0</v>
      </c>
      <c r="AO419" s="132">
        <v>1.6</v>
      </c>
      <c r="AP419" s="160">
        <f t="shared" si="87"/>
        <v>0</v>
      </c>
      <c r="AQ419" s="167">
        <f t="shared" si="106"/>
        <v>0</v>
      </c>
      <c r="AR419" s="160">
        <f t="shared" si="88"/>
        <v>0</v>
      </c>
      <c r="AS419" s="168">
        <f t="shared" si="89"/>
        <v>0</v>
      </c>
      <c r="AT419" s="169" t="str">
        <f>K419</f>
        <v>MOB</v>
      </c>
      <c r="AU419" s="169" t="str">
        <f>I419</f>
        <v>Despesas</v>
      </c>
      <c r="AV419" s="170"/>
      <c r="AW419" s="171">
        <f>IF(K419=$K$50,0,IF(K419=$K$53,0,IF(K419=$K$54,0,IF(K419=$K$55,0,IF(K419=$K$56,0,IF(K419=$K$57,0,IF(K419=$K$58,0,IF(K419=$K$65,0,IF(K419=$K$66,0,IF(K419=$K$67,0,IF(K419=$K$68,0,IF(K419=$K$69,0,IF(K419=$K$51,0,1))))))))))))*AM419*AI419)</f>
        <v>0</v>
      </c>
      <c r="AX419" s="172">
        <f>IF(K419=$K$50,0,IF(K419=$K$53,0,IF(K419=$K$54,0,IF(K419=$K$55,0,IF(K419=$K$56,0,IF(K419=$K$57,0,IF(K419=$K$58,0,IF(K419=$K$65,0,IF(K419=$K$66,0,IF(K419=$K$67,0,IF(K419=$K$68,0,IF(K419=$K$69,0,IF(K419=$K$51,0,1))))))))))))*AM419*AJ419*$AX$94)</f>
        <v>0</v>
      </c>
      <c r="AY419" s="172">
        <f>IF(K419=$K$53,0,IF(K419=$K$54,0,IF(K419=$K$55,0,IF(K419=$K$56,0,IF(K419=$K$58,0,IF(K419=$K$50,0,IF(K419=$K$65,0,IF(K419=$K$57,0,IF(K419=$K$51,0,AM419*$AY$102)))))))))</f>
        <v>0</v>
      </c>
      <c r="AZ419" s="172">
        <f>IF(K419=$K$53,0,IF(K419=$K$54,0,IF(K419=$K$55,0,IF(K419=$K$56,0,IF(K419=$K$58,0,IF(K419=$K$50,0,IF(K419=$K$65,0,IF(K419=$K$57,0,IF(K419=$K$51,0,AM419*$AZ$102)))))))))</f>
        <v>0</v>
      </c>
      <c r="BA419" s="172">
        <f t="shared" si="90"/>
        <v>0</v>
      </c>
      <c r="BB419" s="173">
        <f>IF($BA$97=1,AQ419*$BB$102,IF(K419=$K$50,0,IF(K419=$K$53,0,IF(K419=$K$54,0,IF(K419=$K$55,0,IF(K419=$K$56,0,IF(K419=$K$57,0,IF(K419=$K$58,0,IF(K419=$K$65,0,IF(K419=$K$66,0,IF(K419=$K$67,0,IF(K419=$K$68,0,IF(K419=$K$69,0,IF(K419=$K$51,0,1)))))))))))*AQ419*$BB$102)))</f>
        <v>0</v>
      </c>
      <c r="BC419" s="172">
        <f t="shared" si="91"/>
        <v>0</v>
      </c>
      <c r="BD419" s="172">
        <f t="shared" si="92"/>
        <v>0</v>
      </c>
      <c r="BE419" s="172">
        <f>IF($BE$95=I419,$BE$97,IF(I419=$BE$96,$BE$97,1))*($BE$102*AQ419)*$AZ$97</f>
        <v>0</v>
      </c>
      <c r="BF419" s="172">
        <f>IF('[1]Cockpit Retorno'!$C$65=Sim,Mestre!BA419,SUM(BB419:BE419)+(IF(K419=$K$56,AQ419*MOE_IRRF_LR,0)))</f>
        <v>0</v>
      </c>
      <c r="BG419" s="174">
        <f>IF(AA419&gt;0,0,IF(Z419=$Z$82,AG419*1,(IF(Z419=$Z$81,AG419*1,0))))</f>
        <v>0</v>
      </c>
      <c r="BH419" s="174">
        <f>IF(AA419&gt;0,0,IF(Z419=$Z$83,AG419*1,IF(Z419=$Z$81,AG419*1,0)))</f>
        <v>0</v>
      </c>
      <c r="BI419" s="174">
        <f>IF(AA419&gt;0,0,IF(Z419=$Z$84,AG419*1,IF(Z419=$Z$93,AG419*2,IF(Z419=$Z$100,AG419,IF(Z419=$Z$81,AG419*2,IF(Z419=$Z$80,AG419*1,IF(Z419=$Z$79,AG419*3,IF(Z419=$Z$78,AG419*2,0))))))))</f>
        <v>0</v>
      </c>
      <c r="BJ419" s="174">
        <f>IF(AA419&gt;0,0,IF(Z419=$Z$85,AG419,IF(Z419=$Z$93,AG419,IF(Z419=$Z$100,AG419,IF(Z419=$Z$81,AG419*1,IF(Z419=$Z$80,AG419*2,IF(Z419=$Z$79,AG419*2,IF(Z419=$Z$78,AG419*2,0))))))))</f>
        <v>0</v>
      </c>
      <c r="BK419" s="174">
        <f>IF(AA419&gt;0,0,IF(Z419=$Z$92,AG419,0))</f>
        <v>0</v>
      </c>
      <c r="BL419" s="174">
        <f>IF(AA419&gt;0,0,IF(Z419=$Z$91,AG419,0))</f>
        <v>0</v>
      </c>
      <c r="BM419" s="174">
        <f>IF(AA419&gt;0,0,IF(Z419=$Z$86,AG419,0))</f>
        <v>0</v>
      </c>
      <c r="BN419" s="174">
        <f>IF(AA419&gt;0,0,IF(Z419=$Z$87,AG419,0))</f>
        <v>0</v>
      </c>
      <c r="BO419" s="174">
        <f>IF(AA419&gt;0,0,IF(Z419=$Z$88,AG419,0))</f>
        <v>0</v>
      </c>
      <c r="BP419" s="174">
        <f>IF(AA419&gt;0,0,IF(Z419=$Z$89,AG419,0))</f>
        <v>0</v>
      </c>
      <c r="BQ419" s="174">
        <f>IF(AA419&gt;0,0,IF(Z419=$Z$90,AG419,0))</f>
        <v>0</v>
      </c>
      <c r="BR419" s="174">
        <f>IF(Z419=$Z$82,AA419*AG419,0)</f>
        <v>0</v>
      </c>
      <c r="BS419" s="174">
        <f>IF(Z419=$Z$83,AA419*AG419,0)</f>
        <v>0</v>
      </c>
      <c r="BT419" s="174">
        <f>IF(AA419&lt;1,0,IF(Z419=$Z$84,AA419*AG419,IF(Z419=$Z$93,"ERRO",IF(Z419=$Z$100,"ERRO",0))))</f>
        <v>0</v>
      </c>
      <c r="BU419" s="174">
        <f>IF(AA419&lt;1,0,IF(Z419=$Z$85,AA419*AG419,IF(Z419=$Z$93,"ERRO",IF(Z419=$Z$100,"ERRO",0))))</f>
        <v>0</v>
      </c>
      <c r="BV419" s="174">
        <f>IF(Z419=$Z$92,AA419*AG419,0)</f>
        <v>0</v>
      </c>
      <c r="BW419" s="174">
        <f>IF(Z419=$Z$91,AA419*AG419,0)</f>
        <v>0</v>
      </c>
      <c r="BX419" s="174">
        <f>IF(Z419=$Z$86,AA419*AG419,0)</f>
        <v>0</v>
      </c>
      <c r="BY419" s="174">
        <f>IF(Z419=$Z$87,AA419*AG419,0)</f>
        <v>0</v>
      </c>
      <c r="BZ419" s="174">
        <f>IF(Z419=$Z$88,AA419*AG419,0)</f>
        <v>0</v>
      </c>
      <c r="CA419" s="174">
        <f>IF(Z419=$Z$89,AA419*AG419,0)</f>
        <v>0</v>
      </c>
      <c r="CB419" s="174">
        <f>IF(Z419=$Z$90,AA419*AG419,0)</f>
        <v>0</v>
      </c>
      <c r="CC419" s="175">
        <f>IFERROR(IF(L419=$L$49,AG419*AH419*(1+AI419)*(1-AK419)*(1-AL419),0),0)</f>
        <v>0</v>
      </c>
      <c r="CD419" s="192">
        <f>IF(I419=$CD$97,1,IF(I419=$CD$100,2,IF(K419=$K$66,1,IF(K419=$K$69,1,3))))</f>
        <v>2</v>
      </c>
      <c r="CE419" s="192">
        <f t="shared" si="14"/>
        <v>1.07</v>
      </c>
      <c r="CF419" s="193">
        <f t="shared" si="96"/>
        <v>1.2788999999999999</v>
      </c>
      <c r="CG419" s="192">
        <f t="shared" si="15"/>
        <v>1.47</v>
      </c>
      <c r="CH419" s="193">
        <f t="shared" si="97"/>
        <v>1.6023000000000001</v>
      </c>
      <c r="CI419" s="192">
        <f t="shared" si="16"/>
        <v>1.7</v>
      </c>
      <c r="CJ419" s="144">
        <f t="shared" si="107"/>
        <v>1.0486</v>
      </c>
      <c r="CK419" s="144">
        <f t="shared" si="108"/>
        <v>1.1893769999999999</v>
      </c>
      <c r="CL419" s="144">
        <f t="shared" si="109"/>
        <v>1.4405999999999999</v>
      </c>
      <c r="CM419" s="144">
        <f t="shared" si="110"/>
        <v>1.5542309999999999</v>
      </c>
      <c r="CN419" s="143">
        <f t="shared" si="111"/>
        <v>1.6319999999999999</v>
      </c>
      <c r="CO419" s="145">
        <f>CJ419*$CO$102</f>
        <v>1.006656</v>
      </c>
      <c r="CP419" s="146">
        <f t="shared" si="104"/>
        <v>0</v>
      </c>
      <c r="CQ419" s="147">
        <f t="shared" si="105"/>
        <v>0</v>
      </c>
      <c r="CR419" s="190">
        <f t="shared" si="93"/>
        <v>0</v>
      </c>
      <c r="CS419" s="49"/>
      <c r="CT419" s="49"/>
      <c r="CU419" s="49"/>
      <c r="CV419" s="49"/>
      <c r="CW419" s="49"/>
      <c r="CX419" s="49"/>
      <c r="CY419" s="49"/>
      <c r="CZ419" s="49"/>
      <c r="DA419" s="49"/>
      <c r="DB419" s="49"/>
      <c r="DC419" s="49"/>
      <c r="DD419" s="49"/>
      <c r="DE419" s="49"/>
      <c r="DF419" s="49"/>
      <c r="DG419" s="49"/>
      <c r="DH419" s="49"/>
      <c r="DI419" s="49"/>
      <c r="DJ419" s="49"/>
      <c r="DK419" s="49"/>
      <c r="DL419" s="49"/>
      <c r="DM419" s="49"/>
      <c r="DN419" s="49"/>
      <c r="DO419" s="49"/>
      <c r="DP419" s="49"/>
      <c r="DQ419" s="49"/>
      <c r="DR419" s="49"/>
      <c r="DS419" s="49"/>
      <c r="DT419" s="49"/>
      <c r="DU419" s="49"/>
      <c r="DV419" s="49"/>
      <c r="DW419" s="49"/>
      <c r="DX419" s="49"/>
      <c r="DY419" s="49"/>
      <c r="DZ419" s="49"/>
      <c r="EA419" s="49"/>
      <c r="EB419" s="49"/>
      <c r="EC419" s="49"/>
      <c r="ED419" s="49"/>
      <c r="EE419" s="49"/>
      <c r="EF419" s="49"/>
      <c r="EG419" s="49"/>
      <c r="EH419" s="49"/>
      <c r="EI419" s="49"/>
      <c r="EJ419" s="49"/>
      <c r="EK419" s="49"/>
      <c r="EL419" s="49"/>
      <c r="EM419" s="49"/>
      <c r="EN419" s="49"/>
      <c r="EO419" s="49"/>
      <c r="EP419" s="49"/>
      <c r="EQ419" s="49"/>
      <c r="ER419" s="49"/>
      <c r="ES419" s="49"/>
      <c r="ET419" s="49"/>
      <c r="EU419" s="49"/>
      <c r="EV419" s="49"/>
      <c r="EW419" s="49"/>
      <c r="EX419" s="49"/>
      <c r="EY419" s="49"/>
      <c r="EZ419" s="49"/>
      <c r="FA419" s="49"/>
    </row>
    <row r="420" spans="1:157" s="113" customFormat="1" x14ac:dyDescent="0.25">
      <c r="A420" s="113">
        <f>IF(AND('[1]Cockpit Retorno'!$E$67=Sim,Mestre!M420=Mestre!$M$98),0,1)</f>
        <v>1</v>
      </c>
      <c r="B420" s="113">
        <f>IF(AND('[1]Cockpit Retorno'!$E$67=Sim,Mestre!L420=Mestre!$L$48),0,1)</f>
        <v>0</v>
      </c>
      <c r="C420" s="113">
        <f>IF(AND('[1]Cockpit Retorno'!$E$67=Sim,Mestre!M420=Mestre!$M$97),0,1)</f>
        <v>1</v>
      </c>
      <c r="D420" s="114" t="s">
        <v>259</v>
      </c>
      <c r="E420" s="115"/>
      <c r="F420" s="116" t="s">
        <v>107</v>
      </c>
      <c r="G420" s="149"/>
      <c r="H420" s="153" t="s">
        <v>5</v>
      </c>
      <c r="I420" s="151" t="str">
        <f t="shared" si="86"/>
        <v>Despesas</v>
      </c>
      <c r="J420" s="150" t="s">
        <v>12</v>
      </c>
      <c r="K420" s="152" t="s">
        <v>34</v>
      </c>
      <c r="L420" s="153" t="s">
        <v>15</v>
      </c>
      <c r="M420" s="154"/>
      <c r="N420" s="155" t="s">
        <v>43</v>
      </c>
      <c r="O420" s="155" t="s">
        <v>43</v>
      </c>
      <c r="P420" s="155" t="s">
        <v>43</v>
      </c>
      <c r="Q420" s="155" t="s">
        <v>43</v>
      </c>
      <c r="R420" s="155" t="s">
        <v>43</v>
      </c>
      <c r="S420" s="156" t="s">
        <v>43</v>
      </c>
      <c r="T420" s="156" t="s">
        <v>43</v>
      </c>
      <c r="U420" s="150" t="s">
        <v>43</v>
      </c>
      <c r="V420" s="150" t="s">
        <v>43</v>
      </c>
      <c r="W420" s="150" t="s">
        <v>43</v>
      </c>
      <c r="X420" s="157"/>
      <c r="Y420" s="150" t="s">
        <v>43</v>
      </c>
      <c r="Z420" s="150" t="s">
        <v>43</v>
      </c>
      <c r="AA420" s="158">
        <v>0</v>
      </c>
      <c r="AB420" s="155" t="s">
        <v>43</v>
      </c>
      <c r="AC420" s="150" t="s">
        <v>43</v>
      </c>
      <c r="AD420" s="155" t="s">
        <v>43</v>
      </c>
      <c r="AE420" s="155"/>
      <c r="AF420" s="150" t="s">
        <v>43</v>
      </c>
      <c r="AG420" s="159"/>
      <c r="AH420" s="160">
        <v>0</v>
      </c>
      <c r="AI420" s="161"/>
      <c r="AJ420" s="161"/>
      <c r="AK420" s="162"/>
      <c r="AL420" s="163"/>
      <c r="AM420" s="164">
        <f>(((IF(L420=$L$101,1,IF(L420=$L$47,1,0))*(AH420*(1-AK420)))*AG420)*(1-AL420))</f>
        <v>0</v>
      </c>
      <c r="AN420" s="165">
        <f>IF(K420=$K$50,AM420,IF(K420=$K$53,AM420,IF(K420=$K$54,AM420,IF(K420=$K$55,AM420,IF(K420=$K$56,AM420,IF(K420=$K$57,AM420,IF(K420=$K$58,AM420,IF(K420=$K$65,AM420,IF(K420=$K$66,AM420,IF(K420=$K$67,AM420,IF(K420=$K$68,AM420,IF(K420=$K$69,AM420,IF(K420=$K$51,AM420,(AM420*(1+AI420)))))))))))))))</f>
        <v>0</v>
      </c>
      <c r="AO420" s="132">
        <v>1.6</v>
      </c>
      <c r="AP420" s="160">
        <f t="shared" si="87"/>
        <v>0</v>
      </c>
      <c r="AQ420" s="167">
        <f t="shared" si="106"/>
        <v>0</v>
      </c>
      <c r="AR420" s="160">
        <f t="shared" si="88"/>
        <v>0</v>
      </c>
      <c r="AS420" s="168">
        <f t="shared" si="89"/>
        <v>0</v>
      </c>
      <c r="AT420" s="169" t="str">
        <f>K420</f>
        <v>LOG_M</v>
      </c>
      <c r="AU420" s="169" t="str">
        <f>I420</f>
        <v>Despesas</v>
      </c>
      <c r="AV420" s="170"/>
      <c r="AW420" s="171">
        <f>IF(K420=$K$50,0,IF(K420=$K$53,0,IF(K420=$K$54,0,IF(K420=$K$55,0,IF(K420=$K$56,0,IF(K420=$K$57,0,IF(K420=$K$58,0,IF(K420=$K$65,0,IF(K420=$K$66,0,IF(K420=$K$67,0,IF(K420=$K$68,0,IF(K420=$K$69,0,IF(K420=$K$51,0,1))))))))))))*AM420*AI420)</f>
        <v>0</v>
      </c>
      <c r="AX420" s="172">
        <f>IF(K420=$K$50,0,IF(K420=$K$53,0,IF(K420=$K$54,0,IF(K420=$K$55,0,IF(K420=$K$56,0,IF(K420=$K$57,0,IF(K420=$K$58,0,IF(K420=$K$65,0,IF(K420=$K$66,0,IF(K420=$K$67,0,IF(K420=$K$68,0,IF(K420=$K$69,0,IF(K420=$K$51,0,1))))))))))))*AM420*AJ420*$AX$94)</f>
        <v>0</v>
      </c>
      <c r="AY420" s="172">
        <f>IF(K420=$K$53,0,IF(K420=$K$54,0,IF(K420=$K$55,0,IF(K420=$K$56,0,IF(K420=$K$58,0,IF(K420=$K$50,0,IF(K420=$K$65,0,IF(K420=$K$57,0,IF(K420=$K$51,0,AM420*$AY$102)))))))))</f>
        <v>0</v>
      </c>
      <c r="AZ420" s="172">
        <f>IF(K420=$K$53,0,IF(K420=$K$54,0,IF(K420=$K$55,0,IF(K420=$K$56,0,IF(K420=$K$58,0,IF(K420=$K$50,0,IF(K420=$K$65,0,IF(K420=$K$57,0,IF(K420=$K$51,0,AM420*$AZ$102)))))))))</f>
        <v>0</v>
      </c>
      <c r="BA420" s="172">
        <f t="shared" si="90"/>
        <v>0</v>
      </c>
      <c r="BB420" s="173">
        <f>IF($BA$97=1,AQ420*$BB$102,IF(K420=$K$50,0,IF(K420=$K$53,0,IF(K420=$K$54,0,IF(K420=$K$55,0,IF(K420=$K$56,0,IF(K420=$K$57,0,IF(K420=$K$58,0,IF(K420=$K$65,0,IF(K420=$K$66,0,IF(K420=$K$67,0,IF(K420=$K$68,0,IF(K420=$K$69,0,IF(K420=$K$51,0,1)))))))))))*AQ420*$BB$102)))</f>
        <v>0</v>
      </c>
      <c r="BC420" s="172">
        <f t="shared" si="91"/>
        <v>0</v>
      </c>
      <c r="BD420" s="172">
        <f t="shared" si="92"/>
        <v>0</v>
      </c>
      <c r="BE420" s="172">
        <f>IF($BE$95=I420,$BE$97,IF(I420=$BE$96,$BE$97,1))*($BE$102*AQ420)*$AZ$97</f>
        <v>0</v>
      </c>
      <c r="BF420" s="172">
        <f>IF('[1]Cockpit Retorno'!$C$65=Sim,Mestre!BA420,SUM(BB420:BE420)+(IF(K420=$K$56,AQ420*MOE_IRRF_LR,0)))</f>
        <v>0</v>
      </c>
      <c r="BG420" s="174">
        <f>IF(AA420&gt;0,0,IF(Z420=$Z$82,AG420*1,(IF(Z420=$Z$81,AG420*1,0))))</f>
        <v>0</v>
      </c>
      <c r="BH420" s="174">
        <f>IF(AA420&gt;0,0,IF(Z420=$Z$83,AG420*1,IF(Z420=$Z$81,AG420*1,0)))</f>
        <v>0</v>
      </c>
      <c r="BI420" s="174">
        <f>IF(AA420&gt;0,0,IF(Z420=$Z$84,AG420*1,IF(Z420=$Z$93,AG420*2,IF(Z420=$Z$100,AG420,IF(Z420=$Z$81,AG420*2,IF(Z420=$Z$80,AG420*1,IF(Z420=$Z$79,AG420*3,IF(Z420=$Z$78,AG420*2,0))))))))</f>
        <v>0</v>
      </c>
      <c r="BJ420" s="174">
        <f>IF(AA420&gt;0,0,IF(Z420=$Z$85,AG420,IF(Z420=$Z$93,AG420,IF(Z420=$Z$100,AG420,IF(Z420=$Z$81,AG420*1,IF(Z420=$Z$80,AG420*2,IF(Z420=$Z$79,AG420*2,IF(Z420=$Z$78,AG420*2,0))))))))</f>
        <v>0</v>
      </c>
      <c r="BK420" s="174">
        <f>IF(AA420&gt;0,0,IF(Z420=$Z$92,AG420,0))</f>
        <v>0</v>
      </c>
      <c r="BL420" s="174">
        <f>IF(AA420&gt;0,0,IF(Z420=$Z$91,AG420,0))</f>
        <v>0</v>
      </c>
      <c r="BM420" s="174">
        <f>IF(AA420&gt;0,0,IF(Z420=$Z$86,AG420,0))</f>
        <v>0</v>
      </c>
      <c r="BN420" s="174">
        <f>IF(AA420&gt;0,0,IF(Z420=$Z$87,AG420,0))</f>
        <v>0</v>
      </c>
      <c r="BO420" s="174">
        <f>IF(AA420&gt;0,0,IF(Z420=$Z$88,AG420,0))</f>
        <v>0</v>
      </c>
      <c r="BP420" s="174">
        <f>IF(AA420&gt;0,0,IF(Z420=$Z$89,AG420,0))</f>
        <v>0</v>
      </c>
      <c r="BQ420" s="174">
        <f>IF(AA420&gt;0,0,IF(Z420=$Z$90,AG420,0))</f>
        <v>0</v>
      </c>
      <c r="BR420" s="174">
        <f>IF(Z420=$Z$82,AA420*AG420,0)</f>
        <v>0</v>
      </c>
      <c r="BS420" s="174">
        <f>IF(Z420=$Z$83,AA420*AG420,0)</f>
        <v>0</v>
      </c>
      <c r="BT420" s="174">
        <f>IF(AA420&lt;1,0,IF(Z420=$Z$84,AA420*AG420,IF(Z420=$Z$93,"ERRO",IF(Z420=$Z$100,"ERRO",0))))</f>
        <v>0</v>
      </c>
      <c r="BU420" s="174">
        <f>IF(AA420&lt;1,0,IF(Z420=$Z$85,AA420*AG420,IF(Z420=$Z$93,"ERRO",IF(Z420=$Z$100,"ERRO",0))))</f>
        <v>0</v>
      </c>
      <c r="BV420" s="174">
        <f>IF(Z420=$Z$92,AA420*AG420,0)</f>
        <v>0</v>
      </c>
      <c r="BW420" s="174">
        <f>IF(Z420=$Z$91,AA420*AG420,0)</f>
        <v>0</v>
      </c>
      <c r="BX420" s="174">
        <f>IF(Z420=$Z$86,AA420*AG420,0)</f>
        <v>0</v>
      </c>
      <c r="BY420" s="174">
        <f>IF(Z420=$Z$87,AA420*AG420,0)</f>
        <v>0</v>
      </c>
      <c r="BZ420" s="174">
        <f>IF(Z420=$Z$88,AA420*AG420,0)</f>
        <v>0</v>
      </c>
      <c r="CA420" s="174">
        <f>IF(Z420=$Z$89,AA420*AG420,0)</f>
        <v>0</v>
      </c>
      <c r="CB420" s="174">
        <f>IF(Z420=$Z$90,AA420*AG420,0)</f>
        <v>0</v>
      </c>
      <c r="CC420" s="175">
        <f>IFERROR(IF(L420=$L$49,AG420*AH420*(1+AI420)*(1-AK420)*(1-AL420),0),0)</f>
        <v>0</v>
      </c>
      <c r="CD420" s="113">
        <f>IF(I420=$CD$97,1,IF(I420=$CD$100,2,IF(K420=$K$66,1,IF(K420=$K$69,1,3))))</f>
        <v>2</v>
      </c>
      <c r="CE420" s="113">
        <f t="shared" si="14"/>
        <v>1.07</v>
      </c>
      <c r="CF420" s="145">
        <f t="shared" si="96"/>
        <v>1.2788999999999999</v>
      </c>
      <c r="CG420" s="113">
        <f t="shared" si="15"/>
        <v>1.47</v>
      </c>
      <c r="CH420" s="145">
        <f t="shared" si="97"/>
        <v>1.6023000000000001</v>
      </c>
      <c r="CI420" s="113">
        <f t="shared" si="16"/>
        <v>1.7</v>
      </c>
      <c r="CJ420" s="144">
        <f t="shared" si="107"/>
        <v>1.0486</v>
      </c>
      <c r="CK420" s="144">
        <f t="shared" si="108"/>
        <v>1.1893769999999999</v>
      </c>
      <c r="CL420" s="144">
        <f t="shared" si="109"/>
        <v>1.4405999999999999</v>
      </c>
      <c r="CM420" s="144">
        <f t="shared" si="110"/>
        <v>1.5542309999999999</v>
      </c>
      <c r="CN420" s="143">
        <f t="shared" si="111"/>
        <v>1.6319999999999999</v>
      </c>
      <c r="CO420" s="145">
        <v>1.3</v>
      </c>
      <c r="CP420" s="146">
        <f t="shared" si="104"/>
        <v>0</v>
      </c>
      <c r="CQ420" s="147">
        <f t="shared" si="105"/>
        <v>0</v>
      </c>
      <c r="CR420" s="190">
        <f t="shared" si="93"/>
        <v>0</v>
      </c>
      <c r="CS420" s="49"/>
      <c r="CT420" s="49"/>
      <c r="CU420" s="49"/>
      <c r="CV420" s="49"/>
      <c r="CW420" s="49"/>
      <c r="CX420" s="49"/>
      <c r="CY420" s="49"/>
      <c r="CZ420" s="49"/>
      <c r="DA420" s="49"/>
      <c r="DB420" s="49"/>
      <c r="DC420" s="49"/>
      <c r="DD420" s="49"/>
      <c r="DE420" s="49"/>
      <c r="DF420" s="49"/>
      <c r="DG420" s="49"/>
      <c r="DH420" s="49"/>
      <c r="DI420" s="49"/>
      <c r="DJ420" s="49"/>
      <c r="DK420" s="49"/>
      <c r="DL420" s="49"/>
      <c r="DM420" s="49"/>
      <c r="DN420" s="49"/>
      <c r="DO420" s="49"/>
      <c r="DP420" s="49"/>
      <c r="DQ420" s="49"/>
      <c r="DR420" s="49"/>
      <c r="DS420" s="49"/>
      <c r="DT420" s="49"/>
      <c r="DU420" s="49"/>
      <c r="DV420" s="49"/>
      <c r="DW420" s="49"/>
      <c r="DX420" s="49"/>
      <c r="DY420" s="49"/>
      <c r="DZ420" s="49"/>
      <c r="EA420" s="49"/>
      <c r="EB420" s="49"/>
      <c r="EC420" s="49"/>
      <c r="ED420" s="49"/>
      <c r="EE420" s="49"/>
      <c r="EF420" s="49"/>
      <c r="EG420" s="49"/>
      <c r="EH420" s="49"/>
      <c r="EI420" s="49"/>
      <c r="EJ420" s="49"/>
      <c r="EK420" s="49"/>
      <c r="EL420" s="49"/>
      <c r="EM420" s="49"/>
      <c r="EN420" s="49"/>
      <c r="EO420" s="49"/>
      <c r="EP420" s="49"/>
      <c r="EQ420" s="49"/>
      <c r="ER420" s="49"/>
      <c r="ES420" s="49"/>
      <c r="ET420" s="49"/>
      <c r="EU420" s="49"/>
      <c r="EV420" s="49"/>
      <c r="EW420" s="49"/>
      <c r="EX420" s="49"/>
      <c r="EY420" s="49"/>
      <c r="EZ420" s="49"/>
      <c r="FA420" s="49"/>
    </row>
    <row r="421" spans="1:157" s="113" customFormat="1" x14ac:dyDescent="0.25">
      <c r="A421" s="113">
        <f>IF(AND('[1]Cockpit Retorno'!$E$67=Sim,Mestre!M421=Mestre!$M$98),0,1)</f>
        <v>1</v>
      </c>
      <c r="B421" s="113">
        <f>IF(AND('[1]Cockpit Retorno'!$E$67=Sim,Mestre!L421=Mestre!$L$48),0,1)</f>
        <v>0</v>
      </c>
      <c r="C421" s="113">
        <f>IF(AND('[1]Cockpit Retorno'!$E$67=Sim,Mestre!M421=Mestre!$M$97),0,1)</f>
        <v>1</v>
      </c>
      <c r="D421" s="114" t="s">
        <v>270</v>
      </c>
      <c r="E421" s="115"/>
      <c r="F421" s="116" t="s">
        <v>107</v>
      </c>
      <c r="G421" s="149"/>
      <c r="H421" s="153" t="s">
        <v>112</v>
      </c>
      <c r="I421" s="151" t="str">
        <f t="shared" si="86"/>
        <v>Despesas</v>
      </c>
      <c r="J421" s="150" t="s">
        <v>12</v>
      </c>
      <c r="K421" s="152" t="s">
        <v>112</v>
      </c>
      <c r="L421" s="153" t="s">
        <v>15</v>
      </c>
      <c r="M421" s="154"/>
      <c r="N421" s="155" t="s">
        <v>43</v>
      </c>
      <c r="O421" s="155" t="s">
        <v>43</v>
      </c>
      <c r="P421" s="155" t="s">
        <v>43</v>
      </c>
      <c r="Q421" s="155" t="s">
        <v>43</v>
      </c>
      <c r="R421" s="155" t="s">
        <v>43</v>
      </c>
      <c r="S421" s="156" t="s">
        <v>43</v>
      </c>
      <c r="T421" s="156" t="s">
        <v>43</v>
      </c>
      <c r="U421" s="150" t="s">
        <v>43</v>
      </c>
      <c r="V421" s="150" t="s">
        <v>43</v>
      </c>
      <c r="W421" s="150" t="s">
        <v>43</v>
      </c>
      <c r="X421" s="157"/>
      <c r="Y421" s="150" t="s">
        <v>43</v>
      </c>
      <c r="Z421" s="150" t="s">
        <v>43</v>
      </c>
      <c r="AA421" s="158">
        <v>0</v>
      </c>
      <c r="AB421" s="155" t="s">
        <v>43</v>
      </c>
      <c r="AC421" s="150" t="s">
        <v>43</v>
      </c>
      <c r="AD421" s="155" t="s">
        <v>43</v>
      </c>
      <c r="AE421" s="155"/>
      <c r="AF421" s="150" t="s">
        <v>43</v>
      </c>
      <c r="AG421" s="159"/>
      <c r="AH421" s="160">
        <v>0</v>
      </c>
      <c r="AI421" s="161"/>
      <c r="AJ421" s="161"/>
      <c r="AK421" s="162"/>
      <c r="AL421" s="163"/>
      <c r="AM421" s="164">
        <f>(((IF(L421=$L$101,1,IF(L421=$L$47,1,0))*(AH421*(1-AK421)))*AG421)*(1-AL421))</f>
        <v>0</v>
      </c>
      <c r="AN421" s="165">
        <f>IF(K421=$K$50,AM421,IF(K421=$K$53,AM421,IF(K421=$K$54,AM421,IF(K421=$K$55,AM421,IF(K421=$K$56,AM421,IF(K421=$K$57,AM421,IF(K421=$K$58,AM421,IF(K421=$K$65,AM421,IF(K421=$K$66,AM421,IF(K421=$K$67,AM421,IF(K421=$K$68,AM421,IF(K421=$K$69,AM421,IF(K421=$K$51,AM421,(AM421*(1+AI421)))))))))))))))</f>
        <v>0</v>
      </c>
      <c r="AO421" s="132">
        <v>1.6</v>
      </c>
      <c r="AP421" s="160">
        <f t="shared" si="87"/>
        <v>0</v>
      </c>
      <c r="AQ421" s="167">
        <f t="shared" si="106"/>
        <v>0</v>
      </c>
      <c r="AR421" s="160">
        <f t="shared" si="88"/>
        <v>0</v>
      </c>
      <c r="AS421" s="168">
        <f t="shared" si="89"/>
        <v>0</v>
      </c>
      <c r="AT421" s="169" t="str">
        <f>K421</f>
        <v>SSMA</v>
      </c>
      <c r="AU421" s="169" t="str">
        <f>I421</f>
        <v>Despesas</v>
      </c>
      <c r="AV421" s="170"/>
      <c r="AW421" s="171">
        <f>IF(K421=$K$50,0,IF(K421=$K$53,0,IF(K421=$K$54,0,IF(K421=$K$55,0,IF(K421=$K$56,0,IF(K421=$K$57,0,IF(K421=$K$58,0,IF(K421=$K$65,0,IF(K421=$K$66,0,IF(K421=$K$67,0,IF(K421=$K$68,0,IF(K421=$K$69,0,IF(K421=$K$51,0,1))))))))))))*AM421*AI421)</f>
        <v>0</v>
      </c>
      <c r="AX421" s="172">
        <f>IF(K421=$K$50,0,IF(K421=$K$53,0,IF(K421=$K$54,0,IF(K421=$K$55,0,IF(K421=$K$56,0,IF(K421=$K$57,0,IF(K421=$K$58,0,IF(K421=$K$65,0,IF(K421=$K$66,0,IF(K421=$K$67,0,IF(K421=$K$68,0,IF(K421=$K$69,0,IF(K421=$K$51,0,1))))))))))))*AM421*AJ421*$AX$94)</f>
        <v>0</v>
      </c>
      <c r="AY421" s="172">
        <f>IF(K421=$K$53,0,IF(K421=$K$54,0,IF(K421=$K$55,0,IF(K421=$K$56,0,IF(K421=$K$58,0,IF(K421=$K$50,0,IF(K421=$K$65,0,IF(K421=$K$57,0,IF(K421=$K$51,0,AM421*$AY$102)))))))))</f>
        <v>0</v>
      </c>
      <c r="AZ421" s="172">
        <f>IF(K421=$K$53,0,IF(K421=$K$54,0,IF(K421=$K$55,0,IF(K421=$K$56,0,IF(K421=$K$58,0,IF(K421=$K$50,0,IF(K421=$K$65,0,IF(K421=$K$57,0,IF(K421=$K$51,0,AM421*$AZ$102)))))))))</f>
        <v>0</v>
      </c>
      <c r="BA421" s="172">
        <f t="shared" si="90"/>
        <v>0</v>
      </c>
      <c r="BB421" s="173">
        <f>IF($BA$97=1,AQ421*$BB$102,IF(K421=$K$50,0,IF(K421=$K$53,0,IF(K421=$K$54,0,IF(K421=$K$55,0,IF(K421=$K$56,0,IF(K421=$K$57,0,IF(K421=$K$58,0,IF(K421=$K$65,0,IF(K421=$K$66,0,IF(K421=$K$67,0,IF(K421=$K$68,0,IF(K421=$K$69,0,IF(K421=$K$51,0,1)))))))))))*AQ421*$BB$102)))</f>
        <v>0</v>
      </c>
      <c r="BC421" s="172">
        <f t="shared" si="91"/>
        <v>0</v>
      </c>
      <c r="BD421" s="172">
        <f t="shared" si="92"/>
        <v>0</v>
      </c>
      <c r="BE421" s="172">
        <f>IF($BE$95=I421,$BE$97,IF(I421=$BE$96,$BE$97,1))*($BE$102*AQ421)*$AZ$97</f>
        <v>0</v>
      </c>
      <c r="BF421" s="172">
        <f>IF('[1]Cockpit Retorno'!$C$65=Sim,Mestre!BA421,SUM(BB421:BE421)+(IF(K421=$K$56,AQ421*MOE_IRRF_LR,0)))</f>
        <v>0</v>
      </c>
      <c r="BG421" s="174">
        <f>IF(AA421&gt;0,0,IF(Z421=$Z$82,AG421*1,(IF(Z421=$Z$81,AG421*1,0))))</f>
        <v>0</v>
      </c>
      <c r="BH421" s="174">
        <f>IF(AA421&gt;0,0,IF(Z421=$Z$83,AG421*1,IF(Z421=$Z$81,AG421*1,0)))</f>
        <v>0</v>
      </c>
      <c r="BI421" s="174">
        <f>IF(AA421&gt;0,0,IF(Z421=$Z$84,AG421*1,IF(Z421=$Z$93,AG421*2,IF(Z421=$Z$100,AG421,IF(Z421=$Z$81,AG421*2,IF(Z421=$Z$80,AG421*1,IF(Z421=$Z$79,AG421*3,IF(Z421=$Z$78,AG421*2,0))))))))</f>
        <v>0</v>
      </c>
      <c r="BJ421" s="174">
        <f>IF(AA421&gt;0,0,IF(Z421=$Z$85,AG421,IF(Z421=$Z$93,AG421,IF(Z421=$Z$100,AG421,IF(Z421=$Z$81,AG421*1,IF(Z421=$Z$80,AG421*2,IF(Z421=$Z$79,AG421*2,IF(Z421=$Z$78,AG421*2,0))))))))</f>
        <v>0</v>
      </c>
      <c r="BK421" s="174">
        <f>IF(AA421&gt;0,0,IF(Z421=$Z$92,AG421,0))</f>
        <v>0</v>
      </c>
      <c r="BL421" s="174">
        <f>IF(AA421&gt;0,0,IF(Z421=$Z$91,AG421,0))</f>
        <v>0</v>
      </c>
      <c r="BM421" s="174">
        <f>IF(AA421&gt;0,0,IF(Z421=$Z$86,AG421,0))</f>
        <v>0</v>
      </c>
      <c r="BN421" s="174">
        <f>IF(AA421&gt;0,0,IF(Z421=$Z$87,AG421,0))</f>
        <v>0</v>
      </c>
      <c r="BO421" s="174">
        <f>IF(AA421&gt;0,0,IF(Z421=$Z$88,AG421,0))</f>
        <v>0</v>
      </c>
      <c r="BP421" s="174">
        <f>IF(AA421&gt;0,0,IF(Z421=$Z$89,AG421,0))</f>
        <v>0</v>
      </c>
      <c r="BQ421" s="174">
        <f>IF(AA421&gt;0,0,IF(Z421=$Z$90,AG421,0))</f>
        <v>0</v>
      </c>
      <c r="BR421" s="174">
        <f>IF(Z421=$Z$82,AA421*AG421,0)</f>
        <v>0</v>
      </c>
      <c r="BS421" s="174">
        <f>IF(Z421=$Z$83,AA421*AG421,0)</f>
        <v>0</v>
      </c>
      <c r="BT421" s="174">
        <f>IF(AA421&lt;1,0,IF(Z421=$Z$84,AA421*AG421,IF(Z421=$Z$93,"ERRO",IF(Z421=$Z$100,"ERRO",0))))</f>
        <v>0</v>
      </c>
      <c r="BU421" s="174">
        <f>IF(AA421&lt;1,0,IF(Z421=$Z$85,AA421*AG421,IF(Z421=$Z$93,"ERRO",IF(Z421=$Z$100,"ERRO",0))))</f>
        <v>0</v>
      </c>
      <c r="BV421" s="174">
        <f>IF(Z421=$Z$92,AA421*AG421,0)</f>
        <v>0</v>
      </c>
      <c r="BW421" s="174">
        <f>IF(Z421=$Z$91,AA421*AG421,0)</f>
        <v>0</v>
      </c>
      <c r="BX421" s="174">
        <f>IF(Z421=$Z$86,AA421*AG421,0)</f>
        <v>0</v>
      </c>
      <c r="BY421" s="174">
        <f>IF(Z421=$Z$87,AA421*AG421,0)</f>
        <v>0</v>
      </c>
      <c r="BZ421" s="174">
        <f>IF(Z421=$Z$88,AA421*AG421,0)</f>
        <v>0</v>
      </c>
      <c r="CA421" s="174">
        <f>IF(Z421=$Z$89,AA421*AG421,0)</f>
        <v>0</v>
      </c>
      <c r="CB421" s="174">
        <f>IF(Z421=$Z$90,AA421*AG421,0)</f>
        <v>0</v>
      </c>
      <c r="CC421" s="175">
        <f>IFERROR(IF(L421=$L$49,AG421*AH421*(1+AI421)*(1-AK421)*(1-AL421),0),0)</f>
        <v>0</v>
      </c>
      <c r="CD421" s="194">
        <f>IF(I421=$CD$97,1,IF(I421=$CD$100,2,IF(K421=$K$66,1,IF(K421=$K$69,1,3))))</f>
        <v>2</v>
      </c>
      <c r="CE421" s="194">
        <f t="shared" si="14"/>
        <v>1.07</v>
      </c>
      <c r="CF421" s="195">
        <f t="shared" si="96"/>
        <v>1.2788999999999999</v>
      </c>
      <c r="CG421" s="194">
        <f t="shared" si="15"/>
        <v>1.47</v>
      </c>
      <c r="CH421" s="195">
        <f t="shared" si="97"/>
        <v>1.6023000000000001</v>
      </c>
      <c r="CI421" s="194">
        <f t="shared" si="16"/>
        <v>1.7</v>
      </c>
      <c r="CJ421" s="196">
        <f t="shared" si="107"/>
        <v>1.0486</v>
      </c>
      <c r="CK421" s="196">
        <f t="shared" si="108"/>
        <v>1.1893769999999999</v>
      </c>
      <c r="CL421" s="196">
        <f t="shared" si="109"/>
        <v>1.4405999999999999</v>
      </c>
      <c r="CM421" s="196">
        <f t="shared" si="110"/>
        <v>1.5542309999999999</v>
      </c>
      <c r="CN421" s="197">
        <f t="shared" si="111"/>
        <v>1.6319999999999999</v>
      </c>
      <c r="CO421" s="195">
        <f>CJ421*$CO$102</f>
        <v>1.006656</v>
      </c>
      <c r="CP421" s="198">
        <f t="shared" si="104"/>
        <v>0</v>
      </c>
      <c r="CQ421" s="199">
        <f t="shared" si="105"/>
        <v>0</v>
      </c>
      <c r="CR421" s="200">
        <f t="shared" si="93"/>
        <v>0</v>
      </c>
      <c r="CS421" s="49"/>
      <c r="CT421" s="49"/>
      <c r="CU421" s="49"/>
      <c r="CV421" s="49"/>
      <c r="CW421" s="49"/>
      <c r="CX421" s="49"/>
      <c r="CY421" s="49"/>
      <c r="CZ421" s="49"/>
      <c r="DA421" s="49"/>
      <c r="DB421" s="49"/>
      <c r="DC421" s="49"/>
      <c r="DD421" s="49"/>
      <c r="DE421" s="49"/>
      <c r="DF421" s="49"/>
      <c r="DG421" s="49"/>
      <c r="DH421" s="49"/>
      <c r="DI421" s="49"/>
      <c r="DJ421" s="49"/>
      <c r="DK421" s="49"/>
      <c r="DL421" s="49"/>
      <c r="DM421" s="49"/>
      <c r="DN421" s="49"/>
      <c r="DO421" s="49"/>
      <c r="DP421" s="49"/>
      <c r="DQ421" s="49"/>
      <c r="DR421" s="49"/>
      <c r="DS421" s="49"/>
      <c r="DT421" s="49"/>
      <c r="DU421" s="49"/>
      <c r="DV421" s="49"/>
      <c r="DW421" s="49"/>
      <c r="DX421" s="49"/>
      <c r="DY421" s="49"/>
      <c r="DZ421" s="49"/>
      <c r="EA421" s="49"/>
      <c r="EB421" s="49"/>
      <c r="EC421" s="49"/>
      <c r="ED421" s="49"/>
      <c r="EE421" s="49"/>
      <c r="EF421" s="49"/>
      <c r="EG421" s="49"/>
      <c r="EH421" s="49"/>
      <c r="EI421" s="49"/>
      <c r="EJ421" s="49"/>
      <c r="EK421" s="49"/>
      <c r="EL421" s="49"/>
      <c r="EM421" s="49"/>
      <c r="EN421" s="49"/>
      <c r="EO421" s="49"/>
      <c r="EP421" s="49"/>
      <c r="EQ421" s="49"/>
      <c r="ER421" s="49"/>
      <c r="ES421" s="49"/>
      <c r="ET421" s="49"/>
      <c r="EU421" s="49"/>
      <c r="EV421" s="49"/>
      <c r="EW421" s="49"/>
      <c r="EX421" s="49"/>
      <c r="EY421" s="49"/>
      <c r="EZ421" s="49"/>
      <c r="FA421" s="49"/>
    </row>
    <row r="422" spans="1:157" s="113" customFormat="1" x14ac:dyDescent="0.25">
      <c r="A422" s="113">
        <f>IF(AND('[1]Cockpit Retorno'!$E$67=Sim,Mestre!M422=Mestre!$M$98),0,1)</f>
        <v>1</v>
      </c>
      <c r="B422" s="113">
        <f>IF(AND('[1]Cockpit Retorno'!$E$67=Sim,Mestre!L422=Mestre!$L$48),0,1)</f>
        <v>0</v>
      </c>
      <c r="C422" s="113">
        <f>IF(AND('[1]Cockpit Retorno'!$E$67=Sim,Mestre!M422=Mestre!$M$97),0,1)</f>
        <v>1</v>
      </c>
      <c r="D422" s="114" t="s">
        <v>259</v>
      </c>
      <c r="E422" s="115"/>
      <c r="F422" s="116" t="s">
        <v>107</v>
      </c>
      <c r="G422" s="149"/>
      <c r="H422" s="153" t="s">
        <v>116</v>
      </c>
      <c r="I422" s="151" t="str">
        <f t="shared" si="86"/>
        <v>Despesas</v>
      </c>
      <c r="J422" s="150" t="s">
        <v>12</v>
      </c>
      <c r="K422" s="152" t="s">
        <v>116</v>
      </c>
      <c r="L422" s="153" t="s">
        <v>15</v>
      </c>
      <c r="M422" s="154"/>
      <c r="N422" s="155" t="s">
        <v>43</v>
      </c>
      <c r="O422" s="155" t="s">
        <v>43</v>
      </c>
      <c r="P422" s="155" t="s">
        <v>43</v>
      </c>
      <c r="Q422" s="155" t="s">
        <v>43</v>
      </c>
      <c r="R422" s="155" t="s">
        <v>43</v>
      </c>
      <c r="S422" s="156" t="s">
        <v>43</v>
      </c>
      <c r="T422" s="156" t="s">
        <v>43</v>
      </c>
      <c r="U422" s="150" t="s">
        <v>43</v>
      </c>
      <c r="V422" s="150" t="s">
        <v>43</v>
      </c>
      <c r="W422" s="150" t="s">
        <v>43</v>
      </c>
      <c r="X422" s="157"/>
      <c r="Y422" s="150" t="s">
        <v>43</v>
      </c>
      <c r="Z422" s="150" t="s">
        <v>43</v>
      </c>
      <c r="AA422" s="158">
        <v>0</v>
      </c>
      <c r="AB422" s="155" t="s">
        <v>43</v>
      </c>
      <c r="AC422" s="150" t="s">
        <v>43</v>
      </c>
      <c r="AD422" s="155" t="s">
        <v>43</v>
      </c>
      <c r="AE422" s="155"/>
      <c r="AF422" s="150" t="s">
        <v>43</v>
      </c>
      <c r="AG422" s="159"/>
      <c r="AH422" s="159">
        <v>0</v>
      </c>
      <c r="AI422" s="161"/>
      <c r="AJ422" s="161"/>
      <c r="AK422" s="162"/>
      <c r="AL422" s="163"/>
      <c r="AM422" s="164">
        <f>(((IF(L422=$L$101,1,IF(L422=$L$47,1,0))*(AH422*(1-AK422)))*AG422)*(1-AL422))</f>
        <v>0</v>
      </c>
      <c r="AN422" s="191">
        <f>IF(K422=$K$50,AM422,IF(K422=$K$53,AM422,IF(K422=$K$54,AM422,IF(K422=$K$55,AM422,IF(K422=$K$56,AM422,IF(K422=$K$57,AM422,IF(K422=$K$58,AM422,IF(K422=$K$65,AM422,IF(K422=$K$66,AM422,IF(K422=$K$67,AM422,IF(K422=$K$68,AM422,IF(K422=$K$69,AM422,IF(K422=$K$51,AM422,(AM422*(1+AI422)))))))))))))))</f>
        <v>0</v>
      </c>
      <c r="AO422" s="132">
        <v>1.6</v>
      </c>
      <c r="AP422" s="160">
        <f t="shared" si="87"/>
        <v>0</v>
      </c>
      <c r="AQ422" s="167">
        <f t="shared" si="106"/>
        <v>0</v>
      </c>
      <c r="AR422" s="160">
        <f t="shared" si="88"/>
        <v>0</v>
      </c>
      <c r="AS422" s="168">
        <f t="shared" si="89"/>
        <v>0</v>
      </c>
      <c r="AT422" s="169" t="str">
        <f>K422</f>
        <v>TRS</v>
      </c>
      <c r="AU422" s="169" t="str">
        <f>I422</f>
        <v>Despesas</v>
      </c>
      <c r="AV422" s="170"/>
      <c r="AW422" s="171">
        <f>IF(K422=$K$50,0,IF(K422=$K$53,0,IF(K422=$K$54,0,IF(K422=$K$55,0,IF(K422=$K$56,0,IF(K422=$K$57,0,IF(K422=$K$58,0,IF(K422=$K$65,0,IF(K422=$K$66,0,IF(K422=$K$67,0,IF(K422=$K$68,0,IF(K422=$K$69,0,IF(K422=$K$51,0,1))))))))))))*AM422*AI422)</f>
        <v>0</v>
      </c>
      <c r="AX422" s="172">
        <f>IF(K422=$K$50,0,IF(K422=$K$53,0,IF(K422=$K$54,0,IF(K422=$K$55,0,IF(K422=$K$56,0,IF(K422=$K$57,0,IF(K422=$K$58,0,IF(K422=$K$65,0,IF(K422=$K$66,0,IF(K422=$K$67,0,IF(K422=$K$68,0,IF(K422=$K$69,0,IF(K422=$K$51,0,1))))))))))))*AM422*AJ422*$AX$94)</f>
        <v>0</v>
      </c>
      <c r="AY422" s="172">
        <f>IF(K422=$K$53,0,IF(K422=$K$54,0,IF(K422=$K$55,0,IF(K422=$K$56,0,IF(K422=$K$58,0,IF(K422=$K$50,0,IF(K422=$K$65,0,IF(K422=$K$57,0,IF(K422=$K$51,0,AM422*$AY$102)))))))))</f>
        <v>0</v>
      </c>
      <c r="AZ422" s="172">
        <f>IF(K422=$K$53,0,IF(K422=$K$54,0,IF(K422=$K$55,0,IF(K422=$K$56,0,IF(K422=$K$58,0,IF(K422=$K$50,0,IF(K422=$K$65,0,IF(K422=$K$57,0,IF(K422=$K$51,0,AM422*$AZ$102)))))))))</f>
        <v>0</v>
      </c>
      <c r="BA422" s="172">
        <f t="shared" si="90"/>
        <v>0</v>
      </c>
      <c r="BB422" s="173">
        <f>IF($BA$97=1,AQ422*$BB$102,IF(K422=$K$50,0,IF(K422=$K$53,0,IF(K422=$K$54,0,IF(K422=$K$55,0,IF(K422=$K$56,0,IF(K422=$K$57,0,IF(K422=$K$58,0,IF(K422=$K$65,0,IF(K422=$K$66,0,IF(K422=$K$67,0,IF(K422=$K$68,0,IF(K422=$K$69,0,IF(K422=$K$51,0,1)))))))))))*AQ422*$BB$102)))</f>
        <v>0</v>
      </c>
      <c r="BC422" s="172">
        <f t="shared" si="91"/>
        <v>0</v>
      </c>
      <c r="BD422" s="172">
        <f t="shared" si="92"/>
        <v>0</v>
      </c>
      <c r="BE422" s="172">
        <f>IF($BE$95=I422,$BE$97,IF(I422=$BE$96,$BE$97,1))*($BE$102*AQ422)*$AZ$97</f>
        <v>0</v>
      </c>
      <c r="BF422" s="172">
        <f>IF('[1]Cockpit Retorno'!$C$65=Sim,Mestre!BA422,SUM(BB422:BE422)+(IF(K422=$K$56,AQ422*MOE_IRRF_LR,0)))</f>
        <v>0</v>
      </c>
      <c r="BG422" s="174">
        <f>IF(AA422&gt;0,0,IF(Z422=$Z$82,AG422*1,(IF(Z422=$Z$81,AG422*1,0))))</f>
        <v>0</v>
      </c>
      <c r="BH422" s="174">
        <f>IF(AA422&gt;0,0,IF(Z422=$Z$83,AG422*1,IF(Z422=$Z$81,AG422*1,0)))</f>
        <v>0</v>
      </c>
      <c r="BI422" s="174">
        <f>IF(AA422&gt;0,0,IF(Z422=$Z$84,AG422*1,IF(Z422=$Z$93,AG422*2,IF(Z422=$Z$100,AG422,IF(Z422=$Z$81,AG422*2,IF(Z422=$Z$80,AG422*1,IF(Z422=$Z$79,AG422*3,IF(Z422=$Z$78,AG422*2,0))))))))</f>
        <v>0</v>
      </c>
      <c r="BJ422" s="174">
        <f>IF(AA422&gt;0,0,IF(Z422=$Z$85,AG422,IF(Z422=$Z$93,AG422,IF(Z422=$Z$100,AG422,IF(Z422=$Z$81,AG422*1,IF(Z422=$Z$80,AG422*2,IF(Z422=$Z$79,AG422*2,IF(Z422=$Z$78,AG422*2,0))))))))</f>
        <v>0</v>
      </c>
      <c r="BK422" s="174">
        <f>IF(AA422&gt;0,0,IF(Z422=$Z$92,AG422,0))</f>
        <v>0</v>
      </c>
      <c r="BL422" s="174">
        <f>IF(AA422&gt;0,0,IF(Z422=$Z$91,AG422,0))</f>
        <v>0</v>
      </c>
      <c r="BM422" s="174">
        <f>IF(AA422&gt;0,0,IF(Z422=$Z$86,AG422,0))</f>
        <v>0</v>
      </c>
      <c r="BN422" s="174">
        <f>IF(AA422&gt;0,0,IF(Z422=$Z$87,AG422,0))</f>
        <v>0</v>
      </c>
      <c r="BO422" s="174">
        <f>IF(AA422&gt;0,0,IF(Z422=$Z$88,AG422,0))</f>
        <v>0</v>
      </c>
      <c r="BP422" s="174">
        <f>IF(AA422&gt;0,0,IF(Z422=$Z$89,AG422,0))</f>
        <v>0</v>
      </c>
      <c r="BQ422" s="174">
        <f>IF(AA422&gt;0,0,IF(Z422=$Z$90,AG422,0))</f>
        <v>0</v>
      </c>
      <c r="BR422" s="174">
        <f>IF(Z422=$Z$82,AA422*AG422,0)</f>
        <v>0</v>
      </c>
      <c r="BS422" s="174">
        <f>IF(Z422=$Z$83,AA422*AG422,0)</f>
        <v>0</v>
      </c>
      <c r="BT422" s="174">
        <f>IF(AA422&lt;1,0,IF(Z422=$Z$84,AA422*AG422,IF(Z422=$Z$93,"ERRO",IF(Z422=$Z$100,"ERRO",0))))</f>
        <v>0</v>
      </c>
      <c r="BU422" s="174">
        <f>IF(AA422&lt;1,0,IF(Z422=$Z$85,AA422*AG422,IF(Z422=$Z$93,"ERRO",IF(Z422=$Z$100,"ERRO",0))))</f>
        <v>0</v>
      </c>
      <c r="BV422" s="174">
        <f>IF(Z422=$Z$92,AA422*AG422,0)</f>
        <v>0</v>
      </c>
      <c r="BW422" s="174">
        <f>IF(Z422=$Z$91,AA422*AG422,0)</f>
        <v>0</v>
      </c>
      <c r="BX422" s="174">
        <f>IF(Z422=$Z$86,AA422*AG422,0)</f>
        <v>0</v>
      </c>
      <c r="BY422" s="174">
        <f>IF(Z422=$Z$87,AA422*AG422,0)</f>
        <v>0</v>
      </c>
      <c r="BZ422" s="174">
        <f>IF(Z422=$Z$88,AA422*AG422,0)</f>
        <v>0</v>
      </c>
      <c r="CA422" s="174">
        <f>IF(Z422=$Z$89,AA422*AG422,0)</f>
        <v>0</v>
      </c>
      <c r="CB422" s="174">
        <f>IF(Z422=$Z$90,AA422*AG422,0)</f>
        <v>0</v>
      </c>
      <c r="CC422" s="175">
        <f>IFERROR(IF(L422=$L$49,AG422*AH422*(1+AI422)*(1-AK422)*(1-AL422),0),0)</f>
        <v>0</v>
      </c>
      <c r="CD422" s="194">
        <f>IF(I422=$CD$97,1,IF(I422=$CD$100,2,IF(K422=$K$66,1,IF(K422=$K$69,1,3))))</f>
        <v>2</v>
      </c>
      <c r="CE422" s="194">
        <f t="shared" si="14"/>
        <v>1.07</v>
      </c>
      <c r="CF422" s="195">
        <f t="shared" si="96"/>
        <v>1.2788999999999999</v>
      </c>
      <c r="CG422" s="194">
        <f t="shared" si="15"/>
        <v>1.47</v>
      </c>
      <c r="CH422" s="195">
        <f t="shared" si="97"/>
        <v>1.6023000000000001</v>
      </c>
      <c r="CI422" s="194">
        <f t="shared" si="16"/>
        <v>1.7</v>
      </c>
      <c r="CJ422" s="196">
        <f t="shared" si="107"/>
        <v>1.0486</v>
      </c>
      <c r="CK422" s="196">
        <f t="shared" si="108"/>
        <v>1.1893769999999999</v>
      </c>
      <c r="CL422" s="196">
        <f t="shared" si="109"/>
        <v>1.4405999999999999</v>
      </c>
      <c r="CM422" s="196">
        <f t="shared" si="110"/>
        <v>1.5542309999999999</v>
      </c>
      <c r="CN422" s="197">
        <f t="shared" si="111"/>
        <v>1.6319999999999999</v>
      </c>
      <c r="CO422" s="195">
        <f>CJ422*$CO$102</f>
        <v>1.006656</v>
      </c>
      <c r="CP422" s="198">
        <f t="shared" si="104"/>
        <v>0</v>
      </c>
      <c r="CQ422" s="199">
        <f t="shared" si="105"/>
        <v>0</v>
      </c>
      <c r="CR422" s="200">
        <f t="shared" si="93"/>
        <v>0</v>
      </c>
      <c r="CS422" s="49"/>
      <c r="CT422" s="49"/>
      <c r="CU422" s="49"/>
      <c r="CV422" s="49"/>
      <c r="CW422" s="49"/>
      <c r="CX422" s="49"/>
      <c r="CY422" s="49"/>
      <c r="CZ422" s="49"/>
      <c r="DA422" s="49"/>
      <c r="DB422" s="49"/>
      <c r="DC422" s="49"/>
      <c r="DD422" s="49"/>
      <c r="DE422" s="49"/>
      <c r="DF422" s="49"/>
      <c r="DG422" s="49"/>
      <c r="DH422" s="49"/>
      <c r="DI422" s="49"/>
      <c r="DJ422" s="49"/>
      <c r="DK422" s="49"/>
      <c r="DL422" s="49"/>
      <c r="DM422" s="49"/>
      <c r="DN422" s="49"/>
      <c r="DO422" s="49"/>
      <c r="DP422" s="49"/>
      <c r="DQ422" s="49"/>
      <c r="DR422" s="49"/>
      <c r="DS422" s="49"/>
      <c r="DT422" s="49"/>
      <c r="DU422" s="49"/>
      <c r="DV422" s="49"/>
      <c r="DW422" s="49"/>
      <c r="DX422" s="49"/>
      <c r="DY422" s="49"/>
      <c r="DZ422" s="49"/>
      <c r="EA422" s="49"/>
      <c r="EB422" s="49"/>
      <c r="EC422" s="49"/>
      <c r="ED422" s="49"/>
      <c r="EE422" s="49"/>
      <c r="EF422" s="49"/>
      <c r="EG422" s="49"/>
      <c r="EH422" s="49"/>
      <c r="EI422" s="49"/>
      <c r="EJ422" s="49"/>
      <c r="EK422" s="49"/>
      <c r="EL422" s="49"/>
      <c r="EM422" s="49"/>
      <c r="EN422" s="49"/>
      <c r="EO422" s="49"/>
      <c r="EP422" s="49"/>
      <c r="EQ422" s="49"/>
      <c r="ER422" s="49"/>
      <c r="ES422" s="49"/>
      <c r="ET422" s="49"/>
      <c r="EU422" s="49"/>
      <c r="EV422" s="49"/>
      <c r="EW422" s="49"/>
      <c r="EX422" s="49"/>
      <c r="EY422" s="49"/>
      <c r="EZ422" s="49"/>
      <c r="FA422" s="49"/>
    </row>
    <row r="423" spans="1:157" s="182" customFormat="1" x14ac:dyDescent="0.25">
      <c r="A423" s="113">
        <f>IF(AND('[1]Cockpit Retorno'!$E$67=Sim,Mestre!M423=Mestre!$M$98),0,1)</f>
        <v>1</v>
      </c>
      <c r="B423" s="113">
        <f>IF(AND('[1]Cockpit Retorno'!$E$67=Sim,Mestre!L423=Mestre!$L$48),0,1)</f>
        <v>0</v>
      </c>
      <c r="C423" s="113">
        <f>IF(AND('[1]Cockpit Retorno'!$E$67=Sim,Mestre!M423=Mestre!$M$97),0,1)</f>
        <v>1</v>
      </c>
      <c r="D423" s="148" t="s">
        <v>260</v>
      </c>
      <c r="E423" s="115"/>
      <c r="F423" s="116" t="s">
        <v>107</v>
      </c>
      <c r="G423" s="149"/>
      <c r="H423" s="150" t="s">
        <v>45</v>
      </c>
      <c r="I423" s="151" t="str">
        <f t="shared" si="86"/>
        <v>Serviços</v>
      </c>
      <c r="J423" s="150" t="s">
        <v>12</v>
      </c>
      <c r="K423" s="152" t="s">
        <v>45</v>
      </c>
      <c r="L423" s="153" t="s">
        <v>15</v>
      </c>
      <c r="M423" s="154"/>
      <c r="N423" s="155" t="s">
        <v>43</v>
      </c>
      <c r="O423" s="155" t="s">
        <v>43</v>
      </c>
      <c r="P423" s="155" t="s">
        <v>43</v>
      </c>
      <c r="Q423" s="155" t="s">
        <v>43</v>
      </c>
      <c r="R423" s="155" t="s">
        <v>43</v>
      </c>
      <c r="S423" s="156" t="s">
        <v>43</v>
      </c>
      <c r="T423" s="156" t="s">
        <v>43</v>
      </c>
      <c r="U423" s="150" t="s">
        <v>43</v>
      </c>
      <c r="V423" s="150" t="s">
        <v>43</v>
      </c>
      <c r="W423" s="150" t="s">
        <v>43</v>
      </c>
      <c r="X423" s="157"/>
      <c r="Y423" s="150" t="s">
        <v>43</v>
      </c>
      <c r="Z423" s="150" t="s">
        <v>43</v>
      </c>
      <c r="AA423" s="158">
        <v>0</v>
      </c>
      <c r="AB423" s="155" t="s">
        <v>43</v>
      </c>
      <c r="AC423" s="150" t="s">
        <v>43</v>
      </c>
      <c r="AD423" s="155" t="s">
        <v>43</v>
      </c>
      <c r="AE423" s="155"/>
      <c r="AF423" s="150" t="s">
        <v>43</v>
      </c>
      <c r="AG423" s="159"/>
      <c r="AH423" s="159">
        <v>0</v>
      </c>
      <c r="AI423" s="161"/>
      <c r="AJ423" s="161"/>
      <c r="AK423" s="162"/>
      <c r="AL423" s="163"/>
      <c r="AM423" s="164">
        <f>(((IF(L423=$L$101,1,IF(L423=$L$47,1,0))*(AH423*(1-AK423)))*AG423)*(1-AL423))</f>
        <v>0</v>
      </c>
      <c r="AN423" s="165">
        <f>IF(K423=$K$50,AM423,IF(K423=$K$53,AM423,IF(K423=$K$54,AM423,IF(K423=$K$55,AM423,IF(K423=$K$56,AM423,IF(K423=$K$57,AM423,IF(K423=$K$58,AM423,IF(K423=$K$65,AM423,IF(K423=$K$66,AM423,IF(K423=$K$67,AM423,IF(K423=$K$68,AM423,IF(K423=$K$69,AM423,IF(K423=$K$51,AM423,(AM423*(1+AI423)))))))))))))))</f>
        <v>0</v>
      </c>
      <c r="AO423" s="166">
        <v>1.9</v>
      </c>
      <c r="AP423" s="160">
        <f t="shared" si="87"/>
        <v>0</v>
      </c>
      <c r="AQ423" s="167">
        <f t="shared" si="106"/>
        <v>0</v>
      </c>
      <c r="AR423" s="160">
        <f t="shared" si="88"/>
        <v>0</v>
      </c>
      <c r="AS423" s="168">
        <f t="shared" si="89"/>
        <v>0</v>
      </c>
      <c r="AT423" s="169" t="str">
        <f>K423</f>
        <v>MOA</v>
      </c>
      <c r="AU423" s="169" t="str">
        <f>I423</f>
        <v>Serviços</v>
      </c>
      <c r="AV423" s="170"/>
      <c r="AW423" s="171">
        <f>IF(K423=$K$50,0,IF(K423=$K$53,0,IF(K423=$K$54,0,IF(K423=$K$55,0,IF(K423=$K$56,0,IF(K423=$K$57,0,IF(K423=$K$58,0,IF(K423=$K$65,0,IF(K423=$K$66,0,IF(K423=$K$67,0,IF(K423=$K$68,0,IF(K423=$K$69,0,IF(K423=$K$51,0,1))))))))))))*AM423*AI423)</f>
        <v>0</v>
      </c>
      <c r="AX423" s="172">
        <f>IF(K423=$K$50,0,IF(K423=$K$53,0,IF(K423=$K$54,0,IF(K423=$K$55,0,IF(K423=$K$56,0,IF(K423=$K$57,0,IF(K423=$K$58,0,IF(K423=$K$65,0,IF(K423=$K$66,0,IF(K423=$K$67,0,IF(K423=$K$68,0,IF(K423=$K$69,0,IF(K423=$K$51,0,1))))))))))))*AM423*AJ423*$AX$94)</f>
        <v>0</v>
      </c>
      <c r="AY423" s="172">
        <f>IF(K423=$K$53,0,IF(K423=$K$54,0,IF(K423=$K$55,0,IF(K423=$K$56,0,IF(K423=$K$58,0,IF(K423=$K$50,0,IF(K423=$K$65,0,IF(K423=$K$57,0,IF(K423=$K$51,0,AM423*$AY$102)))))))))</f>
        <v>0</v>
      </c>
      <c r="AZ423" s="172">
        <f>IF(K423=$K$53,0,IF(K423=$K$54,0,IF(K423=$K$55,0,IF(K423=$K$56,0,IF(K423=$K$58,0,IF(K423=$K$50,0,IF(K423=$K$65,0,IF(K423=$K$57,0,IF(K423=$K$51,0,AM423*$AZ$102)))))))))</f>
        <v>0</v>
      </c>
      <c r="BA423" s="172">
        <f t="shared" si="90"/>
        <v>0</v>
      </c>
      <c r="BB423" s="173">
        <f>IF($BA$97=1,AQ423*$BB$102,IF(K423=$K$50,0,IF(K423=$K$53,0,IF(K423=$K$54,0,IF(K423=$K$55,0,IF(K423=$K$56,0,IF(K423=$K$57,0,IF(K423=$K$58,0,IF(K423=$K$65,0,IF(K423=$K$66,0,IF(K423=$K$67,0,IF(K423=$K$68,0,IF(K423=$K$69,0,IF(K423=$K$51,0,1)))))))))))*AQ423*$BB$102)))</f>
        <v>0</v>
      </c>
      <c r="BC423" s="172">
        <f t="shared" si="91"/>
        <v>0</v>
      </c>
      <c r="BD423" s="172">
        <f t="shared" si="92"/>
        <v>0</v>
      </c>
      <c r="BE423" s="172">
        <f>IF($BE$95=I423,$BE$97,IF(I423=$BE$96,$BE$97,1))*($BE$102*AQ423)*$AZ$97</f>
        <v>0</v>
      </c>
      <c r="BF423" s="172">
        <f>IF('[1]Cockpit Retorno'!$C$65=Sim,Mestre!BA423,SUM(BB423:BE423)+(IF(K423=$K$56,AQ423*MOE_IRRF_LR,0)))</f>
        <v>0</v>
      </c>
      <c r="BG423" s="174">
        <f>IF(AA423&gt;0,0,IF(Z423=$Z$82,AG423*1,(IF(Z423=$Z$81,AG423*1,0))))</f>
        <v>0</v>
      </c>
      <c r="BH423" s="174">
        <f>IF(AA423&gt;0,0,IF(Z423=$Z$83,AG423*1,IF(Z423=$Z$81,AG423*1,0)))</f>
        <v>0</v>
      </c>
      <c r="BI423" s="174">
        <f>IF(AA423&gt;0,0,IF(Z423=$Z$84,AG423*1,IF(Z423=$Z$93,AG423*2,IF(Z423=$Z$100,AG423,IF(Z423=$Z$81,AG423*2,IF(Z423=$Z$80,AG423*1,IF(Z423=$Z$79,AG423*3,IF(Z423=$Z$78,AG423*2,0))))))))</f>
        <v>0</v>
      </c>
      <c r="BJ423" s="174">
        <f>IF(AA423&gt;0,0,IF(Z423=$Z$85,AG423,IF(Z423=$Z$93,AG423,IF(Z423=$Z$100,AG423,IF(Z423=$Z$81,AG423*1,IF(Z423=$Z$80,AG423*2,IF(Z423=$Z$79,AG423*2,IF(Z423=$Z$78,AG423*2,0))))))))</f>
        <v>0</v>
      </c>
      <c r="BK423" s="174">
        <f>IF(AA423&gt;0,0,IF(Z423=$Z$92,AG423,0))</f>
        <v>0</v>
      </c>
      <c r="BL423" s="174">
        <f>IF(AA423&gt;0,0,IF(Z423=$Z$91,AG423,0))</f>
        <v>0</v>
      </c>
      <c r="BM423" s="174">
        <f>IF(AA423&gt;0,0,IF(Z423=$Z$86,AG423,0))</f>
        <v>0</v>
      </c>
      <c r="BN423" s="174">
        <f>IF(AA423&gt;0,0,IF(Z423=$Z$87,AG423,0))</f>
        <v>0</v>
      </c>
      <c r="BO423" s="174">
        <f>IF(AA423&gt;0,0,IF(Z423=$Z$88,AG423,0))</f>
        <v>0</v>
      </c>
      <c r="BP423" s="174">
        <f>IF(AA423&gt;0,0,IF(Z423=$Z$89,AG423,0))</f>
        <v>0</v>
      </c>
      <c r="BQ423" s="174">
        <f>IF(AA423&gt;0,0,IF(Z423=$Z$90,AG423,0))</f>
        <v>0</v>
      </c>
      <c r="BR423" s="174">
        <f>IF(Z423=$Z$82,AA423*AG423,0)</f>
        <v>0</v>
      </c>
      <c r="BS423" s="174">
        <f>IF(Z423=$Z$83,AA423*AG423,0)</f>
        <v>0</v>
      </c>
      <c r="BT423" s="174">
        <f>IF(AA423&lt;1,0,IF(Z423=$Z$84,AA423*AG423,IF(Z423=$Z$93,"ERRO",IF(Z423=$Z$100,"ERRO",0))))</f>
        <v>0</v>
      </c>
      <c r="BU423" s="174">
        <f>IF(AA423&lt;1,0,IF(Z423=$Z$85,AA423*AG423,IF(Z423=$Z$93,"ERRO",IF(Z423=$Z$100,"ERRO",0))))</f>
        <v>0</v>
      </c>
      <c r="BV423" s="174">
        <f>IF(Z423=$Z$92,AA423*AG423,0)</f>
        <v>0</v>
      </c>
      <c r="BW423" s="174">
        <f>IF(Z423=$Z$91,AA423*AG423,0)</f>
        <v>0</v>
      </c>
      <c r="BX423" s="174">
        <f>IF(Z423=$Z$86,AA423*AG423,0)</f>
        <v>0</v>
      </c>
      <c r="BY423" s="174">
        <f>IF(Z423=$Z$87,AA423*AG423,0)</f>
        <v>0</v>
      </c>
      <c r="BZ423" s="174">
        <f>IF(Z423=$Z$88,AA423*AG423,0)</f>
        <v>0</v>
      </c>
      <c r="CA423" s="174">
        <f>IF(Z423=$Z$89,AA423*AG423,0)</f>
        <v>0</v>
      </c>
      <c r="CB423" s="174">
        <f>IF(Z423=$Z$90,AA423*AG423,0)</f>
        <v>0</v>
      </c>
      <c r="CC423" s="175">
        <f>IFERROR(IF(L423=$L$49,AG423*AH423*(1+AI423)*(1-AK423)*(1-AL423),0),0)</f>
        <v>0</v>
      </c>
      <c r="CD423" s="176">
        <f>IF(I423=$CD$97,1,IF(I423=$CD$100,2,IF(K423=$K$66,1,IF(K423=$K$69,1,3))))</f>
        <v>3</v>
      </c>
      <c r="CE423" s="176">
        <f t="shared" si="14"/>
        <v>1.3</v>
      </c>
      <c r="CF423" s="177">
        <f t="shared" si="96"/>
        <v>1.74</v>
      </c>
      <c r="CG423" s="176">
        <f t="shared" si="15"/>
        <v>2</v>
      </c>
      <c r="CH423" s="177">
        <f t="shared" si="97"/>
        <v>2.1800000000000002</v>
      </c>
      <c r="CI423" s="176">
        <f t="shared" si="16"/>
        <v>2.4</v>
      </c>
      <c r="CJ423" s="178">
        <f t="shared" si="107"/>
        <v>1.274</v>
      </c>
      <c r="CK423" s="178">
        <f t="shared" si="108"/>
        <v>1.6182000000000001</v>
      </c>
      <c r="CL423" s="178">
        <f t="shared" si="109"/>
        <v>1.96</v>
      </c>
      <c r="CM423" s="178">
        <f t="shared" si="110"/>
        <v>2.1146000000000003</v>
      </c>
      <c r="CN423" s="179">
        <f t="shared" si="111"/>
        <v>2.3039999999999998</v>
      </c>
      <c r="CO423" s="177">
        <f>CJ423*$CO$102</f>
        <v>1.2230399999999999</v>
      </c>
      <c r="CP423" s="180">
        <f t="shared" si="104"/>
        <v>0</v>
      </c>
      <c r="CQ423" s="181">
        <f t="shared" si="105"/>
        <v>0</v>
      </c>
      <c r="CR423" s="219">
        <f t="shared" si="93"/>
        <v>0</v>
      </c>
      <c r="CS423" s="49"/>
      <c r="CT423" s="49"/>
      <c r="CU423" s="49"/>
      <c r="CV423" s="49"/>
      <c r="CW423" s="49"/>
      <c r="CX423" s="49"/>
      <c r="CY423" s="49"/>
      <c r="CZ423" s="49"/>
      <c r="DA423" s="49"/>
      <c r="DB423" s="49"/>
      <c r="DC423" s="49"/>
      <c r="DD423" s="49"/>
      <c r="DE423" s="49"/>
      <c r="DF423" s="49"/>
      <c r="DG423" s="49"/>
      <c r="DH423" s="49"/>
      <c r="DI423" s="49"/>
      <c r="DJ423" s="49"/>
      <c r="DK423" s="49"/>
      <c r="DL423" s="49"/>
      <c r="DM423" s="49"/>
      <c r="DN423" s="49"/>
      <c r="DO423" s="49"/>
      <c r="DP423" s="49"/>
      <c r="DQ423" s="49"/>
      <c r="DR423" s="49"/>
      <c r="DS423" s="49"/>
      <c r="DT423" s="49"/>
      <c r="DU423" s="49"/>
      <c r="DV423" s="49"/>
      <c r="DW423" s="49"/>
      <c r="DX423" s="49"/>
      <c r="DY423" s="49"/>
      <c r="DZ423" s="49"/>
      <c r="EA423" s="49"/>
      <c r="EB423" s="49"/>
      <c r="EC423" s="49"/>
      <c r="ED423" s="49"/>
      <c r="EE423" s="49"/>
      <c r="EF423" s="49"/>
      <c r="EG423" s="49"/>
      <c r="EH423" s="49"/>
      <c r="EI423" s="49"/>
      <c r="EJ423" s="49"/>
      <c r="EK423" s="49"/>
      <c r="EL423" s="49"/>
      <c r="EM423" s="49"/>
      <c r="EN423" s="49"/>
      <c r="EO423" s="49"/>
      <c r="EP423" s="49"/>
      <c r="EQ423" s="49"/>
      <c r="ER423" s="49"/>
      <c r="ES423" s="49"/>
      <c r="ET423" s="49"/>
      <c r="EU423" s="49"/>
      <c r="EV423" s="49"/>
      <c r="EW423" s="49"/>
      <c r="EX423" s="49"/>
      <c r="EY423" s="49"/>
      <c r="EZ423" s="49"/>
      <c r="FA423" s="49"/>
    </row>
    <row r="424" spans="1:157" s="210" customFormat="1" x14ac:dyDescent="0.25">
      <c r="A424" s="113">
        <f>IF(AND('[1]Cockpit Retorno'!$E$67=Sim,Mestre!M424=Mestre!$M$98),0,1)</f>
        <v>1</v>
      </c>
      <c r="B424" s="113">
        <f>IF(AND('[1]Cockpit Retorno'!$E$67=Sim,Mestre!L424=Mestre!$L$48),0,1)</f>
        <v>0</v>
      </c>
      <c r="C424" s="113">
        <f>IF(AND('[1]Cockpit Retorno'!$E$67=Sim,Mestre!M424=Mestre!$M$97),0,1)</f>
        <v>1</v>
      </c>
      <c r="D424" s="114" t="s">
        <v>578</v>
      </c>
      <c r="E424" s="115"/>
      <c r="F424" s="116" t="s">
        <v>107</v>
      </c>
      <c r="G424" s="149"/>
      <c r="H424" s="150" t="s">
        <v>120</v>
      </c>
      <c r="I424" s="151" t="str">
        <f t="shared" si="86"/>
        <v>Mercadorias</v>
      </c>
      <c r="J424" s="150" t="s">
        <v>12</v>
      </c>
      <c r="K424" s="152" t="s">
        <v>120</v>
      </c>
      <c r="L424" s="153" t="s">
        <v>15</v>
      </c>
      <c r="M424" s="154"/>
      <c r="N424" s="155" t="s">
        <v>43</v>
      </c>
      <c r="O424" s="155" t="s">
        <v>43</v>
      </c>
      <c r="P424" s="155" t="s">
        <v>43</v>
      </c>
      <c r="Q424" s="155" t="s">
        <v>43</v>
      </c>
      <c r="R424" s="155" t="s">
        <v>43</v>
      </c>
      <c r="S424" s="156" t="s">
        <v>43</v>
      </c>
      <c r="T424" s="156" t="s">
        <v>43</v>
      </c>
      <c r="U424" s="150" t="s">
        <v>43</v>
      </c>
      <c r="V424" s="150" t="s">
        <v>43</v>
      </c>
      <c r="W424" s="150" t="s">
        <v>43</v>
      </c>
      <c r="X424" s="157"/>
      <c r="Y424" s="150" t="s">
        <v>43</v>
      </c>
      <c r="Z424" s="150" t="s">
        <v>43</v>
      </c>
      <c r="AA424" s="158">
        <v>0</v>
      </c>
      <c r="AB424" s="155" t="s">
        <v>43</v>
      </c>
      <c r="AC424" s="150" t="s">
        <v>43</v>
      </c>
      <c r="AD424" s="155" t="s">
        <v>43</v>
      </c>
      <c r="AE424" s="155"/>
      <c r="AF424" s="150" t="s">
        <v>43</v>
      </c>
      <c r="AG424" s="159"/>
      <c r="AH424" s="159">
        <v>0</v>
      </c>
      <c r="AI424" s="202"/>
      <c r="AJ424" s="161"/>
      <c r="AK424" s="162"/>
      <c r="AL424" s="163"/>
      <c r="AM424" s="164">
        <f>(((IF(L424=$L$101,1,IF(L424=$L$47,1,0))*(AH424*(1-AK424)))*AG424)*(1-AL424))</f>
        <v>0</v>
      </c>
      <c r="AN424" s="165">
        <f>IF(K424=$K$50,AM424,IF(K424=$K$53,AM424,IF(K424=$K$54,AM424,IF(K424=$K$55,AM424,IF(K424=$K$56,AM424,IF(K424=$K$57,AM424,IF(K424=$K$58,AM424,IF(K424=$K$65,AM424,IF(K424=$K$66,AM424,IF(K424=$K$67,AM424,IF(K424=$K$68,AM424,IF(K424=$K$69,AM424,IF(K424=$K$51,AM424,(AM424*(1+AI424)))))))))))))))</f>
        <v>0</v>
      </c>
      <c r="AO424" s="166">
        <v>1.4</v>
      </c>
      <c r="AP424" s="160">
        <f t="shared" si="87"/>
        <v>0</v>
      </c>
      <c r="AQ424" s="167">
        <f t="shared" ref="AQ424:AQ429" si="112">AP424*Fator_Venda</f>
        <v>0</v>
      </c>
      <c r="AR424" s="160">
        <f t="shared" si="88"/>
        <v>0</v>
      </c>
      <c r="AS424" s="168">
        <f t="shared" si="89"/>
        <v>0</v>
      </c>
      <c r="AT424" s="169" t="str">
        <f>K424</f>
        <v>MOT</v>
      </c>
      <c r="AU424" s="169" t="str">
        <f>I424</f>
        <v>Mercadorias</v>
      </c>
      <c r="AV424" s="170"/>
      <c r="AW424" s="171">
        <f>IF(K424=$K$50,0,IF(K424=$K$53,0,IF(K424=$K$54,0,IF(K424=$K$55,0,IF(K424=$K$56,0,IF(K424=$K$57,0,IF(K424=$K$58,0,IF(K424=$K$65,0,IF(K424=$K$66,0,IF(K424=$K$67,0,IF(K424=$K$68,0,IF(K424=$K$69,0,IF(K424=$K$51,0,1))))))))))))*AM424*AI424)</f>
        <v>0</v>
      </c>
      <c r="AX424" s="172">
        <f>IF(K424=$K$50,0,IF(K424=$K$53,0,IF(K424=$K$54,0,IF(K424=$K$55,0,IF(K424=$K$56,0,IF(K424=$K$57,0,IF(K424=$K$58,0,IF(K424=$K$65,0,IF(K424=$K$66,0,IF(K424=$K$67,0,IF(K424=$K$68,0,IF(K424=$K$69,0,IF(K424=$K$51,0,1))))))))))))*AM424*AJ424*$AX$94)</f>
        <v>0</v>
      </c>
      <c r="AY424" s="172">
        <f>IF(K424=$K$53,0,IF(K424=$K$54,0,IF(K424=$K$55,0,IF(K424=$K$56,0,IF(K424=$K$58,0,IF(K424=$K$50,0,IF(K424=$K$65,0,IF(K424=$K$57,0,IF(K424=$K$51,0,AM424*$AY$102)))))))))</f>
        <v>0</v>
      </c>
      <c r="AZ424" s="172">
        <f>IF(K424=$K$53,0,IF(K424=$K$54,0,IF(K424=$K$55,0,IF(K424=$K$56,0,IF(K424=$K$58,0,IF(K424=$K$50,0,IF(K424=$K$65,0,IF(K424=$K$57,0,IF(K424=$K$51,0,AM424*$AZ$102)))))))))</f>
        <v>0</v>
      </c>
      <c r="BA424" s="172">
        <f t="shared" si="90"/>
        <v>0</v>
      </c>
      <c r="BB424" s="173">
        <f>IF($BA$97=1,AQ424*$BB$102,IF(K424=$K$50,0,IF(K424=$K$53,0,IF(K424=$K$54,0,IF(K424=$K$55,0,IF(K424=$K$56,0,IF(K424=$K$57,0,IF(K424=$K$58,0,IF(K424=$K$65,0,IF(K424=$K$66,0,IF(K424=$K$67,0,IF(K424=$K$68,0,IF(K424=$K$69,0,IF(K424=$K$51,0,1)))))))))))*AQ424*$BB$102)))</f>
        <v>0</v>
      </c>
      <c r="BC424" s="172">
        <f t="shared" si="91"/>
        <v>0</v>
      </c>
      <c r="BD424" s="172">
        <f t="shared" si="92"/>
        <v>0</v>
      </c>
      <c r="BE424" s="172">
        <f>IF($BE$95=I424,$BE$97,IF(I424=$BE$96,$BE$97,1))*($BE$102*AQ424)*$AZ$97</f>
        <v>0</v>
      </c>
      <c r="BF424" s="172">
        <f>IF('[1]Cockpit Retorno'!$C$65=Sim,Mestre!BA424,SUM(BB424:BE424)+(IF(K424=$K$56,AQ424*MOE_IRRF_LR,0)))</f>
        <v>0</v>
      </c>
      <c r="BG424" s="174">
        <f>IF(AA424&gt;0,0,IF(Z424=$Z$82,AG424*1,(IF(Z424=$Z$81,AG424*1,0))))</f>
        <v>0</v>
      </c>
      <c r="BH424" s="174">
        <f>IF(AA424&gt;0,0,IF(Z424=$Z$83,AG424*1,IF(Z424=$Z$81,AG424*1,0)))</f>
        <v>0</v>
      </c>
      <c r="BI424" s="174">
        <f>IF(AA424&gt;0,0,IF(Z424=$Z$84,AG424*1,IF(Z424=$Z$93,AG424*2,IF(Z424=$Z$100,AG424,IF(Z424=$Z$81,AG424*2,IF(Z424=$Z$80,AG424*1,IF(Z424=$Z$79,AG424*3,IF(Z424=$Z$78,AG424*2,0))))))))</f>
        <v>0</v>
      </c>
      <c r="BJ424" s="174">
        <f>IF(AA424&gt;0,0,IF(Z424=$Z$85,AG424,IF(Z424=$Z$93,AG424,IF(Z424=$Z$100,AG424,IF(Z424=$Z$81,AG424*1,IF(Z424=$Z$80,AG424*2,IF(Z424=$Z$79,AG424*2,IF(Z424=$Z$78,AG424*2,0))))))))</f>
        <v>0</v>
      </c>
      <c r="BK424" s="174">
        <f>IF(AA424&gt;0,0,IF(Z424=$Z$92,AG424,0))</f>
        <v>0</v>
      </c>
      <c r="BL424" s="174">
        <f>IF(AA424&gt;0,0,IF(Z424=$Z$91,AG424,0))</f>
        <v>0</v>
      </c>
      <c r="BM424" s="174">
        <f>IF(AA424&gt;0,0,IF(Z424=$Z$86,AG424,0))</f>
        <v>0</v>
      </c>
      <c r="BN424" s="174">
        <f>IF(AA424&gt;0,0,IF(Z424=$Z$87,AG424,0))</f>
        <v>0</v>
      </c>
      <c r="BO424" s="174">
        <f>IF(AA424&gt;0,0,IF(Z424=$Z$88,AG424,0))</f>
        <v>0</v>
      </c>
      <c r="BP424" s="174">
        <f>IF(AA424&gt;0,0,IF(Z424=$Z$89,AG424,0))</f>
        <v>0</v>
      </c>
      <c r="BQ424" s="174">
        <f>IF(AA424&gt;0,0,IF(Z424=$Z$90,AG424,0))</f>
        <v>0</v>
      </c>
      <c r="BR424" s="174">
        <f>IF(Z424=$Z$82,AA424*AG424,0)</f>
        <v>0</v>
      </c>
      <c r="BS424" s="174">
        <f>IF(Z424=$Z$83,AA424*AG424,0)</f>
        <v>0</v>
      </c>
      <c r="BT424" s="174">
        <f>IF(AA424&lt;1,0,IF(Z424=$Z$84,AA424*AG424,IF(Z424=$Z$93,"ERRO",IF(Z424=$Z$100,"ERRO",0))))</f>
        <v>0</v>
      </c>
      <c r="BU424" s="174">
        <f>IF(AA424&lt;1,0,IF(Z424=$Z$85,AA424*AG424,IF(Z424=$Z$93,"ERRO",IF(Z424=$Z$100,"ERRO",0))))</f>
        <v>0</v>
      </c>
      <c r="BV424" s="174">
        <f>IF(Z424=$Z$92,AA424*AG424,0)</f>
        <v>0</v>
      </c>
      <c r="BW424" s="174">
        <f>IF(Z424=$Z$91,AA424*AG424,0)</f>
        <v>0</v>
      </c>
      <c r="BX424" s="174">
        <f>IF(Z424=$Z$86,AA424*AG424,0)</f>
        <v>0</v>
      </c>
      <c r="BY424" s="174">
        <f>IF(Z424=$Z$87,AA424*AG424,0)</f>
        <v>0</v>
      </c>
      <c r="BZ424" s="174">
        <f>IF(Z424=$Z$88,AA424*AG424,0)</f>
        <v>0</v>
      </c>
      <c r="CA424" s="174">
        <f>IF(Z424=$Z$89,AA424*AG424,0)</f>
        <v>0</v>
      </c>
      <c r="CB424" s="174">
        <f>IF(Z424=$Z$90,AA424*AG424,0)</f>
        <v>0</v>
      </c>
      <c r="CC424" s="175">
        <f>IFERROR(IF(L424=$L$49,AG424*AH424*(1+AI424)*(1-AK424)*(1-AL424),0),0)</f>
        <v>0</v>
      </c>
      <c r="CD424" s="203">
        <f>IF(I424=$CD$97,1,IF(I424=$CD$100,2,IF(K424=$K$66,1,IF(K424=$K$69,1,3))))</f>
        <v>1</v>
      </c>
      <c r="CE424" s="203">
        <f t="shared" ref="CE424:CE454" si="113">IF($CD424=1,1.07,IF($CD424=2,1.07,1.3))</f>
        <v>1.07</v>
      </c>
      <c r="CF424" s="204">
        <f t="shared" si="96"/>
        <v>1.2353999999999998</v>
      </c>
      <c r="CG424" s="203">
        <f t="shared" ref="CG424:CG454" si="114">IF($CD424=1,1.42,IF($CD424=2,1.47,2))</f>
        <v>1.42</v>
      </c>
      <c r="CH424" s="204">
        <f t="shared" si="97"/>
        <v>1.5478000000000001</v>
      </c>
      <c r="CI424" s="203">
        <f t="shared" ref="CI424:CI454" si="115">IF($CD424=1,1.7,IF($CD424=2,1.7,2.4))</f>
        <v>1.7</v>
      </c>
      <c r="CJ424" s="205">
        <f>CE424*$CJ$102</f>
        <v>1.0486</v>
      </c>
      <c r="CK424" s="205">
        <f>CF424*$CK$102</f>
        <v>1.148922</v>
      </c>
      <c r="CL424" s="205">
        <f>CG424*$CL$102</f>
        <v>1.3915999999999999</v>
      </c>
      <c r="CM424" s="205">
        <f>CH424*$CM$102</f>
        <v>1.501366</v>
      </c>
      <c r="CN424" s="206">
        <f>CI424*$CN$102</f>
        <v>1.6319999999999999</v>
      </c>
      <c r="CO424" s="204">
        <v>1.3</v>
      </c>
      <c r="CP424" s="207">
        <f t="shared" si="104"/>
        <v>0</v>
      </c>
      <c r="CQ424" s="208">
        <f t="shared" si="105"/>
        <v>0</v>
      </c>
      <c r="CR424" s="209">
        <f t="shared" si="93"/>
        <v>0</v>
      </c>
      <c r="CS424" s="49"/>
      <c r="CT424" s="49"/>
      <c r="CU424" s="49"/>
      <c r="CV424" s="49"/>
      <c r="CW424" s="49"/>
      <c r="CX424" s="49"/>
      <c r="CY424" s="49"/>
      <c r="CZ424" s="49"/>
      <c r="DA424" s="49"/>
      <c r="DB424" s="49"/>
      <c r="DC424" s="49"/>
      <c r="DD424" s="49"/>
      <c r="DE424" s="49"/>
      <c r="DF424" s="49"/>
      <c r="DG424" s="49"/>
      <c r="DH424" s="49"/>
      <c r="DI424" s="49"/>
      <c r="DJ424" s="49"/>
      <c r="DK424" s="49"/>
      <c r="DL424" s="49"/>
      <c r="DM424" s="49"/>
      <c r="DN424" s="49"/>
      <c r="DO424" s="49"/>
      <c r="DP424" s="49"/>
      <c r="DQ424" s="49"/>
      <c r="DR424" s="49"/>
      <c r="DS424" s="49"/>
      <c r="DT424" s="49"/>
      <c r="DU424" s="49"/>
      <c r="DV424" s="49"/>
      <c r="DW424" s="49"/>
      <c r="DX424" s="49"/>
      <c r="DY424" s="49"/>
      <c r="DZ424" s="49"/>
      <c r="EA424" s="49"/>
      <c r="EB424" s="49"/>
      <c r="EC424" s="49"/>
      <c r="ED424" s="49"/>
      <c r="EE424" s="49"/>
      <c r="EF424" s="49"/>
      <c r="EG424" s="49"/>
      <c r="EH424" s="49"/>
      <c r="EI424" s="49"/>
      <c r="EJ424" s="49"/>
      <c r="EK424" s="49"/>
      <c r="EL424" s="49"/>
      <c r="EM424" s="49"/>
      <c r="EN424" s="49"/>
      <c r="EO424" s="49"/>
      <c r="EP424" s="49"/>
      <c r="EQ424" s="49"/>
      <c r="ER424" s="49"/>
      <c r="ES424" s="49"/>
      <c r="ET424" s="49"/>
      <c r="EU424" s="49"/>
      <c r="EV424" s="49"/>
      <c r="EW424" s="49"/>
      <c r="EX424" s="49"/>
      <c r="EY424" s="49"/>
      <c r="EZ424" s="49"/>
      <c r="FA424" s="49"/>
    </row>
    <row r="425" spans="1:157" s="182" customFormat="1" x14ac:dyDescent="0.25">
      <c r="A425" s="113">
        <f>IF(AND('[1]Cockpit Retorno'!$E$67=Sim,Mestre!M425=Mestre!$M$98),0,1)</f>
        <v>1</v>
      </c>
      <c r="B425" s="113">
        <f>IF(AND('[1]Cockpit Retorno'!$E$67=Sim,Mestre!L425=Mestre!$L$48),0,1)</f>
        <v>0</v>
      </c>
      <c r="C425" s="113">
        <f>IF(AND('[1]Cockpit Retorno'!$E$67=Sim,Mestre!M425=Mestre!$M$97),0,1)</f>
        <v>1</v>
      </c>
      <c r="D425" s="148" t="s">
        <v>274</v>
      </c>
      <c r="E425" s="115"/>
      <c r="F425" s="116" t="s">
        <v>107</v>
      </c>
      <c r="G425" s="149"/>
      <c r="H425" s="150" t="s">
        <v>103</v>
      </c>
      <c r="I425" s="151" t="str">
        <f t="shared" ref="I425:I454" si="116">VLOOKUP(K425,$N$74:$O$95,2)</f>
        <v>Serviços</v>
      </c>
      <c r="J425" s="150" t="s">
        <v>12</v>
      </c>
      <c r="K425" s="152" t="s">
        <v>103</v>
      </c>
      <c r="L425" s="153" t="s">
        <v>15</v>
      </c>
      <c r="M425" s="154"/>
      <c r="N425" s="155" t="s">
        <v>43</v>
      </c>
      <c r="O425" s="155" t="s">
        <v>43</v>
      </c>
      <c r="P425" s="155" t="s">
        <v>43</v>
      </c>
      <c r="Q425" s="155" t="s">
        <v>43</v>
      </c>
      <c r="R425" s="155" t="s">
        <v>43</v>
      </c>
      <c r="S425" s="156" t="s">
        <v>43</v>
      </c>
      <c r="T425" s="150" t="s">
        <v>43</v>
      </c>
      <c r="U425" s="150" t="s">
        <v>43</v>
      </c>
      <c r="V425" s="150" t="s">
        <v>43</v>
      </c>
      <c r="W425" s="150" t="s">
        <v>43</v>
      </c>
      <c r="X425" s="157"/>
      <c r="Y425" s="150" t="s">
        <v>43</v>
      </c>
      <c r="Z425" s="150" t="s">
        <v>43</v>
      </c>
      <c r="AA425" s="158">
        <v>0</v>
      </c>
      <c r="AB425" s="155" t="s">
        <v>43</v>
      </c>
      <c r="AC425" s="150" t="s">
        <v>43</v>
      </c>
      <c r="AD425" s="155" t="s">
        <v>43</v>
      </c>
      <c r="AE425" s="155"/>
      <c r="AF425" s="150" t="s">
        <v>43</v>
      </c>
      <c r="AG425" s="159"/>
      <c r="AH425" s="159">
        <v>0</v>
      </c>
      <c r="AI425" s="161"/>
      <c r="AJ425" s="161"/>
      <c r="AK425" s="162"/>
      <c r="AL425" s="163"/>
      <c r="AM425" s="164">
        <f>(((IF(L425=$L$101,1,IF(L425=$L$47,1,0))*(AH425*(1-AK425)))*AG425)*(1-AL425))</f>
        <v>0</v>
      </c>
      <c r="AN425" s="191">
        <f>IF(K425=$K$50,AM425,IF(K425=$K$53,AM425,IF(K425=$K$54,AM425,IF(K425=$K$55,AM425,IF(K425=$K$56,AM425,IF(K425=$K$57,AM425,IF(K425=$K$58,AM425,IF(K425=$K$65,AM425,IF(K425=$K$66,AM425,IF(K425=$K$67,AM425,IF(K425=$K$68,AM425,IF(K425=$K$69,AM425,IF(K425=$K$51,AM425,(AM425*(1+AI425)))))))))))))))</f>
        <v>0</v>
      </c>
      <c r="AO425" s="166">
        <v>1.9</v>
      </c>
      <c r="AP425" s="160">
        <f t="shared" ref="AP425:AP454" si="117">AM425*AO425</f>
        <v>0</v>
      </c>
      <c r="AQ425" s="167">
        <f t="shared" si="112"/>
        <v>0</v>
      </c>
      <c r="AR425" s="160">
        <f t="shared" ref="AR425:AR454" si="118">AO425*AN425</f>
        <v>0</v>
      </c>
      <c r="AS425" s="183">
        <f t="shared" ref="AS425:AS453" si="119">IFERROR(IF($AX$94=0,(CQ425/AN425),CQ425/AM425),0)</f>
        <v>0</v>
      </c>
      <c r="AT425" s="169" t="str">
        <f>K425</f>
        <v>SERV</v>
      </c>
      <c r="AU425" s="169" t="str">
        <f>I425</f>
        <v>Serviços</v>
      </c>
      <c r="AV425" s="170"/>
      <c r="AW425" s="171">
        <f>IF(K425=$K$50,0,IF(K425=$K$53,0,IF(K425=$K$54,0,IF(K425=$K$55,0,IF(K425=$K$56,0,IF(K425=$K$57,0,IF(K425=$K$58,0,IF(K425=$K$65,0,IF(K425=$K$66,0,IF(K425=$K$67,0,IF(K425=$K$68,0,IF(K425=$K$69,0,IF(K425=$K$51,0,1))))))))))))*AM425*AI425)</f>
        <v>0</v>
      </c>
      <c r="AX425" s="172">
        <f>IF(K425=$K$50,0,IF(K425=$K$53,0,IF(K425=$K$54,0,IF(K425=$K$55,0,IF(K425=$K$56,0,IF(K425=$K$57,0,IF(K425=$K$58,0,IF(K425=$K$65,0,IF(K425=$K$66,0,IF(K425=$K$67,0,IF(K425=$K$68,0,IF(K425=$K$69,0,IF(K425=$K$51,0,1))))))))))))*AM425*AJ425*$AX$94)</f>
        <v>0</v>
      </c>
      <c r="AY425" s="172">
        <f>IF(K425=$K$53,0,IF(K425=$K$54,0,IF(K425=$K$55,0,IF(K425=$K$56,0,IF(K425=$K$58,0,IF(K425=$K$50,0,IF(K425=$K$65,0,IF(K425=$K$57,0,IF(K425=$K$51,0,AM425*$AY$102)))))))))</f>
        <v>0</v>
      </c>
      <c r="AZ425" s="172">
        <f>IF(K425=$K$53,0,IF(K425=$K$54,0,IF(K425=$K$55,0,IF(K425=$K$56,0,IF(K425=$K$58,0,IF(K425=$K$50,0,IF(K425=$K$65,0,IF(K425=$K$57,0,IF(K425=$K$51,0,AM425*$AZ$102)))))))))</f>
        <v>0</v>
      </c>
      <c r="BA425" s="172">
        <f t="shared" ref="BA425:BA453" si="120">AZ425+AY425+AX425</f>
        <v>0</v>
      </c>
      <c r="BB425" s="173">
        <f>IF($BA$97=1,AQ425*$BB$102,IF(K425=$K$50,0,IF(K425=$K$53,0,IF(K425=$K$54,0,IF(K425=$K$55,0,IF(K425=$K$56,0,IF(K425=$K$57,0,IF(K425=$K$58,0,IF(K425=$K$65,0,IF(K425=$K$66,0,IF(K425=$K$67,0,IF(K425=$K$68,0,IF(K425=$K$69,0,IF(K425=$K$51,0,1)))))))))))*AQ425*$BB$102)))</f>
        <v>0</v>
      </c>
      <c r="BC425" s="172">
        <f t="shared" ref="BC425:BC453" si="121">AQ425*$BC$102</f>
        <v>0</v>
      </c>
      <c r="BD425" s="172">
        <f t="shared" ref="BD425:BD453" si="122">$BD$102*AQ425</f>
        <v>0</v>
      </c>
      <c r="BE425" s="172">
        <f>IF($BE$95=I425,$BE$97,IF(I425=$BE$96,$BE$97,1))*($BE$102*AQ425)*$AZ$97</f>
        <v>0</v>
      </c>
      <c r="BF425" s="172">
        <f>IF('[1]Cockpit Retorno'!$C$65=Sim,Mestre!BA425,SUM(BB425:BE425)+(IF(K425=$K$56,AQ425*MOE_IRRF_LR,0)))</f>
        <v>0</v>
      </c>
      <c r="BG425" s="174">
        <f>IF(AA425&gt;0,0,IF(Z425=$Z$82,AG425*1,(IF(Z425=$Z$81,AG425*1,0))))</f>
        <v>0</v>
      </c>
      <c r="BH425" s="174">
        <f>IF(AA425&gt;0,0,IF(Z425=$Z$83,AG425*1,IF(Z425=$Z$81,AG425*1,0)))</f>
        <v>0</v>
      </c>
      <c r="BI425" s="174">
        <f>IF(AA425&gt;0,0,IF(Z425=$Z$84,AG425*1,IF(Z425=$Z$93,AG425*2,IF(Z425=$Z$100,AG425,IF(Z425=$Z$81,AG425*2,IF(Z425=$Z$80,AG425*1,IF(Z425=$Z$79,AG425*3,IF(Z425=$Z$78,AG425*2,0))))))))</f>
        <v>0</v>
      </c>
      <c r="BJ425" s="174">
        <f>IF(AA425&gt;0,0,IF(Z425=$Z$85,AG425,IF(Z425=$Z$93,AG425,IF(Z425=$Z$100,AG425,IF(Z425=$Z$81,AG425*1,IF(Z425=$Z$80,AG425*2,IF(Z425=$Z$79,AG425*2,IF(Z425=$Z$78,AG425*2,0))))))))</f>
        <v>0</v>
      </c>
      <c r="BK425" s="174">
        <f>IF(AA425&gt;0,0,IF(Z425=$Z$92,AG425,0))</f>
        <v>0</v>
      </c>
      <c r="BL425" s="174">
        <f>IF(AA425&gt;0,0,IF(Z425=$Z$91,AG425,0))</f>
        <v>0</v>
      </c>
      <c r="BM425" s="174">
        <f>IF(AA425&gt;0,0,IF(Z425=$Z$86,AG425,0))</f>
        <v>0</v>
      </c>
      <c r="BN425" s="174">
        <f>IF(AA425&gt;0,0,IF(Z425=$Z$87,AG425,0))</f>
        <v>0</v>
      </c>
      <c r="BO425" s="174">
        <f>IF(AA425&gt;0,0,IF(Z425=$Z$88,AG425,0))</f>
        <v>0</v>
      </c>
      <c r="BP425" s="174">
        <f>IF(AA425&gt;0,0,IF(Z425=$Z$89,AG425,0))</f>
        <v>0</v>
      </c>
      <c r="BQ425" s="174">
        <f>IF(AA425&gt;0,0,IF(Z425=$Z$90,AG425,0))</f>
        <v>0</v>
      </c>
      <c r="BR425" s="174">
        <f>IF(Z425=$Z$82,AA425*AG425,0)</f>
        <v>0</v>
      </c>
      <c r="BS425" s="174">
        <f>IF(Z425=$Z$83,AA425*AG425,0)</f>
        <v>0</v>
      </c>
      <c r="BT425" s="174">
        <f>IF(AA425&lt;1,0,IF(Z425=$Z$84,AA425*AG425,IF(Z425=$Z$93,"ERRO",IF(Z425=$Z$100,"ERRO",0))))</f>
        <v>0</v>
      </c>
      <c r="BU425" s="174">
        <f>IF(AA425&lt;1,0,IF(Z425=$Z$85,AA425*AG425,IF(Z425=$Z$93,"ERRO",IF(Z425=$Z$100,"ERRO",0))))</f>
        <v>0</v>
      </c>
      <c r="BV425" s="174">
        <f>IF(Z425=$Z$92,AA425*AG425,0)</f>
        <v>0</v>
      </c>
      <c r="BW425" s="174">
        <f>IF(Z425=$Z$91,AA425*AG425,0)</f>
        <v>0</v>
      </c>
      <c r="BX425" s="174">
        <f>IF(Z425=$Z$86,AA425*AG425,0)</f>
        <v>0</v>
      </c>
      <c r="BY425" s="174">
        <f>IF(Z425=$Z$87,AA425*AG425,0)</f>
        <v>0</v>
      </c>
      <c r="BZ425" s="174">
        <f>IF(Z425=$Z$88,AA425*AG425,0)</f>
        <v>0</v>
      </c>
      <c r="CA425" s="174">
        <f>IF(Z425=$Z$89,AA425*AG425,0)</f>
        <v>0</v>
      </c>
      <c r="CB425" s="174">
        <f>IF(Z425=$Z$90,AA425*AG425,0)</f>
        <v>0</v>
      </c>
      <c r="CC425" s="175">
        <f>IFERROR(IF(L425=$L$49,AG425*AH425*(1+AI425)*(1-AK425)*(1-AL425),0),0)</f>
        <v>0</v>
      </c>
      <c r="CD425" s="182">
        <f>IF(I425=$CD$97,1,IF(I425=$CD$100,2,IF(K425=$K$66,1,IF(K425=$K$69,1,3))))</f>
        <v>3</v>
      </c>
      <c r="CE425" s="182">
        <f t="shared" si="113"/>
        <v>1.3</v>
      </c>
      <c r="CF425" s="184">
        <f t="shared" si="96"/>
        <v>1.74</v>
      </c>
      <c r="CG425" s="182">
        <f t="shared" si="114"/>
        <v>2</v>
      </c>
      <c r="CH425" s="184">
        <f t="shared" si="97"/>
        <v>2.1800000000000002</v>
      </c>
      <c r="CI425" s="182">
        <f t="shared" si="115"/>
        <v>2.4</v>
      </c>
      <c r="CJ425" s="185">
        <f>CE425*$CJ$102</f>
        <v>1.274</v>
      </c>
      <c r="CK425" s="185">
        <f>CF425*$CK$102</f>
        <v>1.6182000000000001</v>
      </c>
      <c r="CL425" s="185">
        <f>CG425*$CL$102</f>
        <v>1.96</v>
      </c>
      <c r="CM425" s="185">
        <f>CH425*$CM$102</f>
        <v>2.1146000000000003</v>
      </c>
      <c r="CN425" s="186">
        <f>CI425*$CN$102</f>
        <v>2.3039999999999998</v>
      </c>
      <c r="CO425" s="184">
        <v>1.3</v>
      </c>
      <c r="CP425" s="187">
        <f t="shared" si="104"/>
        <v>0</v>
      </c>
      <c r="CQ425" s="188">
        <f t="shared" si="105"/>
        <v>0</v>
      </c>
      <c r="CR425" s="189">
        <f t="shared" ref="CR425:CR454" si="123">BC425+BD425</f>
        <v>0</v>
      </c>
      <c r="CS425" s="49"/>
      <c r="CT425" s="49"/>
      <c r="CU425" s="49"/>
      <c r="CV425" s="49"/>
      <c r="CW425" s="49"/>
      <c r="CX425" s="49"/>
      <c r="CY425" s="49"/>
      <c r="CZ425" s="49"/>
      <c r="DA425" s="49"/>
      <c r="DB425" s="49"/>
      <c r="DC425" s="49"/>
      <c r="DD425" s="49"/>
      <c r="DE425" s="49"/>
      <c r="DF425" s="49"/>
      <c r="DG425" s="49"/>
      <c r="DH425" s="49"/>
      <c r="DI425" s="49"/>
      <c r="DJ425" s="49"/>
      <c r="DK425" s="49"/>
      <c r="DL425" s="49"/>
      <c r="DM425" s="49"/>
      <c r="DN425" s="49"/>
      <c r="DO425" s="49"/>
      <c r="DP425" s="49"/>
      <c r="DQ425" s="49"/>
      <c r="DR425" s="49"/>
      <c r="DS425" s="49"/>
      <c r="DT425" s="49"/>
      <c r="DU425" s="49"/>
      <c r="DV425" s="49"/>
      <c r="DW425" s="49"/>
      <c r="DX425" s="49"/>
      <c r="DY425" s="49"/>
      <c r="DZ425" s="49"/>
      <c r="EA425" s="49"/>
      <c r="EB425" s="49"/>
      <c r="EC425" s="49"/>
      <c r="ED425" s="49"/>
      <c r="EE425" s="49"/>
      <c r="EF425" s="49"/>
      <c r="EG425" s="49"/>
      <c r="EH425" s="49"/>
      <c r="EI425" s="49"/>
      <c r="EJ425" s="49"/>
      <c r="EK425" s="49"/>
      <c r="EL425" s="49"/>
      <c r="EM425" s="49"/>
      <c r="EN425" s="49"/>
      <c r="EO425" s="49"/>
      <c r="EP425" s="49"/>
      <c r="EQ425" s="49"/>
      <c r="ER425" s="49"/>
      <c r="ES425" s="49"/>
      <c r="ET425" s="49"/>
      <c r="EU425" s="49"/>
      <c r="EV425" s="49"/>
      <c r="EW425" s="49"/>
      <c r="EX425" s="49"/>
      <c r="EY425" s="49"/>
      <c r="EZ425" s="49"/>
      <c r="FA425" s="49"/>
    </row>
    <row r="426" spans="1:157" s="182" customFormat="1" x14ac:dyDescent="0.25">
      <c r="A426" s="113">
        <f>IF(AND('[1]Cockpit Retorno'!$E$67=Sim,Mestre!M426=Mestre!$M$98),0,1)</f>
        <v>1</v>
      </c>
      <c r="B426" s="113">
        <f>IF(AND('[1]Cockpit Retorno'!$E$67=Sim,Mestre!L426=Mestre!$L$48),0,1)</f>
        <v>0</v>
      </c>
      <c r="C426" s="113">
        <f>IF(AND('[1]Cockpit Retorno'!$E$67=Sim,Mestre!M426=Mestre!$M$97),0,1)</f>
        <v>1</v>
      </c>
      <c r="D426" s="148" t="s">
        <v>274</v>
      </c>
      <c r="E426" s="115"/>
      <c r="F426" s="116" t="s">
        <v>107</v>
      </c>
      <c r="G426" s="149"/>
      <c r="H426" s="150" t="s">
        <v>60</v>
      </c>
      <c r="I426" s="151" t="str">
        <f t="shared" si="116"/>
        <v>Serviços</v>
      </c>
      <c r="J426" s="150" t="s">
        <v>12</v>
      </c>
      <c r="K426" s="152" t="s">
        <v>60</v>
      </c>
      <c r="L426" s="153" t="s">
        <v>15</v>
      </c>
      <c r="M426" s="154"/>
      <c r="N426" s="155" t="s">
        <v>43</v>
      </c>
      <c r="O426" s="155" t="s">
        <v>43</v>
      </c>
      <c r="P426" s="155" t="s">
        <v>43</v>
      </c>
      <c r="Q426" s="155" t="s">
        <v>43</v>
      </c>
      <c r="R426" s="155" t="s">
        <v>43</v>
      </c>
      <c r="S426" s="156" t="s">
        <v>43</v>
      </c>
      <c r="T426" s="156" t="s">
        <v>43</v>
      </c>
      <c r="U426" s="150" t="s">
        <v>43</v>
      </c>
      <c r="V426" s="150" t="s">
        <v>43</v>
      </c>
      <c r="W426" s="150" t="s">
        <v>43</v>
      </c>
      <c r="X426" s="157"/>
      <c r="Y426" s="150" t="s">
        <v>43</v>
      </c>
      <c r="Z426" s="150" t="s">
        <v>43</v>
      </c>
      <c r="AA426" s="158">
        <v>0</v>
      </c>
      <c r="AB426" s="155" t="s">
        <v>43</v>
      </c>
      <c r="AC426" s="150" t="s">
        <v>43</v>
      </c>
      <c r="AD426" s="155" t="s">
        <v>43</v>
      </c>
      <c r="AE426" s="155"/>
      <c r="AF426" s="150" t="s">
        <v>43</v>
      </c>
      <c r="AG426" s="159"/>
      <c r="AH426" s="159">
        <v>0</v>
      </c>
      <c r="AI426" s="161"/>
      <c r="AJ426" s="161"/>
      <c r="AK426" s="162"/>
      <c r="AL426" s="163"/>
      <c r="AM426" s="164">
        <f>(((IF(L426=$L$101,1,IF(L426=$L$47,1,0))*(AH426*(1-AK426)))*AG426)*(1-AL426))</f>
        <v>0</v>
      </c>
      <c r="AN426" s="165">
        <f>IF(K426=$K$50,AM426,IF(K426=$K$53,AM426,IF(K426=$K$54,AM426,IF(K426=$K$55,AM426,IF(K426=$K$56,AM426,IF(K426=$K$57,AM426,IF(K426=$K$58,AM426,IF(K426=$K$65,AM426,IF(K426=$K$66,AM426,IF(K426=$K$67,AM426,IF(K426=$K$68,AM426,IF(K426=$K$69,AM426,IF(K426=$K$51,AM426,(AM426*(1+AI426)))))))))))))))</f>
        <v>0</v>
      </c>
      <c r="AO426" s="166">
        <v>1.9</v>
      </c>
      <c r="AP426" s="160">
        <f t="shared" si="117"/>
        <v>0</v>
      </c>
      <c r="AQ426" s="167">
        <f t="shared" si="112"/>
        <v>0</v>
      </c>
      <c r="AR426" s="160">
        <f t="shared" si="118"/>
        <v>0</v>
      </c>
      <c r="AS426" s="168">
        <f t="shared" si="119"/>
        <v>0</v>
      </c>
      <c r="AT426" s="169" t="str">
        <f>K426</f>
        <v>MOE</v>
      </c>
      <c r="AU426" s="169" t="str">
        <f>I426</f>
        <v>Serviços</v>
      </c>
      <c r="AV426" s="170"/>
      <c r="AW426" s="171">
        <f>IF(K426=$K$50,0,IF(K426=$K$53,0,IF(K426=$K$54,0,IF(K426=$K$55,0,IF(K426=$K$56,0,IF(K426=$K$57,0,IF(K426=$K$58,0,IF(K426=$K$65,0,IF(K426=$K$66,0,IF(K426=$K$67,0,IF(K426=$K$68,0,IF(K426=$K$69,0,IF(K426=$K$51,0,1))))))))))))*AM426*AI426)</f>
        <v>0</v>
      </c>
      <c r="AX426" s="172">
        <f>IF(K426=$K$50,0,IF(K426=$K$53,0,IF(K426=$K$54,0,IF(K426=$K$55,0,IF(K426=$K$56,0,IF(K426=$K$57,0,IF(K426=$K$58,0,IF(K426=$K$65,0,IF(K426=$K$66,0,IF(K426=$K$67,0,IF(K426=$K$68,0,IF(K426=$K$69,0,IF(K426=$K$51,0,1))))))))))))*AM426*AJ426*$AX$94)</f>
        <v>0</v>
      </c>
      <c r="AY426" s="172">
        <f>IF(K426=$K$53,0,IF(K426=$K$54,0,IF(K426=$K$55,0,IF(K426=$K$56,0,IF(K426=$K$58,0,IF(K426=$K$50,0,IF(K426=$K$65,0,IF(K426=$K$57,0,IF(K426=$K$51,0,AM426*$AY$102)))))))))</f>
        <v>0</v>
      </c>
      <c r="AZ426" s="172">
        <f>IF(K426=$K$53,0,IF(K426=$K$54,0,IF(K426=$K$55,0,IF(K426=$K$56,0,IF(K426=$K$58,0,IF(K426=$K$50,0,IF(K426=$K$65,0,IF(K426=$K$57,0,IF(K426=$K$51,0,AM426*$AZ$102)))))))))</f>
        <v>0</v>
      </c>
      <c r="BA426" s="172">
        <f t="shared" si="120"/>
        <v>0</v>
      </c>
      <c r="BB426" s="173">
        <f>IF($BA$97=1,AQ426*$BB$102,IF(K426=$K$50,0,IF(K426=$K$53,0,IF(K426=$K$54,0,IF(K426=$K$55,0,IF(K426=$K$56,0,IF(K426=$K$57,0,IF(K426=$K$58,0,IF(K426=$K$65,0,IF(K426=$K$66,0,IF(K426=$K$67,0,IF(K426=$K$68,0,IF(K426=$K$69,0,IF(K426=$K$51,0,1)))))))))))*AQ426*$BB$102)))</f>
        <v>0</v>
      </c>
      <c r="BC426" s="172">
        <f t="shared" si="121"/>
        <v>0</v>
      </c>
      <c r="BD426" s="172">
        <f t="shared" si="122"/>
        <v>0</v>
      </c>
      <c r="BE426" s="172">
        <f>IF($BE$95=I426,$BE$97,IF(I426=$BE$96,$BE$97,1))*($BE$102*AQ426)*$AZ$97</f>
        <v>0</v>
      </c>
      <c r="BF426" s="172">
        <f>IF('[1]Cockpit Retorno'!$C$65=Sim,Mestre!BA426,SUM(BB426:BE426)+(IF(K426=$K$56,AQ426*MOE_IRRF_LR,0)))</f>
        <v>0</v>
      </c>
      <c r="BG426" s="174">
        <f>IF(AA426&gt;0,0,IF(Z426=$Z$82,AG426*1,(IF(Z426=$Z$81,AG426*1,0))))</f>
        <v>0</v>
      </c>
      <c r="BH426" s="174">
        <f>IF(AA426&gt;0,0,IF(Z426=$Z$83,AG426*1,IF(Z426=$Z$81,AG426*1,0)))</f>
        <v>0</v>
      </c>
      <c r="BI426" s="174">
        <f>IF(AA426&gt;0,0,IF(Z426=$Z$84,AG426*1,IF(Z426=$Z$93,AG426*2,IF(Z426=$Z$100,AG426,IF(Z426=$Z$81,AG426*2,IF(Z426=$Z$80,AG426*1,IF(Z426=$Z$79,AG426*3,IF(Z426=$Z$78,AG426*2,0))))))))</f>
        <v>0</v>
      </c>
      <c r="BJ426" s="174">
        <f>IF(AA426&gt;0,0,IF(Z426=$Z$85,AG426,IF(Z426=$Z$93,AG426,IF(Z426=$Z$100,AG426,IF(Z426=$Z$81,AG426*1,IF(Z426=$Z$80,AG426*2,IF(Z426=$Z$79,AG426*2,IF(Z426=$Z$78,AG426*2,0))))))))</f>
        <v>0</v>
      </c>
      <c r="BK426" s="174">
        <f>IF(AA426&gt;0,0,IF(Z426=$Z$92,AG426,0))</f>
        <v>0</v>
      </c>
      <c r="BL426" s="174">
        <f>IF(AA426&gt;0,0,IF(Z426=$Z$91,AG426,0))</f>
        <v>0</v>
      </c>
      <c r="BM426" s="174">
        <f>IF(AA426&gt;0,0,IF(Z426=$Z$86,AG426,0))</f>
        <v>0</v>
      </c>
      <c r="BN426" s="174">
        <f>IF(AA426&gt;0,0,IF(Z426=$Z$87,AG426,0))</f>
        <v>0</v>
      </c>
      <c r="BO426" s="174">
        <f>IF(AA426&gt;0,0,IF(Z426=$Z$88,AG426,0))</f>
        <v>0</v>
      </c>
      <c r="BP426" s="174">
        <f>IF(AA426&gt;0,0,IF(Z426=$Z$89,AG426,0))</f>
        <v>0</v>
      </c>
      <c r="BQ426" s="174">
        <f>IF(AA426&gt;0,0,IF(Z426=$Z$90,AG426,0))</f>
        <v>0</v>
      </c>
      <c r="BR426" s="174">
        <f>IF(Z426=$Z$82,AA426*AG426,0)</f>
        <v>0</v>
      </c>
      <c r="BS426" s="174">
        <f>IF(Z426=$Z$83,AA426*AG426,0)</f>
        <v>0</v>
      </c>
      <c r="BT426" s="174">
        <f>IF(AA426&lt;1,0,IF(Z426=$Z$84,AA426*AG426,IF(Z426=$Z$93,"ERRO",IF(Z426=$Z$100,"ERRO",0))))</f>
        <v>0</v>
      </c>
      <c r="BU426" s="174">
        <f>IF(AA426&lt;1,0,IF(Z426=$Z$85,AA426*AG426,IF(Z426=$Z$93,"ERRO",IF(Z426=$Z$100,"ERRO",0))))</f>
        <v>0</v>
      </c>
      <c r="BV426" s="174">
        <f>IF(Z426=$Z$92,AA426*AG426,0)</f>
        <v>0</v>
      </c>
      <c r="BW426" s="174">
        <f>IF(Z426=$Z$91,AA426*AG426,0)</f>
        <v>0</v>
      </c>
      <c r="BX426" s="174">
        <f>IF(Z426=$Z$86,AA426*AG426,0)</f>
        <v>0</v>
      </c>
      <c r="BY426" s="174">
        <f>IF(Z426=$Z$87,AA426*AG426,0)</f>
        <v>0</v>
      </c>
      <c r="BZ426" s="174">
        <f>IF(Z426=$Z$88,AA426*AG426,0)</f>
        <v>0</v>
      </c>
      <c r="CA426" s="174">
        <f>IF(Z426=$Z$89,AA426*AG426,0)</f>
        <v>0</v>
      </c>
      <c r="CB426" s="174">
        <f>IF(Z426=$Z$90,AA426*AG426,0)</f>
        <v>0</v>
      </c>
      <c r="CC426" s="175">
        <f>IFERROR(IF(L426=$L$49,AG426*AH426*(1+AI426)*(1-AK426)*(1-AL426),0),0)</f>
        <v>0</v>
      </c>
      <c r="CD426" s="182">
        <f>IF(I426=$CD$97,1,IF(I426=$CD$100,2,IF(K426=$K$66,1,IF(K426=$K$69,1,3))))</f>
        <v>3</v>
      </c>
      <c r="CE426" s="182">
        <f t="shared" si="113"/>
        <v>1.3</v>
      </c>
      <c r="CF426" s="184">
        <f t="shared" si="96"/>
        <v>1.74</v>
      </c>
      <c r="CG426" s="182">
        <f t="shared" si="114"/>
        <v>2</v>
      </c>
      <c r="CH426" s="184">
        <f t="shared" si="97"/>
        <v>2.1800000000000002</v>
      </c>
      <c r="CI426" s="182">
        <f t="shared" si="115"/>
        <v>2.4</v>
      </c>
      <c r="CJ426" s="185">
        <f>CE426*$CJ$102</f>
        <v>1.274</v>
      </c>
      <c r="CK426" s="185">
        <f>CF426*$CK$102</f>
        <v>1.6182000000000001</v>
      </c>
      <c r="CL426" s="185">
        <f>CG426*$CL$102</f>
        <v>1.96</v>
      </c>
      <c r="CM426" s="185">
        <f>CH426*$CM$102</f>
        <v>2.1146000000000003</v>
      </c>
      <c r="CN426" s="186">
        <f>CI426*$CN$102</f>
        <v>2.3039999999999998</v>
      </c>
      <c r="CO426" s="184">
        <v>1.3</v>
      </c>
      <c r="CP426" s="187">
        <f t="shared" si="104"/>
        <v>0</v>
      </c>
      <c r="CQ426" s="188">
        <f t="shared" si="105"/>
        <v>0</v>
      </c>
      <c r="CR426" s="189">
        <f t="shared" si="123"/>
        <v>0</v>
      </c>
      <c r="CS426" s="49"/>
      <c r="CT426" s="49"/>
      <c r="CU426" s="49"/>
      <c r="CV426" s="49"/>
      <c r="CW426" s="49"/>
      <c r="CX426" s="49"/>
      <c r="CY426" s="49"/>
      <c r="CZ426" s="49"/>
      <c r="DA426" s="49"/>
      <c r="DB426" s="49"/>
      <c r="DC426" s="49"/>
      <c r="DD426" s="49"/>
      <c r="DE426" s="49"/>
      <c r="DF426" s="49"/>
      <c r="DG426" s="49"/>
      <c r="DH426" s="49"/>
      <c r="DI426" s="49"/>
      <c r="DJ426" s="49"/>
      <c r="DK426" s="49"/>
      <c r="DL426" s="49"/>
      <c r="DM426" s="49"/>
      <c r="DN426" s="49"/>
      <c r="DO426" s="49"/>
      <c r="DP426" s="49"/>
      <c r="DQ426" s="49"/>
      <c r="DR426" s="49"/>
      <c r="DS426" s="49"/>
      <c r="DT426" s="49"/>
      <c r="DU426" s="49"/>
      <c r="DV426" s="49"/>
      <c r="DW426" s="49"/>
      <c r="DX426" s="49"/>
      <c r="DY426" s="49"/>
      <c r="DZ426" s="49"/>
      <c r="EA426" s="49"/>
      <c r="EB426" s="49"/>
      <c r="EC426" s="49"/>
      <c r="ED426" s="49"/>
      <c r="EE426" s="49"/>
      <c r="EF426" s="49"/>
      <c r="EG426" s="49"/>
      <c r="EH426" s="49"/>
      <c r="EI426" s="49"/>
      <c r="EJ426" s="49"/>
      <c r="EK426" s="49"/>
      <c r="EL426" s="49"/>
      <c r="EM426" s="49"/>
      <c r="EN426" s="49"/>
      <c r="EO426" s="49"/>
      <c r="EP426" s="49"/>
      <c r="EQ426" s="49"/>
      <c r="ER426" s="49"/>
      <c r="ES426" s="49"/>
      <c r="ET426" s="49"/>
      <c r="EU426" s="49"/>
      <c r="EV426" s="49"/>
      <c r="EW426" s="49"/>
      <c r="EX426" s="49"/>
      <c r="EY426" s="49"/>
      <c r="EZ426" s="49"/>
      <c r="FA426" s="49"/>
    </row>
    <row r="427" spans="1:157" s="182" customFormat="1" x14ac:dyDescent="0.25">
      <c r="A427" s="113">
        <f>IF(AND('[1]Cockpit Retorno'!$E$67=Sim,Mestre!M427=Mestre!$M$98),0,1)</f>
        <v>1</v>
      </c>
      <c r="B427" s="113">
        <f>IF(AND('[1]Cockpit Retorno'!$E$67=Sim,Mestre!L427=Mestre!$L$48),0,1)</f>
        <v>0</v>
      </c>
      <c r="C427" s="113">
        <f>IF(AND('[1]Cockpit Retorno'!$E$67=Sim,Mestre!M427=Mestre!$M$97),0,1)</f>
        <v>1</v>
      </c>
      <c r="D427" s="148" t="s">
        <v>274</v>
      </c>
      <c r="E427" s="115"/>
      <c r="F427" s="116" t="s">
        <v>107</v>
      </c>
      <c r="G427" s="149"/>
      <c r="H427" s="150" t="s">
        <v>55</v>
      </c>
      <c r="I427" s="151" t="str">
        <f t="shared" si="116"/>
        <v>Serviços</v>
      </c>
      <c r="J427" s="150" t="s">
        <v>12</v>
      </c>
      <c r="K427" s="152" t="s">
        <v>55</v>
      </c>
      <c r="L427" s="153" t="s">
        <v>15</v>
      </c>
      <c r="M427" s="154"/>
      <c r="N427" s="155" t="s">
        <v>43</v>
      </c>
      <c r="O427" s="155" t="s">
        <v>43</v>
      </c>
      <c r="P427" s="155" t="s">
        <v>43</v>
      </c>
      <c r="Q427" s="155" t="s">
        <v>43</v>
      </c>
      <c r="R427" s="155" t="s">
        <v>43</v>
      </c>
      <c r="S427" s="156" t="s">
        <v>43</v>
      </c>
      <c r="T427" s="156" t="s">
        <v>43</v>
      </c>
      <c r="U427" s="150" t="s">
        <v>43</v>
      </c>
      <c r="V427" s="150" t="s">
        <v>43</v>
      </c>
      <c r="W427" s="150" t="s">
        <v>43</v>
      </c>
      <c r="X427" s="157"/>
      <c r="Y427" s="150" t="s">
        <v>43</v>
      </c>
      <c r="Z427" s="150"/>
      <c r="AA427" s="158"/>
      <c r="AB427" s="155"/>
      <c r="AC427" s="150"/>
      <c r="AD427" s="155"/>
      <c r="AE427" s="155"/>
      <c r="AF427" s="150"/>
      <c r="AG427" s="159"/>
      <c r="AH427" s="159">
        <v>0</v>
      </c>
      <c r="AI427" s="161"/>
      <c r="AJ427" s="161"/>
      <c r="AK427" s="162"/>
      <c r="AL427" s="163"/>
      <c r="AM427" s="164">
        <f>(((IF(L427=$L$101,1,IF(L427=$L$47,1,0))*(AH427*(1-AK427)))*AG427)*(1-AL427))</f>
        <v>0</v>
      </c>
      <c r="AN427" s="165">
        <f>IF(K427=$K$50,AM427,IF(K427=$K$53,AM427,IF(K427=$K$54,AM427,IF(K427=$K$55,AM427,IF(K427=$K$56,AM427,IF(K427=$K$57,AM427,IF(K427=$K$58,AM427,IF(K427=$K$65,AM427,IF(K427=$K$66,AM427,IF(K427=$K$67,AM427,IF(K427=$K$68,AM427,IF(K427=$K$69,AM427,IF(K427=$K$51,AM427,(AM427*(1+AI427)))))))))))))))</f>
        <v>0</v>
      </c>
      <c r="AO427" s="166">
        <v>1.9</v>
      </c>
      <c r="AP427" s="160">
        <f t="shared" si="117"/>
        <v>0</v>
      </c>
      <c r="AQ427" s="167">
        <f t="shared" si="112"/>
        <v>0</v>
      </c>
      <c r="AR427" s="160">
        <f t="shared" si="118"/>
        <v>0</v>
      </c>
      <c r="AS427" s="168">
        <f t="shared" si="119"/>
        <v>0</v>
      </c>
      <c r="AT427" s="169" t="str">
        <f>K427</f>
        <v>MOC</v>
      </c>
      <c r="AU427" s="169" t="str">
        <f>I427</f>
        <v>Serviços</v>
      </c>
      <c r="AV427" s="170"/>
      <c r="AW427" s="171">
        <f>IF(K427=$K$50,0,IF(K427=$K$53,0,IF(K427=$K$54,0,IF(K427=$K$55,0,IF(K427=$K$56,0,IF(K427=$K$57,0,IF(K427=$K$58,0,IF(K427=$K$65,0,IF(K427=$K$66,0,IF(K427=$K$67,0,IF(K427=$K$68,0,IF(K427=$K$69,0,IF(K427=$K$51,0,1))))))))))))*AM427*AI427)</f>
        <v>0</v>
      </c>
      <c r="AX427" s="172">
        <f>IF(K427=$K$50,0,IF(K427=$K$53,0,IF(K427=$K$54,0,IF(K427=$K$55,0,IF(K427=$K$56,0,IF(K427=$K$57,0,IF(K427=$K$58,0,IF(K427=$K$65,0,IF(K427=$K$66,0,IF(K427=$K$67,0,IF(K427=$K$68,0,IF(K427=$K$69,0,IF(K427=$K$51,0,1))))))))))))*AM427*AJ427*$AX$94)</f>
        <v>0</v>
      </c>
      <c r="AY427" s="172">
        <f>IF(K427=$K$53,0,IF(K427=$K$54,0,IF(K427=$K$55,0,IF(K427=$K$56,0,IF(K427=$K$58,0,IF(K427=$K$50,0,IF(K427=$K$65,0,IF(K427=$K$57,0,IF(K427=$K$51,0,AM427*$AY$102)))))))))</f>
        <v>0</v>
      </c>
      <c r="AZ427" s="172">
        <f>IF(K427=$K$53,0,IF(K427=$K$54,0,IF(K427=$K$55,0,IF(K427=$K$56,0,IF(K427=$K$58,0,IF(K427=$K$50,0,IF(K427=$K$65,0,IF(K427=$K$57,0,IF(K427=$K$51,0,AM427*$AZ$102)))))))))</f>
        <v>0</v>
      </c>
      <c r="BA427" s="172">
        <f t="shared" si="120"/>
        <v>0</v>
      </c>
      <c r="BB427" s="173">
        <f>IF($BA$97=1,AQ427*$BB$102,IF(K427=$K$50,0,IF(K427=$K$53,0,IF(K427=$K$54,0,IF(K427=$K$55,0,IF(K427=$K$56,0,IF(K427=$K$57,0,IF(K427=$K$58,0,IF(K427=$K$65,0,IF(K427=$K$66,0,IF(K427=$K$67,0,IF(K427=$K$68,0,IF(K427=$K$69,0,IF(K427=$K$51,0,1)))))))))))*AQ427*$BB$102)))</f>
        <v>0</v>
      </c>
      <c r="BC427" s="172">
        <f t="shared" si="121"/>
        <v>0</v>
      </c>
      <c r="BD427" s="172">
        <f t="shared" si="122"/>
        <v>0</v>
      </c>
      <c r="BE427" s="172">
        <f>IF($BE$95=I427,$BE$97,IF(I427=$BE$96,$BE$97,1))*($BE$102*AQ427)*$AZ$97</f>
        <v>0</v>
      </c>
      <c r="BF427" s="172">
        <f>IF('[1]Cockpit Retorno'!$C$65=Sim,Mestre!BA427,SUM(BB427:BE427)+(IF(K427=$K$56,AQ427*MOE_IRRF_LR,0)))</f>
        <v>0</v>
      </c>
      <c r="BG427" s="174">
        <f>IF(AA427&gt;0,0,IF(Z427=$Z$82,AG427*1,(IF(Z427=$Z$81,AG427*1,0))))</f>
        <v>0</v>
      </c>
      <c r="BH427" s="174">
        <f>IF(AA427&gt;0,0,IF(Z427=$Z$83,AG427*1,IF(Z427=$Z$81,AG427*1,0)))</f>
        <v>0</v>
      </c>
      <c r="BI427" s="174">
        <f>IF(AA427&gt;0,0,IF(Z427=$Z$84,AG427*1,IF(Z427=$Z$93,AG427*2,IF(Z427=$Z$100,AG427,IF(Z427=$Z$81,AG427*2,IF(Z427=$Z$80,AG427*1,IF(Z427=$Z$79,AG427*3,IF(Z427=$Z$78,AG427*2,0))))))))</f>
        <v>0</v>
      </c>
      <c r="BJ427" s="174">
        <f>IF(AA427&gt;0,0,IF(Z427=$Z$85,AG427,IF(Z427=$Z$93,AG427,IF(Z427=$Z$100,AG427,IF(Z427=$Z$81,AG427*1,IF(Z427=$Z$80,AG427*2,IF(Z427=$Z$79,AG427*2,IF(Z427=$Z$78,AG427*2,0))))))))</f>
        <v>0</v>
      </c>
      <c r="BK427" s="174">
        <f>IF(AA427&gt;0,0,IF(Z427=$Z$92,AG427,0))</f>
        <v>0</v>
      </c>
      <c r="BL427" s="174">
        <f>IF(AA427&gt;0,0,IF(Z427=$Z$91,AG427,0))</f>
        <v>0</v>
      </c>
      <c r="BM427" s="174">
        <f>IF(AA427&gt;0,0,IF(Z427=$Z$86,AG427,0))</f>
        <v>0</v>
      </c>
      <c r="BN427" s="174">
        <f>IF(AA427&gt;0,0,IF(Z427=$Z$87,AG427,0))</f>
        <v>0</v>
      </c>
      <c r="BO427" s="174">
        <f>IF(AA427&gt;0,0,IF(Z427=$Z$88,AG427,0))</f>
        <v>0</v>
      </c>
      <c r="BP427" s="174">
        <f>IF(AA427&gt;0,0,IF(Z427=$Z$89,AG427,0))</f>
        <v>0</v>
      </c>
      <c r="BQ427" s="174">
        <f>IF(AA427&gt;0,0,IF(Z427=$Z$90,AG427,0))</f>
        <v>0</v>
      </c>
      <c r="BR427" s="174">
        <f>IF(Z427=$Z$82,AA427*AG427,0)</f>
        <v>0</v>
      </c>
      <c r="BS427" s="174">
        <f>IF(Z427=$Z$83,AA427*AG427,0)</f>
        <v>0</v>
      </c>
      <c r="BT427" s="174">
        <f>IF(AA427&lt;1,0,IF(Z427=$Z$84,AA427*AG427,IF(Z427=$Z$93,"ERRO",IF(Z427=$Z$100,"ERRO",0))))</f>
        <v>0</v>
      </c>
      <c r="BU427" s="174">
        <f>IF(AA427&lt;1,0,IF(Z427=$Z$85,AA427*AG427,IF(Z427=$Z$93,"ERRO",IF(Z427=$Z$100,"ERRO",0))))</f>
        <v>0</v>
      </c>
      <c r="BV427" s="174">
        <f>IF(Z427=$Z$92,AA427*AG427,0)</f>
        <v>0</v>
      </c>
      <c r="BW427" s="174">
        <f>IF(Z427=$Z$91,AA427*AG427,0)</f>
        <v>0</v>
      </c>
      <c r="BX427" s="174">
        <f>IF(Z427=$Z$86,AA427*AG427,0)</f>
        <v>0</v>
      </c>
      <c r="BY427" s="174">
        <f>IF(Z427=$Z$87,AA427*AG427,0)</f>
        <v>0</v>
      </c>
      <c r="BZ427" s="174">
        <f>IF(Z427=$Z$88,AA427*AG427,0)</f>
        <v>0</v>
      </c>
      <c r="CA427" s="174">
        <f>IF(Z427=$Z$89,AA427*AG427,0)</f>
        <v>0</v>
      </c>
      <c r="CB427" s="174">
        <f>IF(Z427=$Z$90,AA427*AG427,0)</f>
        <v>0</v>
      </c>
      <c r="CC427" s="175">
        <f>IFERROR(IF(L427=$L$49,AG427*AH427*(1+AI427)*(1-AK427)*(1-AL427),0),0)</f>
        <v>0</v>
      </c>
      <c r="CD427" s="182">
        <f>IF(I427=$CD$97,1,IF(I427=$CD$100,2,IF(K427=$K$66,1,IF(K427=$K$69,1,3))))</f>
        <v>3</v>
      </c>
      <c r="CE427" s="182">
        <f t="shared" si="113"/>
        <v>1.3</v>
      </c>
      <c r="CF427" s="184">
        <f t="shared" si="96"/>
        <v>1.74</v>
      </c>
      <c r="CG427" s="182">
        <f t="shared" si="114"/>
        <v>2</v>
      </c>
      <c r="CH427" s="184">
        <f t="shared" si="97"/>
        <v>2.1800000000000002</v>
      </c>
      <c r="CI427" s="182">
        <f t="shared" si="115"/>
        <v>2.4</v>
      </c>
      <c r="CJ427" s="185">
        <f>CE427*$CJ$102</f>
        <v>1.274</v>
      </c>
      <c r="CK427" s="185">
        <f>CF427*$CK$102</f>
        <v>1.6182000000000001</v>
      </c>
      <c r="CL427" s="185">
        <f>CG427*$CL$102</f>
        <v>1.96</v>
      </c>
      <c r="CM427" s="185">
        <f>CH427*$CM$102</f>
        <v>2.1146000000000003</v>
      </c>
      <c r="CN427" s="186">
        <f>CI427*$CN$102</f>
        <v>2.3039999999999998</v>
      </c>
      <c r="CO427" s="184">
        <f>CJ427*$CO$102</f>
        <v>1.2230399999999999</v>
      </c>
      <c r="CP427" s="187">
        <f t="shared" si="104"/>
        <v>0</v>
      </c>
      <c r="CQ427" s="188">
        <f t="shared" si="105"/>
        <v>0</v>
      </c>
      <c r="CR427" s="189">
        <f t="shared" si="123"/>
        <v>0</v>
      </c>
      <c r="CS427" s="49"/>
      <c r="CT427" s="49"/>
      <c r="CU427" s="49"/>
      <c r="CV427" s="49"/>
      <c r="CW427" s="49"/>
      <c r="CX427" s="49"/>
      <c r="CY427" s="49"/>
      <c r="CZ427" s="49"/>
      <c r="DA427" s="49"/>
      <c r="DB427" s="49"/>
      <c r="DC427" s="49"/>
      <c r="DD427" s="49"/>
      <c r="DE427" s="49"/>
      <c r="DF427" s="49"/>
      <c r="DG427" s="49"/>
      <c r="DH427" s="49"/>
      <c r="DI427" s="49"/>
      <c r="DJ427" s="49"/>
      <c r="DK427" s="49"/>
      <c r="DL427" s="49"/>
      <c r="DM427" s="49"/>
      <c r="DN427" s="49"/>
      <c r="DO427" s="49"/>
      <c r="DP427" s="49"/>
      <c r="DQ427" s="49"/>
      <c r="DR427" s="49"/>
      <c r="DS427" s="49"/>
      <c r="DT427" s="49"/>
      <c r="DU427" s="49"/>
      <c r="DV427" s="49"/>
      <c r="DW427" s="49"/>
      <c r="DX427" s="49"/>
      <c r="DY427" s="49"/>
      <c r="DZ427" s="49"/>
      <c r="EA427" s="49"/>
      <c r="EB427" s="49"/>
      <c r="EC427" s="49"/>
      <c r="ED427" s="49"/>
      <c r="EE427" s="49"/>
      <c r="EF427" s="49"/>
      <c r="EG427" s="49"/>
      <c r="EH427" s="49"/>
      <c r="EI427" s="49"/>
      <c r="EJ427" s="49"/>
      <c r="EK427" s="49"/>
      <c r="EL427" s="49"/>
      <c r="EM427" s="49"/>
      <c r="EN427" s="49"/>
      <c r="EO427" s="49"/>
      <c r="EP427" s="49"/>
      <c r="EQ427" s="49"/>
      <c r="ER427" s="49"/>
      <c r="ES427" s="49"/>
      <c r="ET427" s="49"/>
      <c r="EU427" s="49"/>
      <c r="EV427" s="49"/>
      <c r="EW427" s="49"/>
      <c r="EX427" s="49"/>
      <c r="EY427" s="49"/>
      <c r="EZ427" s="49"/>
      <c r="FA427" s="49"/>
    </row>
    <row r="428" spans="1:157" s="182" customFormat="1" x14ac:dyDescent="0.25">
      <c r="A428" s="113">
        <f>IF(AND('[1]Cockpit Retorno'!$E$67=Sim,Mestre!M428=Mestre!$M$98),0,1)</f>
        <v>1</v>
      </c>
      <c r="B428" s="113">
        <f>IF(AND('[1]Cockpit Retorno'!$E$67=Sim,Mestre!L428=Mestre!$L$48),0,1)</f>
        <v>0</v>
      </c>
      <c r="C428" s="113">
        <f>IF(AND('[1]Cockpit Retorno'!$E$67=Sim,Mestre!M428=Mestre!$M$97),0,1)</f>
        <v>1</v>
      </c>
      <c r="D428" s="148" t="s">
        <v>260</v>
      </c>
      <c r="E428" s="115"/>
      <c r="F428" s="116" t="s">
        <v>107</v>
      </c>
      <c r="G428" s="149"/>
      <c r="H428" s="150" t="s">
        <v>70</v>
      </c>
      <c r="I428" s="151" t="str">
        <f t="shared" si="116"/>
        <v>Serviços</v>
      </c>
      <c r="J428" s="150" t="s">
        <v>12</v>
      </c>
      <c r="K428" s="152" t="s">
        <v>70</v>
      </c>
      <c r="L428" s="153" t="s">
        <v>15</v>
      </c>
      <c r="M428" s="154"/>
      <c r="N428" s="155" t="s">
        <v>43</v>
      </c>
      <c r="O428" s="155" t="s">
        <v>43</v>
      </c>
      <c r="P428" s="155" t="s">
        <v>43</v>
      </c>
      <c r="Q428" s="155" t="s">
        <v>43</v>
      </c>
      <c r="R428" s="155" t="s">
        <v>43</v>
      </c>
      <c r="S428" s="156" t="s">
        <v>43</v>
      </c>
      <c r="T428" s="156" t="s">
        <v>43</v>
      </c>
      <c r="U428" s="150" t="s">
        <v>43</v>
      </c>
      <c r="V428" s="150" t="s">
        <v>43</v>
      </c>
      <c r="W428" s="150" t="s">
        <v>43</v>
      </c>
      <c r="X428" s="157"/>
      <c r="Y428" s="150" t="s">
        <v>43</v>
      </c>
      <c r="Z428" s="150" t="s">
        <v>43</v>
      </c>
      <c r="AA428" s="158">
        <v>0</v>
      </c>
      <c r="AB428" s="155" t="s">
        <v>43</v>
      </c>
      <c r="AC428" s="150" t="s">
        <v>43</v>
      </c>
      <c r="AD428" s="155" t="s">
        <v>43</v>
      </c>
      <c r="AE428" s="155"/>
      <c r="AF428" s="150" t="s">
        <v>43</v>
      </c>
      <c r="AG428" s="159"/>
      <c r="AH428" s="159">
        <v>0</v>
      </c>
      <c r="AI428" s="161"/>
      <c r="AJ428" s="161"/>
      <c r="AK428" s="162"/>
      <c r="AL428" s="163"/>
      <c r="AM428" s="164">
        <f>(((IF(L428=$L$101,1,IF(L428=$L$47,1,0))*(AH428*(1-AK428)))*AG428)*(1-AL428))</f>
        <v>0</v>
      </c>
      <c r="AN428" s="165">
        <f>IF(K428=$K$50,AM428,IF(K428=$K$53,AM428,IF(K428=$K$54,AM428,IF(K428=$K$55,AM428,IF(K428=$K$56,AM428,IF(K428=$K$57,AM428,IF(K428=$K$58,AM428,IF(K428=$K$65,AM428,IF(K428=$K$66,AM428,IF(K428=$K$67,AM428,IF(K428=$K$68,AM428,IF(K428=$K$69,AM428,IF(K428=$K$51,AM428,(AM428*(1+AI428)))))))))))))))</f>
        <v>0</v>
      </c>
      <c r="AO428" s="166">
        <v>1.9</v>
      </c>
      <c r="AP428" s="160">
        <f t="shared" si="117"/>
        <v>0</v>
      </c>
      <c r="AQ428" s="167">
        <f t="shared" si="112"/>
        <v>0</v>
      </c>
      <c r="AR428" s="160">
        <f t="shared" si="118"/>
        <v>0</v>
      </c>
      <c r="AS428" s="183">
        <f t="shared" si="119"/>
        <v>0</v>
      </c>
      <c r="AT428" s="169" t="str">
        <f>K428</f>
        <v>MOD</v>
      </c>
      <c r="AU428" s="169" t="str">
        <f>I428</f>
        <v>Serviços</v>
      </c>
      <c r="AV428" s="170"/>
      <c r="AW428" s="171">
        <f>IF(K428=$K$50,0,IF(K428=$K$53,0,IF(K428=$K$54,0,IF(K428=$K$55,0,IF(K428=$K$56,0,IF(K428=$K$57,0,IF(K428=$K$58,0,IF(K428=$K$65,0,IF(K428=$K$66,0,IF(K428=$K$67,0,IF(K428=$K$68,0,IF(K428=$K$69,0,IF(K428=$K$51,0,1))))))))))))*AM428*AI428)</f>
        <v>0</v>
      </c>
      <c r="AX428" s="172">
        <f>IF(K428=$K$50,0,IF(K428=$K$53,0,IF(K428=$K$54,0,IF(K428=$K$55,0,IF(K428=$K$56,0,IF(K428=$K$57,0,IF(K428=$K$58,0,IF(K428=$K$65,0,IF(K428=$K$66,0,IF(K428=$K$67,0,IF(K428=$K$68,0,IF(K428=$K$69,0,IF(K428=$K$51,0,1))))))))))))*AM428*AJ428*$AX$94)</f>
        <v>0</v>
      </c>
      <c r="AY428" s="172">
        <f>IF(K428=$K$53,0,IF(K428=$K$54,0,IF(K428=$K$55,0,IF(K428=$K$56,0,IF(K428=$K$58,0,IF(K428=$K$50,0,IF(K428=$K$65,0,IF(K428=$K$57,0,IF(K428=$K$51,0,AM428*$AY$102)))))))))</f>
        <v>0</v>
      </c>
      <c r="AZ428" s="172">
        <f>IF(K428=$K$53,0,IF(K428=$K$54,0,IF(K428=$K$55,0,IF(K428=$K$56,0,IF(K428=$K$58,0,IF(K428=$K$50,0,IF(K428=$K$65,0,IF(K428=$K$57,0,IF(K428=$K$51,0,AM428*$AZ$102)))))))))</f>
        <v>0</v>
      </c>
      <c r="BA428" s="172">
        <f t="shared" si="120"/>
        <v>0</v>
      </c>
      <c r="BB428" s="173">
        <f>IF($BA$97=1,AQ428*$BB$102,IF(K428=$K$50,0,IF(K428=$K$53,0,IF(K428=$K$54,0,IF(K428=$K$55,0,IF(K428=$K$56,0,IF(K428=$K$57,0,IF(K428=$K$58,0,IF(K428=$K$65,0,IF(K428=$K$66,0,IF(K428=$K$67,0,IF(K428=$K$68,0,IF(K428=$K$69,0,IF(K428=$K$51,0,1)))))))))))*AQ428*$BB$102)))</f>
        <v>0</v>
      </c>
      <c r="BC428" s="172">
        <f t="shared" si="121"/>
        <v>0</v>
      </c>
      <c r="BD428" s="172">
        <f t="shared" si="122"/>
        <v>0</v>
      </c>
      <c r="BE428" s="172">
        <f>IF($BE$95=I428,$BE$97,IF(I428=$BE$96,$BE$97,1))*($BE$102*AQ428)*$AZ$97</f>
        <v>0</v>
      </c>
      <c r="BF428" s="172">
        <f>IF('[1]Cockpit Retorno'!$C$65=Sim,Mestre!BA428,SUM(BB428:BE428)+(IF(K428=$K$56,AQ428*MOE_IRRF_LR,0)))</f>
        <v>0</v>
      </c>
      <c r="BG428" s="174">
        <f>IF(AA428&gt;0,0,IF(Z428=$Z$82,AG428*1,(IF(Z428=$Z$81,AG428*1,0))))</f>
        <v>0</v>
      </c>
      <c r="BH428" s="174">
        <f>IF(AA428&gt;0,0,IF(Z428=$Z$83,AG428*1,IF(Z428=$Z$81,AG428*1,0)))</f>
        <v>0</v>
      </c>
      <c r="BI428" s="174">
        <f>IF(AA428&gt;0,0,IF(Z428=$Z$84,AG428*1,IF(Z428=$Z$93,AG428*2,IF(Z428=$Z$100,AG428,IF(Z428=$Z$81,AG428*2,IF(Z428=$Z$80,AG428*1,IF(Z428=$Z$79,AG428*3,IF(Z428=$Z$78,AG428*2,0))))))))</f>
        <v>0</v>
      </c>
      <c r="BJ428" s="174">
        <f>IF(AA428&gt;0,0,IF(Z428=$Z$85,AG428,IF(Z428=$Z$93,AG428,IF(Z428=$Z$100,AG428,IF(Z428=$Z$81,AG428*1,IF(Z428=$Z$80,AG428*2,IF(Z428=$Z$79,AG428*2,IF(Z428=$Z$78,AG428*2,0))))))))</f>
        <v>0</v>
      </c>
      <c r="BK428" s="174">
        <f>IF(AA428&gt;0,0,IF(Z428=$Z$92,AG428,0))</f>
        <v>0</v>
      </c>
      <c r="BL428" s="174">
        <f>IF(AA428&gt;0,0,IF(Z428=$Z$91,AG428,0))</f>
        <v>0</v>
      </c>
      <c r="BM428" s="174">
        <f>IF(AA428&gt;0,0,IF(Z428=$Z$86,AG428,0))</f>
        <v>0</v>
      </c>
      <c r="BN428" s="174">
        <f>IF(AA428&gt;0,0,IF(Z428=$Z$87,AG428,0))</f>
        <v>0</v>
      </c>
      <c r="BO428" s="174">
        <f>IF(AA428&gt;0,0,IF(Z428=$Z$88,AG428,0))</f>
        <v>0</v>
      </c>
      <c r="BP428" s="174">
        <f>IF(AA428&gt;0,0,IF(Z428=$Z$89,AG428,0))</f>
        <v>0</v>
      </c>
      <c r="BQ428" s="174">
        <f>IF(AA428&gt;0,0,IF(Z428=$Z$90,AG428,0))</f>
        <v>0</v>
      </c>
      <c r="BR428" s="174">
        <f>IF(Z428=$Z$82,AA428*AG428,0)</f>
        <v>0</v>
      </c>
      <c r="BS428" s="174">
        <f>IF(Z428=$Z$83,AA428*AG428,0)</f>
        <v>0</v>
      </c>
      <c r="BT428" s="174">
        <f>IF(AA428&lt;1,0,IF(Z428=$Z$84,AA428*AG428,IF(Z428=$Z$93,"ERRO",IF(Z428=$Z$100,"ERRO",0))))</f>
        <v>0</v>
      </c>
      <c r="BU428" s="174">
        <f>IF(AA428&lt;1,0,IF(Z428=$Z$85,AA428*AG428,IF(Z428=$Z$93,"ERRO",IF(Z428=$Z$100,"ERRO",0))))</f>
        <v>0</v>
      </c>
      <c r="BV428" s="174">
        <f>IF(Z428=$Z$92,AA428*AG428,0)</f>
        <v>0</v>
      </c>
      <c r="BW428" s="174">
        <f>IF(Z428=$Z$91,AA428*AG428,0)</f>
        <v>0</v>
      </c>
      <c r="BX428" s="174">
        <f>IF(Z428=$Z$86,AA428*AG428,0)</f>
        <v>0</v>
      </c>
      <c r="BY428" s="174">
        <f>IF(Z428=$Z$87,AA428*AG428,0)</f>
        <v>0</v>
      </c>
      <c r="BZ428" s="174">
        <f>IF(Z428=$Z$88,AA428*AG428,0)</f>
        <v>0</v>
      </c>
      <c r="CA428" s="174">
        <f>IF(Z428=$Z$89,AA428*AG428,0)</f>
        <v>0</v>
      </c>
      <c r="CB428" s="174">
        <f>IF(Z428=$Z$90,AA428*AG428,0)</f>
        <v>0</v>
      </c>
      <c r="CC428" s="175">
        <f>IFERROR(IF(L428=$L$49,AG428*AH428*(1+AI428)*(1-AK428)*(1-AL428),0),0)</f>
        <v>0</v>
      </c>
      <c r="CD428" s="182">
        <f>IF(I428=$CD$97,1,IF(I428=$CD$100,2,IF(K428=$K$66,1,IF(K428=$K$69,1,3))))</f>
        <v>3</v>
      </c>
      <c r="CE428" s="182">
        <f t="shared" si="113"/>
        <v>1.3</v>
      </c>
      <c r="CF428" s="184">
        <f t="shared" si="96"/>
        <v>1.74</v>
      </c>
      <c r="CG428" s="182">
        <f t="shared" si="114"/>
        <v>2</v>
      </c>
      <c r="CH428" s="184">
        <f t="shared" si="97"/>
        <v>2.1800000000000002</v>
      </c>
      <c r="CI428" s="182">
        <f t="shared" si="115"/>
        <v>2.4</v>
      </c>
      <c r="CJ428" s="185">
        <f>CE428*$CJ$102-0.05</f>
        <v>1.224</v>
      </c>
      <c r="CK428" s="185">
        <f>CF428*$CK$102-0.05</f>
        <v>1.5682</v>
      </c>
      <c r="CL428" s="185">
        <f>CG428*$CL$102-0.05</f>
        <v>1.91</v>
      </c>
      <c r="CM428" s="185">
        <f>CH428*$CM$102-0.05</f>
        <v>2.0646000000000004</v>
      </c>
      <c r="CN428" s="186">
        <f>CI428*$CN$102-0.05</f>
        <v>2.254</v>
      </c>
      <c r="CO428" s="184">
        <v>1.3</v>
      </c>
      <c r="CP428" s="187">
        <f t="shared" si="104"/>
        <v>0</v>
      </c>
      <c r="CQ428" s="188">
        <f t="shared" si="105"/>
        <v>0</v>
      </c>
      <c r="CR428" s="189">
        <f t="shared" si="123"/>
        <v>0</v>
      </c>
      <c r="CS428" s="49"/>
      <c r="CT428" s="49"/>
      <c r="CU428" s="49"/>
      <c r="CV428" s="49"/>
      <c r="CW428" s="49"/>
      <c r="CX428" s="49"/>
      <c r="CY428" s="49"/>
      <c r="CZ428" s="49"/>
      <c r="DA428" s="49"/>
      <c r="DB428" s="49"/>
      <c r="DC428" s="49"/>
      <c r="DD428" s="49"/>
      <c r="DE428" s="49"/>
      <c r="DF428" s="49"/>
      <c r="DG428" s="49"/>
      <c r="DH428" s="49"/>
      <c r="DI428" s="49"/>
      <c r="DJ428" s="49"/>
      <c r="DK428" s="49"/>
      <c r="DL428" s="49"/>
      <c r="DM428" s="49"/>
      <c r="DN428" s="49"/>
      <c r="DO428" s="49"/>
      <c r="DP428" s="49"/>
      <c r="DQ428" s="49"/>
      <c r="DR428" s="49"/>
      <c r="DS428" s="49"/>
      <c r="DT428" s="49"/>
      <c r="DU428" s="49"/>
      <c r="DV428" s="49"/>
      <c r="DW428" s="49"/>
      <c r="DX428" s="49"/>
      <c r="DY428" s="49"/>
      <c r="DZ428" s="49"/>
      <c r="EA428" s="49"/>
      <c r="EB428" s="49"/>
      <c r="EC428" s="49"/>
      <c r="ED428" s="49"/>
      <c r="EE428" s="49"/>
      <c r="EF428" s="49"/>
      <c r="EG428" s="49"/>
      <c r="EH428" s="49"/>
      <c r="EI428" s="49"/>
      <c r="EJ428" s="49"/>
      <c r="EK428" s="49"/>
      <c r="EL428" s="49"/>
      <c r="EM428" s="49"/>
      <c r="EN428" s="49"/>
      <c r="EO428" s="49"/>
      <c r="EP428" s="49"/>
      <c r="EQ428" s="49"/>
      <c r="ER428" s="49"/>
      <c r="ES428" s="49"/>
      <c r="ET428" s="49"/>
      <c r="EU428" s="49"/>
      <c r="EV428" s="49"/>
      <c r="EW428" s="49"/>
      <c r="EX428" s="49"/>
      <c r="EY428" s="49"/>
      <c r="EZ428" s="49"/>
      <c r="FA428" s="49"/>
    </row>
    <row r="429" spans="1:157" s="182" customFormat="1" x14ac:dyDescent="0.25">
      <c r="A429" s="113">
        <f>IF(AND('[1]Cockpit Retorno'!$E$67=Sim,Mestre!M429=Mestre!$M$98),0,1)</f>
        <v>1</v>
      </c>
      <c r="B429" s="113">
        <f>IF(AND('[1]Cockpit Retorno'!$E$67=Sim,Mestre!L429=Mestre!$L$48),0,1)</f>
        <v>0</v>
      </c>
      <c r="C429" s="113">
        <f>IF(AND('[1]Cockpit Retorno'!$E$67=Sim,Mestre!M429=Mestre!$M$97),0,1)</f>
        <v>1</v>
      </c>
      <c r="D429" s="148" t="s">
        <v>260</v>
      </c>
      <c r="E429" s="115"/>
      <c r="F429" s="116" t="s">
        <v>107</v>
      </c>
      <c r="G429" s="220"/>
      <c r="H429" s="221" t="s">
        <v>65</v>
      </c>
      <c r="I429" s="222" t="str">
        <f t="shared" si="116"/>
        <v>Serviços</v>
      </c>
      <c r="J429" s="221" t="s">
        <v>12</v>
      </c>
      <c r="K429" s="223" t="s">
        <v>65</v>
      </c>
      <c r="L429" s="224" t="s">
        <v>15</v>
      </c>
      <c r="M429" s="225"/>
      <c r="N429" s="226" t="s">
        <v>43</v>
      </c>
      <c r="O429" s="226" t="s">
        <v>43</v>
      </c>
      <c r="P429" s="226" t="s">
        <v>43</v>
      </c>
      <c r="Q429" s="226" t="s">
        <v>43</v>
      </c>
      <c r="R429" s="226" t="s">
        <v>43</v>
      </c>
      <c r="S429" s="227" t="s">
        <v>43</v>
      </c>
      <c r="T429" s="227" t="s">
        <v>43</v>
      </c>
      <c r="U429" s="221" t="s">
        <v>43</v>
      </c>
      <c r="V429" s="221" t="s">
        <v>43</v>
      </c>
      <c r="W429" s="221" t="s">
        <v>43</v>
      </c>
      <c r="X429" s="228"/>
      <c r="Y429" s="221" t="s">
        <v>43</v>
      </c>
      <c r="Z429" s="221" t="s">
        <v>43</v>
      </c>
      <c r="AA429" s="229">
        <v>0</v>
      </c>
      <c r="AB429" s="226" t="s">
        <v>43</v>
      </c>
      <c r="AC429" s="221" t="s">
        <v>43</v>
      </c>
      <c r="AD429" s="226" t="s">
        <v>43</v>
      </c>
      <c r="AE429" s="226"/>
      <c r="AF429" s="221" t="s">
        <v>43</v>
      </c>
      <c r="AG429" s="230"/>
      <c r="AH429" s="231">
        <v>0</v>
      </c>
      <c r="AI429" s="232"/>
      <c r="AJ429" s="232"/>
      <c r="AK429" s="233"/>
      <c r="AL429" s="234"/>
      <c r="AM429" s="235">
        <f>(((IF(L429=$L$101,1,IF(L429=$L$47,1,0))*(AH429*(1-AK429)))*AG429)*(1-AL429))</f>
        <v>0</v>
      </c>
      <c r="AN429" s="236">
        <f>IF(K429=$K$50,AM429,IF(K429=$K$53,AM429,IF(K429=$K$54,AM429,IF(K429=$K$55,AM429,IF(K429=$K$56,AM429,IF(K429=$K$57,AM429,IF(K429=$K$58,AM429,IF(K429=$K$65,AM429,IF(K429=$K$66,AM429,IF(K429=$K$67,AM429,IF(K429=$K$68,AM429,IF(K429=$K$69,AM429,IF(K429=$K$51,AM429,(AM429*(1+AI429)))))))))))))))</f>
        <v>0</v>
      </c>
      <c r="AO429" s="166">
        <v>1.9</v>
      </c>
      <c r="AP429" s="231">
        <f t="shared" si="117"/>
        <v>0</v>
      </c>
      <c r="AQ429" s="237">
        <f t="shared" si="112"/>
        <v>0</v>
      </c>
      <c r="AR429" s="231">
        <f t="shared" si="118"/>
        <v>0</v>
      </c>
      <c r="AS429" s="183">
        <f t="shared" si="119"/>
        <v>0</v>
      </c>
      <c r="AT429" s="169" t="str">
        <f>K429</f>
        <v>MOI</v>
      </c>
      <c r="AU429" s="169" t="str">
        <f>I429</f>
        <v>Serviços</v>
      </c>
      <c r="AV429" s="170"/>
      <c r="AW429" s="171">
        <f>IF(K429=$K$50,0,IF(K429=$K$53,0,IF(K429=$K$54,0,IF(K429=$K$55,0,IF(K429=$K$56,0,IF(K429=$K$57,0,IF(K429=$K$58,0,IF(K429=$K$65,0,IF(K429=$K$66,0,IF(K429=$K$67,0,IF(K429=$K$68,0,IF(K429=$K$69,0,IF(K429=$K$51,0,1))))))))))))*AM429*AI429)</f>
        <v>0</v>
      </c>
      <c r="AX429" s="172">
        <f>IF(K429=$K$50,0,IF(K429=$K$53,0,IF(K429=$K$54,0,IF(K429=$K$55,0,IF(K429=$K$56,0,IF(K429=$K$57,0,IF(K429=$K$58,0,IF(K429=$K$65,0,IF(K429=$K$66,0,IF(K429=$K$67,0,IF(K429=$K$68,0,IF(K429=$K$69,0,IF(K429=$K$51,0,1))))))))))))*AM429*AJ429*$AX$94)</f>
        <v>0</v>
      </c>
      <c r="AY429" s="172">
        <f>IF(K429=$K$53,0,IF(K429=$K$54,0,IF(K429=$K$55,0,IF(K429=$K$56,0,IF(K429=$K$58,0,IF(K429=$K$50,0,IF(K429=$K$65,0,IF(K429=$K$57,0,IF(K429=$K$51,0,AM429*$AY$102)))))))))</f>
        <v>0</v>
      </c>
      <c r="AZ429" s="172">
        <f>IF(K429=$K$53,0,IF(K429=$K$54,0,IF(K429=$K$55,0,IF(K429=$K$56,0,IF(K429=$K$58,0,IF(K429=$K$50,0,IF(K429=$K$65,0,IF(K429=$K$57,0,IF(K429=$K$51,0,AM429*$AZ$102)))))))))</f>
        <v>0</v>
      </c>
      <c r="BA429" s="172">
        <f t="shared" si="120"/>
        <v>0</v>
      </c>
      <c r="BB429" s="173">
        <f>IF($BA$97=1,AQ429*$BB$102,IF(K429=$K$50,0,IF(K429=$K$53,0,IF(K429=$K$54,0,IF(K429=$K$55,0,IF(K429=$K$56,0,IF(K429=$K$57,0,IF(K429=$K$58,0,IF(K429=$K$65,0,IF(K429=$K$66,0,IF(K429=$K$67,0,IF(K429=$K$68,0,IF(K429=$K$69,0,IF(K429=$K$51,0,1)))))))))))*AQ429*$BB$102)))</f>
        <v>0</v>
      </c>
      <c r="BC429" s="172">
        <f t="shared" si="121"/>
        <v>0</v>
      </c>
      <c r="BD429" s="172">
        <f t="shared" si="122"/>
        <v>0</v>
      </c>
      <c r="BE429" s="172">
        <f>IF($BE$95=I429,$BE$97,IF(I429=$BE$96,$BE$97,1))*($BE$102*AQ429)*$AZ$97</f>
        <v>0</v>
      </c>
      <c r="BF429" s="172">
        <f>IF('[1]Cockpit Retorno'!$C$65=Sim,Mestre!BA429,SUM(BB429:BE429)+(IF(K429=$K$56,AQ429*MOE_IRRF_LR,0)))</f>
        <v>0</v>
      </c>
      <c r="BG429" s="174">
        <f>IF(AA429&gt;0,0,IF(Z429=$Z$82,AG429*1,(IF(Z429=$Z$81,AG429*1,0))))</f>
        <v>0</v>
      </c>
      <c r="BH429" s="174">
        <f>IF(AA429&gt;0,0,IF(Z429=$Z$83,AG429*1,IF(Z429=$Z$81,AG429*1,0)))</f>
        <v>0</v>
      </c>
      <c r="BI429" s="174">
        <f>IF(AA429&gt;0,0,IF(Z429=$Z$84,AG429*1,IF(Z429=$Z$93,AG429*2,IF(Z429=$Z$100,AG429,IF(Z429=$Z$81,AG429*2,IF(Z429=$Z$80,AG429*1,IF(Z429=$Z$79,AG429*3,IF(Z429=$Z$78,AG429*2,0))))))))</f>
        <v>0</v>
      </c>
      <c r="BJ429" s="174">
        <f>IF(AA429&gt;0,0,IF(Z429=$Z$85,AG429,IF(Z429=$Z$93,AG429,IF(Z429=$Z$100,AG429,IF(Z429=$Z$81,AG429*1,IF(Z429=$Z$80,AG429*2,IF(Z429=$Z$79,AG429*2,IF(Z429=$Z$78,AG429*2,0))))))))</f>
        <v>0</v>
      </c>
      <c r="BK429" s="174">
        <f>IF(AA429&gt;0,0,IF(Z429=$Z$92,AG429,0))</f>
        <v>0</v>
      </c>
      <c r="BL429" s="174">
        <f>IF(AA429&gt;0,0,IF(Z429=$Z$91,AG429,0))</f>
        <v>0</v>
      </c>
      <c r="BM429" s="174">
        <f>IF(AA429&gt;0,0,IF(Z429=$Z$86,AG429,0))</f>
        <v>0</v>
      </c>
      <c r="BN429" s="174">
        <f>IF(AA429&gt;0,0,IF(Z429=$Z$87,AG429,0))</f>
        <v>0</v>
      </c>
      <c r="BO429" s="174">
        <f>IF(AA429&gt;0,0,IF(Z429=$Z$88,AG429,0))</f>
        <v>0</v>
      </c>
      <c r="BP429" s="174">
        <f>IF(AA429&gt;0,0,IF(Z429=$Z$89,AG429,0))</f>
        <v>0</v>
      </c>
      <c r="BQ429" s="174">
        <f>IF(AA429&gt;0,0,IF(Z429=$Z$90,AG429,0))</f>
        <v>0</v>
      </c>
      <c r="BR429" s="174">
        <f>IF(Z429=$Z$82,AA429*AG429,0)</f>
        <v>0</v>
      </c>
      <c r="BS429" s="174">
        <f>IF(Z429=$Z$83,AA429*AG429,0)</f>
        <v>0</v>
      </c>
      <c r="BT429" s="174">
        <f>IF(AA429&lt;1,0,IF(Z429=$Z$84,AA429*AG429,IF(Z429=$Z$93,"ERRO",IF(Z429=$Z$100,"ERRO",0))))</f>
        <v>0</v>
      </c>
      <c r="BU429" s="174">
        <f>IF(AA429&lt;1,0,IF(Z429=$Z$85,AA429*AG429,IF(Z429=$Z$93,"ERRO",IF(Z429=$Z$100,"ERRO",0))))</f>
        <v>0</v>
      </c>
      <c r="BV429" s="174">
        <f>IF(Z429=$Z$92,AA429*AG429,0)</f>
        <v>0</v>
      </c>
      <c r="BW429" s="174">
        <f>IF(Z429=$Z$91,AA429*AG429,0)</f>
        <v>0</v>
      </c>
      <c r="BX429" s="174">
        <f>IF(Z429=$Z$86,AA429*AG429,0)</f>
        <v>0</v>
      </c>
      <c r="BY429" s="174">
        <f>IF(Z429=$Z$87,AA429*AG429,0)</f>
        <v>0</v>
      </c>
      <c r="BZ429" s="174">
        <f>IF(Z429=$Z$88,AA429*AG429,0)</f>
        <v>0</v>
      </c>
      <c r="CA429" s="174">
        <f>IF(Z429=$Z$89,AA429*AG429,0)</f>
        <v>0</v>
      </c>
      <c r="CB429" s="174">
        <f>IF(Z429=$Z$90,AA429*AG429,0)</f>
        <v>0</v>
      </c>
      <c r="CC429" s="175">
        <f>IFERROR(IF(L429=$L$49,AG429*AH429*(1+AI429)*(1-AK429)*(1-AL429),0),0)</f>
        <v>0</v>
      </c>
      <c r="CD429" s="182">
        <f>IF(I429=$CD$97,1,IF(I429=$CD$100,2,IF(K429=$K$66,1,IF(K429=$K$69,1,3))))</f>
        <v>3</v>
      </c>
      <c r="CE429" s="182">
        <f t="shared" si="113"/>
        <v>1.3</v>
      </c>
      <c r="CF429" s="184">
        <f t="shared" si="96"/>
        <v>1.74</v>
      </c>
      <c r="CG429" s="182">
        <f t="shared" si="114"/>
        <v>2</v>
      </c>
      <c r="CH429" s="184">
        <f t="shared" si="97"/>
        <v>2.1800000000000002</v>
      </c>
      <c r="CI429" s="182">
        <f t="shared" si="115"/>
        <v>2.4</v>
      </c>
      <c r="CJ429" s="185">
        <f>CE429*$CJ$102</f>
        <v>1.274</v>
      </c>
      <c r="CK429" s="185">
        <f>CF429*$CK$102</f>
        <v>1.6182000000000001</v>
      </c>
      <c r="CL429" s="185">
        <f>CG429*$CL$102</f>
        <v>1.96</v>
      </c>
      <c r="CM429" s="185">
        <f>CH429*$CM$102</f>
        <v>2.1146000000000003</v>
      </c>
      <c r="CN429" s="186">
        <f>CI429*$CN$102</f>
        <v>2.3039999999999998</v>
      </c>
      <c r="CO429" s="184">
        <f t="shared" ref="CO429:CO454" si="124">CJ429*$CO$102</f>
        <v>1.2230399999999999</v>
      </c>
      <c r="CP429" s="187">
        <f t="shared" si="104"/>
        <v>0</v>
      </c>
      <c r="CQ429" s="188">
        <f t="shared" si="105"/>
        <v>0</v>
      </c>
      <c r="CR429" s="189">
        <f t="shared" si="123"/>
        <v>0</v>
      </c>
      <c r="CS429" s="49"/>
      <c r="CT429" s="49"/>
      <c r="CU429" s="49"/>
      <c r="CV429" s="49"/>
      <c r="CW429" s="49"/>
      <c r="CX429" s="49"/>
      <c r="CY429" s="49"/>
      <c r="CZ429" s="49"/>
      <c r="DA429" s="49"/>
      <c r="DB429" s="49"/>
      <c r="DC429" s="49"/>
      <c r="DD429" s="49"/>
      <c r="DE429" s="49"/>
      <c r="DF429" s="49"/>
      <c r="DG429" s="49"/>
      <c r="DH429" s="49"/>
      <c r="DI429" s="49"/>
      <c r="DJ429" s="49"/>
      <c r="DK429" s="49"/>
      <c r="DL429" s="49"/>
      <c r="DM429" s="49"/>
      <c r="DN429" s="49"/>
      <c r="DO429" s="49"/>
      <c r="DP429" s="49"/>
      <c r="DQ429" s="49"/>
      <c r="DR429" s="49"/>
      <c r="DS429" s="49"/>
      <c r="DT429" s="49"/>
      <c r="DU429" s="49"/>
      <c r="DV429" s="49"/>
      <c r="DW429" s="49"/>
      <c r="DX429" s="49"/>
      <c r="DY429" s="49"/>
      <c r="DZ429" s="49"/>
      <c r="EA429" s="49"/>
      <c r="EB429" s="49"/>
      <c r="EC429" s="49"/>
      <c r="ED429" s="49"/>
      <c r="EE429" s="49"/>
      <c r="EF429" s="49"/>
      <c r="EG429" s="49"/>
      <c r="EH429" s="49"/>
      <c r="EI429" s="49"/>
      <c r="EJ429" s="49"/>
      <c r="EK429" s="49"/>
      <c r="EL429" s="49"/>
      <c r="EM429" s="49"/>
      <c r="EN429" s="49"/>
      <c r="EO429" s="49"/>
      <c r="EP429" s="49"/>
      <c r="EQ429" s="49"/>
      <c r="ER429" s="49"/>
      <c r="ES429" s="49"/>
      <c r="ET429" s="49"/>
      <c r="EU429" s="49"/>
      <c r="EV429" s="49"/>
      <c r="EW429" s="49"/>
      <c r="EX429" s="49"/>
      <c r="EY429" s="49"/>
      <c r="EZ429" s="49"/>
      <c r="FA429" s="49"/>
    </row>
    <row r="430" spans="1:157" s="268" customFormat="1" ht="8.25" x14ac:dyDescent="0.25">
      <c r="A430" s="238">
        <f>IF(AND('[1]Cockpit Retorno'!$E$67=Sim,Mestre!M430=Mestre!$M$98),0,1)</f>
        <v>1</v>
      </c>
      <c r="B430" s="238">
        <f>IF(AND('[1]Cockpit Retorno'!$E$67=Sim,Mestre!L430=Mestre!$L$48),0,1)</f>
        <v>0</v>
      </c>
      <c r="C430" s="238">
        <f>IF(AND('[1]Cockpit Retorno'!$E$67=Sim,Mestre!M430=Mestre!$M$97),0,1)</f>
        <v>1</v>
      </c>
      <c r="D430" s="239" t="s">
        <v>289</v>
      </c>
      <c r="E430" s="240"/>
      <c r="F430" s="241"/>
      <c r="G430" s="242">
        <v>100000</v>
      </c>
      <c r="H430" s="243" t="s">
        <v>2</v>
      </c>
      <c r="I430" s="244" t="str">
        <f t="shared" si="116"/>
        <v>Mercadorias</v>
      </c>
      <c r="J430" s="243" t="s">
        <v>15</v>
      </c>
      <c r="K430" s="245" t="s">
        <v>2</v>
      </c>
      <c r="L430" s="246" t="s">
        <v>15</v>
      </c>
      <c r="M430" s="247"/>
      <c r="N430" s="248" t="s">
        <v>43</v>
      </c>
      <c r="O430" s="248" t="s">
        <v>43</v>
      </c>
      <c r="P430" s="248" t="s">
        <v>43</v>
      </c>
      <c r="Q430" s="248" t="s">
        <v>43</v>
      </c>
      <c r="R430" s="248" t="s">
        <v>43</v>
      </c>
      <c r="S430" s="249" t="s">
        <v>43</v>
      </c>
      <c r="T430" s="243" t="s">
        <v>43</v>
      </c>
      <c r="U430" s="243" t="s">
        <v>43</v>
      </c>
      <c r="V430" s="243" t="s">
        <v>43</v>
      </c>
      <c r="W430" s="243" t="s">
        <v>43</v>
      </c>
      <c r="X430" s="250" t="s">
        <v>580</v>
      </c>
      <c r="Y430" s="243" t="s">
        <v>43</v>
      </c>
      <c r="Z430" s="243" t="s">
        <v>43</v>
      </c>
      <c r="AA430" s="243">
        <v>0</v>
      </c>
      <c r="AB430" s="248" t="s">
        <v>43</v>
      </c>
      <c r="AC430" s="243" t="s">
        <v>43</v>
      </c>
      <c r="AD430" s="248" t="s">
        <v>43</v>
      </c>
      <c r="AE430" s="248" t="s">
        <v>141</v>
      </c>
      <c r="AF430" s="243" t="s">
        <v>43</v>
      </c>
      <c r="AG430" s="251">
        <v>0</v>
      </c>
      <c r="AH430" s="252">
        <v>0</v>
      </c>
      <c r="AI430" s="253">
        <v>0</v>
      </c>
      <c r="AJ430" s="253">
        <v>0</v>
      </c>
      <c r="AK430" s="253">
        <v>0</v>
      </c>
      <c r="AL430" s="253">
        <v>0</v>
      </c>
      <c r="AM430" s="254">
        <f>(((IF(L430=$L$101,1,IF(L430=$L$47,1,0))*(AH430*(1-AK430)))*AG430)*(1-AL430))</f>
        <v>0</v>
      </c>
      <c r="AN430" s="255">
        <f>IF(K430=$K$50,AM430,IF(K430=$K$53,AM430,IF(K430=$K$54,AM430,IF(K430=$K$55,AM430,IF(K430=$K$56,AM430,IF(K430=$K$57,AM430,IF(K430=$K$58,AM430,IF(K430=$K$65,AM430,IF(K430=$K$66,AM430,IF(K430=$K$67,AM430,IF(K430=$K$68,AM430,IF(K430=$K$69,AM430,(AM430*(1+AI430))))))))))))))</f>
        <v>0</v>
      </c>
      <c r="AO430" s="256">
        <v>1.4</v>
      </c>
      <c r="AP430" s="257">
        <f t="shared" si="117"/>
        <v>0</v>
      </c>
      <c r="AQ430" s="258">
        <f t="shared" ref="AQ430:AQ454" si="125">AP430*Fator_Venda</f>
        <v>0</v>
      </c>
      <c r="AR430" s="257">
        <f t="shared" si="118"/>
        <v>0</v>
      </c>
      <c r="AS430" s="259">
        <f t="shared" si="119"/>
        <v>0</v>
      </c>
      <c r="AT430" s="260" t="str">
        <f>K430</f>
        <v>CFTV</v>
      </c>
      <c r="AU430" s="261" t="str">
        <f>I430</f>
        <v>Mercadorias</v>
      </c>
      <c r="AV430" s="262"/>
      <c r="AW430" s="263">
        <f>IF(K430=$K$50,0,IF(K430=$K$53,0,IF(K430=$K$54,0,IF(K430=$K$55,0,IF(K430=$K$56,0,IF(K430=$K$57,0,IF(K430=$K$58,0,IF(K430=$K$65,0,IF(K430=$K$66,0,IF(K430=$K$67,0,IF(K430=$K$68,0,IF(K430=$K$69,0,1))))))))))))*AM430*AI430</f>
        <v>0</v>
      </c>
      <c r="AX430" s="264">
        <f>IF(K430=$K$50,0,IF(K430=$K$53,0,IF(K430=$K$54,0,IF(K430=$K$55,0,IF(K430=$K$56,0,IF(K430=$K$57,0,IF(K430=$K$58,0,IF(K430=$K$65,0,IF(K430=$K$66,0,IF(K430=$K$67,0,IF(K430=$K$68,0,IF(K430=$K$69,0,1))))))))))))*AM430*AJ430*$AX$94</f>
        <v>0</v>
      </c>
      <c r="AY430" s="264">
        <f>IF(K430=$K$53,0,IF(K430=$K$54,0,IF(K430=$K$55,0,IF(K430=$K$56,0,IF(K430=$K$58,0,IF(K430=$K$50,0,IF(K430=$K$65,0,IF(K430=$K$57,0,IF(K430=$K$51,0,AM430*$AY$102)))))))))</f>
        <v>0</v>
      </c>
      <c r="AZ430" s="264">
        <f>IF(K430=$K$53,0,IF(K430=$K$54,0,IF(K430=$K$55,0,IF(K430=$K$56,0,IF(K430=$K$58,0,IF(K430=$K$50,0,IF(K430=$K$65,0,IF(K430=$K$57,0,AM430*$AZ$102))))))))</f>
        <v>0</v>
      </c>
      <c r="BA430" s="264">
        <f t="shared" si="120"/>
        <v>0</v>
      </c>
      <c r="BB430" s="265">
        <f>IF($BA$97=1,AQ430*$BB$102,IF(K430=$K$50,0,IF(K430=$K$53,0,IF(K430=$K$54,0,IF(K430=$K$55,0,IF(K430=$K$56,0,IF(K430=$K$57,0,IF(K430=$K$58,0,IF(K430=$K$65,0,IF(K430=$K$66,0,IF(K430=$K$67,0,IF(K430=$K$68,0,IF(K430=$K$69,0,IF(K430=$K$51,0,1)))))))))))*AQ430*$BB$102)))</f>
        <v>0</v>
      </c>
      <c r="BC430" s="264">
        <f t="shared" si="121"/>
        <v>0</v>
      </c>
      <c r="BD430" s="264">
        <f t="shared" si="122"/>
        <v>0</v>
      </c>
      <c r="BE430" s="264">
        <f>IF($BE$95=I430,$BE$97,IF(I430=$BE$96,$BE$97,1))*($BE$102*AQ430)*$AZ$97</f>
        <v>0</v>
      </c>
      <c r="BF430" s="264">
        <f>IF('[1]Cockpit Retorno'!$C$65=Sim,Mestre!BA430,SUM(BB430:BE430)+(IF(K430=$K$56,AQ430*MOE_IRRF_LR,0)))</f>
        <v>0</v>
      </c>
      <c r="BG430" s="266">
        <f>IF(AA430&gt;0,0,IF(Z430=$Z$82,AG430*1,(IF(Z430=$Z$81,AG430*1,0))))</f>
        <v>0</v>
      </c>
      <c r="BH430" s="266">
        <f>IF(AA430&gt;0,0,IF(Z430=$Z$83,AG430*1,IF(Z430=$Z$81,AG430*1,0)))</f>
        <v>0</v>
      </c>
      <c r="BI430" s="266">
        <f>IF(AA430&gt;0,0,IF(Z430=$Z$84,AG430*1,IF(Z430=$Z$93,AG430*2,IF(Z430=$Z$100,AG430,IF(Z430=$Z$81,AG430*2,IF(Z430=$Z$80,AG430*1,IF(Z430=$Z$79,AG430*3,IF(Z430=$Z$78,AG430*2,0))))))))</f>
        <v>0</v>
      </c>
      <c r="BJ430" s="266">
        <f>IF(AA430&gt;0,0,IF(Z430=$Z$85,AG430,IF(Z430=$Z$93,AG430,IF(Z430=$Z$100,AG430,IF(Z430=$Z$81,AG430*1,IF(Z430=$Z$80,AG430*2,IF(Z430=$Z$79,AG430*2,IF(Z430=$Z$78,AG430*2,0))))))))</f>
        <v>0</v>
      </c>
      <c r="BK430" s="266">
        <f>IF(AA430&gt;0,0,IF(Z430=$Z$92,AG430,0))</f>
        <v>0</v>
      </c>
      <c r="BL430" s="266">
        <f>IF(AA430&gt;0,0,IF(Z430=$Z$91,AG430,0))</f>
        <v>0</v>
      </c>
      <c r="BM430" s="266">
        <f>IF(AA430&gt;0,0,IF(Z430=$Z$86,AG430,0))</f>
        <v>0</v>
      </c>
      <c r="BN430" s="266">
        <f>IF(AA430&gt;0,0,IF(Z430=$Z$87,AG430,0))</f>
        <v>0</v>
      </c>
      <c r="BO430" s="266">
        <f>IF(AA430&gt;0,0,IF(Z430=$Z$88,AG430,0))</f>
        <v>0</v>
      </c>
      <c r="BP430" s="266">
        <f>IF(AA430&gt;0,0,IF(Z430=$Z$89,AG430,0))</f>
        <v>0</v>
      </c>
      <c r="BQ430" s="266">
        <f>IF(AA430&gt;0,0,IF(Z430=$Z$90,AG430,0))</f>
        <v>0</v>
      </c>
      <c r="BR430" s="266">
        <f>IF(Z430=$Z$82,AA430*AG430,0)</f>
        <v>0</v>
      </c>
      <c r="BS430" s="266">
        <f>IF(Z430=$Z$83,AA430*AG430,0)</f>
        <v>0</v>
      </c>
      <c r="BT430" s="266">
        <f>IF(AA430&lt;1,0,IF(Z430=$Z$84,AA430*AG430,IF(Z430=$Z$93,"ERRO",IF(Z430=$Z$100,"ERRO",0))))</f>
        <v>0</v>
      </c>
      <c r="BU430" s="266">
        <f>IF(AA430&lt;1,0,IF(Z430=$Z$85,AA430*AG430,IF(Z430=$Z$93,"ERRO",IF(Z430=$Z$100,"ERRO",0))))</f>
        <v>0</v>
      </c>
      <c r="BV430" s="266">
        <f>IF(Z430=$Z$92,AA430*AG430,0)</f>
        <v>0</v>
      </c>
      <c r="BW430" s="266">
        <f>IF(Z430=$Z$91,AA430*AG430,0)</f>
        <v>0</v>
      </c>
      <c r="BX430" s="266">
        <f>IF(Z430=$Z$86,AA430*AG430,0)</f>
        <v>0</v>
      </c>
      <c r="BY430" s="266">
        <f>IF(Z430=$Z$87,AA430*AG430,0)</f>
        <v>0</v>
      </c>
      <c r="BZ430" s="266">
        <f>IF(Z430=$Z$88,AA430*AG430,0)</f>
        <v>0</v>
      </c>
      <c r="CA430" s="266">
        <f>IF(Z430=$Z$89,AA430*AG430,0)</f>
        <v>0</v>
      </c>
      <c r="CB430" s="266">
        <f>IF(Z430=$Z$90,AA430*AG430,0)</f>
        <v>0</v>
      </c>
      <c r="CC430" s="267">
        <f>IFERROR(IF(L430=$L$49,AG430*AH430*(1+AI430)*(1-AK430)*(1-AL430),0),0)</f>
        <v>0</v>
      </c>
      <c r="CD430" s="268">
        <f>IF(I430=$CD$97,1,IF(I430=$CD$100,2,IF(K430=$K$66,1,IF(K430=$K$69,1,3))))</f>
        <v>1</v>
      </c>
      <c r="CE430" s="268">
        <f t="shared" si="113"/>
        <v>1.07</v>
      </c>
      <c r="CF430" s="269">
        <f t="shared" si="96"/>
        <v>1.2353999999999998</v>
      </c>
      <c r="CG430" s="268">
        <f t="shared" si="114"/>
        <v>1.42</v>
      </c>
      <c r="CH430" s="269">
        <f t="shared" si="97"/>
        <v>1.5478000000000001</v>
      </c>
      <c r="CI430" s="268">
        <f t="shared" si="115"/>
        <v>1.7</v>
      </c>
      <c r="CJ430" s="270">
        <f t="shared" si="107"/>
        <v>1.0486</v>
      </c>
      <c r="CK430" s="270">
        <f t="shared" si="108"/>
        <v>1.148922</v>
      </c>
      <c r="CL430" s="270">
        <f t="shared" si="109"/>
        <v>1.3915999999999999</v>
      </c>
      <c r="CM430" s="270">
        <f t="shared" si="110"/>
        <v>1.501366</v>
      </c>
      <c r="CN430" s="271">
        <f t="shared" si="111"/>
        <v>1.6319999999999999</v>
      </c>
      <c r="CO430" s="269">
        <f t="shared" si="124"/>
        <v>1.006656</v>
      </c>
      <c r="CP430" s="272">
        <f t="shared" si="104"/>
        <v>0</v>
      </c>
      <c r="CQ430" s="273">
        <f t="shared" si="105"/>
        <v>0</v>
      </c>
      <c r="CR430" s="274">
        <f t="shared" si="123"/>
        <v>0</v>
      </c>
      <c r="CS430" s="275"/>
      <c r="CT430" s="275"/>
      <c r="CU430" s="275"/>
      <c r="CV430" s="275"/>
      <c r="CW430" s="275"/>
      <c r="CX430" s="275"/>
      <c r="CY430" s="275"/>
      <c r="CZ430" s="275"/>
      <c r="DA430" s="275"/>
      <c r="DB430" s="275"/>
      <c r="DC430" s="275"/>
      <c r="DD430" s="275"/>
      <c r="DE430" s="275"/>
      <c r="DF430" s="275"/>
      <c r="DG430" s="275"/>
      <c r="DH430" s="275"/>
      <c r="DI430" s="275"/>
      <c r="DJ430" s="275"/>
      <c r="DK430" s="275"/>
      <c r="DL430" s="275"/>
      <c r="DM430" s="275"/>
      <c r="DN430" s="275"/>
      <c r="DO430" s="275"/>
      <c r="DP430" s="275"/>
      <c r="DQ430" s="275"/>
      <c r="DR430" s="275"/>
      <c r="DS430" s="275"/>
      <c r="DT430" s="275"/>
      <c r="DU430" s="275"/>
      <c r="DV430" s="275"/>
      <c r="DW430" s="275"/>
      <c r="DX430" s="275"/>
      <c r="DY430" s="275"/>
      <c r="DZ430" s="275"/>
      <c r="EA430" s="275"/>
      <c r="EB430" s="275"/>
      <c r="EC430" s="275"/>
      <c r="ED430" s="275"/>
      <c r="EE430" s="275"/>
      <c r="EF430" s="275"/>
      <c r="EG430" s="275"/>
      <c r="EH430" s="275"/>
      <c r="EI430" s="275"/>
      <c r="EJ430" s="275"/>
      <c r="EK430" s="275"/>
      <c r="EL430" s="275"/>
      <c r="EM430" s="275"/>
      <c r="EN430" s="275"/>
      <c r="EO430" s="275"/>
      <c r="EP430" s="275"/>
      <c r="EQ430" s="275"/>
      <c r="ER430" s="275"/>
      <c r="ES430" s="275"/>
      <c r="ET430" s="275"/>
      <c r="EU430" s="275"/>
      <c r="EV430" s="275"/>
      <c r="EW430" s="275"/>
      <c r="EX430" s="275"/>
      <c r="EY430" s="275"/>
      <c r="EZ430" s="275"/>
      <c r="FA430" s="275"/>
    </row>
    <row r="431" spans="1:157" s="268" customFormat="1" ht="8.25" x14ac:dyDescent="0.25">
      <c r="A431" s="238">
        <f>IF(AND('[1]Cockpit Retorno'!$E$67=Sim,Mestre!M431=Mestre!$M$98),0,1)</f>
        <v>1</v>
      </c>
      <c r="B431" s="238">
        <f>IF(AND('[1]Cockpit Retorno'!$E$67=Sim,Mestre!L431=Mestre!$L$48),0,1)</f>
        <v>0</v>
      </c>
      <c r="C431" s="238">
        <f>IF(AND('[1]Cockpit Retorno'!$E$67=Sim,Mestre!M431=Mestre!$M$97),0,1)</f>
        <v>1</v>
      </c>
      <c r="D431" s="276" t="s">
        <v>3</v>
      </c>
      <c r="E431" s="240"/>
      <c r="F431" s="241"/>
      <c r="G431" s="242">
        <v>100001</v>
      </c>
      <c r="H431" s="243" t="s">
        <v>3</v>
      </c>
      <c r="I431" s="244" t="str">
        <f t="shared" si="116"/>
        <v>Mercadorias</v>
      </c>
      <c r="J431" s="243" t="s">
        <v>15</v>
      </c>
      <c r="K431" s="245" t="s">
        <v>3</v>
      </c>
      <c r="L431" s="246" t="s">
        <v>15</v>
      </c>
      <c r="M431" s="247"/>
      <c r="N431" s="248" t="s">
        <v>43</v>
      </c>
      <c r="O431" s="248" t="s">
        <v>43</v>
      </c>
      <c r="P431" s="248" t="s">
        <v>43</v>
      </c>
      <c r="Q431" s="248" t="s">
        <v>43</v>
      </c>
      <c r="R431" s="248" t="s">
        <v>43</v>
      </c>
      <c r="S431" s="249" t="s">
        <v>43</v>
      </c>
      <c r="T431" s="243" t="s">
        <v>43</v>
      </c>
      <c r="U431" s="243" t="s">
        <v>43</v>
      </c>
      <c r="V431" s="243" t="s">
        <v>43</v>
      </c>
      <c r="W431" s="243" t="s">
        <v>43</v>
      </c>
      <c r="X431" s="250" t="s">
        <v>581</v>
      </c>
      <c r="Y431" s="243" t="s">
        <v>43</v>
      </c>
      <c r="Z431" s="243" t="s">
        <v>43</v>
      </c>
      <c r="AA431" s="243">
        <v>0</v>
      </c>
      <c r="AB431" s="248" t="s">
        <v>43</v>
      </c>
      <c r="AC431" s="243" t="s">
        <v>43</v>
      </c>
      <c r="AD431" s="248" t="s">
        <v>43</v>
      </c>
      <c r="AE431" s="248" t="s">
        <v>141</v>
      </c>
      <c r="AF431" s="243" t="s">
        <v>43</v>
      </c>
      <c r="AG431" s="251">
        <v>0</v>
      </c>
      <c r="AH431" s="252">
        <v>0</v>
      </c>
      <c r="AI431" s="253">
        <v>0</v>
      </c>
      <c r="AJ431" s="253">
        <v>0</v>
      </c>
      <c r="AK431" s="253">
        <v>0</v>
      </c>
      <c r="AL431" s="253">
        <v>0</v>
      </c>
      <c r="AM431" s="254">
        <f>(((IF(L431=$L$101,1,IF(L431=$L$47,1,0))*(AH431*(1-AK431)))*AG431)*(1-AL431))</f>
        <v>0</v>
      </c>
      <c r="AN431" s="255">
        <f>IF(K431=$K$50,AM431,IF(K431=$K$53,AM431,IF(K431=$K$54,AM431,IF(K431=$K$55,AM431,IF(K431=$K$56,AM431,IF(K431=$K$57,AM431,IF(K431=$K$58,AM431,IF(K431=$K$65,AM431,IF(K431=$K$66,AM431,IF(K431=$K$67,AM431,IF(K431=$K$68,AM431,IF(K431=$K$69,AM431,(AM431*(1+AI431))))))))))))))</f>
        <v>0</v>
      </c>
      <c r="AO431" s="256">
        <v>1.4</v>
      </c>
      <c r="AP431" s="257">
        <f t="shared" si="117"/>
        <v>0</v>
      </c>
      <c r="AQ431" s="258">
        <f t="shared" si="125"/>
        <v>0</v>
      </c>
      <c r="AR431" s="257">
        <f t="shared" si="118"/>
        <v>0</v>
      </c>
      <c r="AS431" s="259">
        <f t="shared" si="119"/>
        <v>0</v>
      </c>
      <c r="AT431" s="260" t="str">
        <f>K431</f>
        <v>INST</v>
      </c>
      <c r="AU431" s="261" t="str">
        <f>I431</f>
        <v>Mercadorias</v>
      </c>
      <c r="AV431" s="262"/>
      <c r="AW431" s="263">
        <f>IF(K431=$K$50,0,IF(K431=$K$53,0,IF(K431=$K$54,0,IF(K431=$K$55,0,IF(K431=$K$56,0,IF(K431=$K$57,0,IF(K431=$K$58,0,IF(K431=$K$65,0,IF(K431=$K$66,0,IF(K431=$K$67,0,IF(K431=$K$68,0,IF(K431=$K$69,0,1))))))))))))*AM431*AI431</f>
        <v>0</v>
      </c>
      <c r="AX431" s="264">
        <f>IF(K431=$K$50,0,IF(K431=$K$53,0,IF(K431=$K$54,0,IF(K431=$K$55,0,IF(K431=$K$56,0,IF(K431=$K$57,0,IF(K431=$K$58,0,IF(K431=$K$65,0,IF(K431=$K$66,0,IF(K431=$K$67,0,IF(K431=$K$68,0,IF(K431=$K$69,0,1))))))))))))*AM431*AJ431*$AX$94</f>
        <v>0</v>
      </c>
      <c r="AY431" s="264">
        <f>IF(K431=$K$53,0,IF(K431=$K$54,0,IF(K431=$K$55,0,IF(K431=$K$56,0,IF(K431=$K$58,0,IF(K431=$K$50,0,IF(K431=$K$65,0,IF(K431=$K$57,0,IF(K431=$K$51,0,AM431*$AY$102)))))))))</f>
        <v>0</v>
      </c>
      <c r="AZ431" s="264">
        <f>IF(K431=$K$53,0,IF(K431=$K$54,0,IF(K431=$K$55,0,IF(K431=$K$56,0,IF(K431=$K$58,0,IF(K431=$K$50,0,IF(K431=$K$65,0,IF(K431=$K$57,0,AM431*$AZ$102))))))))</f>
        <v>0</v>
      </c>
      <c r="BA431" s="264">
        <f t="shared" si="120"/>
        <v>0</v>
      </c>
      <c r="BB431" s="265">
        <f>IF($BA$97=1,AQ431*$BB$102,IF(K431=$K$50,0,IF(K431=$K$53,0,IF(K431=$K$54,0,IF(K431=$K$55,0,IF(K431=$K$56,0,IF(K431=$K$57,0,IF(K431=$K$58,0,IF(K431=$K$65,0,IF(K431=$K$66,0,IF(K431=$K$67,0,IF(K431=$K$68,0,IF(K431=$K$69,0,IF(K431=$K$51,0,1)))))))))))*AQ431*$BB$102)))</f>
        <v>0</v>
      </c>
      <c r="BC431" s="264">
        <f t="shared" si="121"/>
        <v>0</v>
      </c>
      <c r="BD431" s="264">
        <f t="shared" si="122"/>
        <v>0</v>
      </c>
      <c r="BE431" s="264">
        <f>IF($BE$95=I431,$BE$97,IF(I431=$BE$96,$BE$97,1))*($BE$102*AQ431)*$AZ$97</f>
        <v>0</v>
      </c>
      <c r="BF431" s="264">
        <f>IF('[1]Cockpit Retorno'!$C$65=Sim,Mestre!BA431,SUM(BB431:BE431)+(IF(K431=$K$56,AQ431*MOE_IRRF_LR,0)))</f>
        <v>0</v>
      </c>
      <c r="BG431" s="266">
        <f>IF(AA431&gt;0,0,IF(Z431=$Z$82,AG431*1,(IF(Z431=$Z$81,AG431*1,0))))</f>
        <v>0</v>
      </c>
      <c r="BH431" s="266">
        <f>IF(AA431&gt;0,0,IF(Z431=$Z$83,AG431*1,IF(Z431=$Z$81,AG431*1,0)))</f>
        <v>0</v>
      </c>
      <c r="BI431" s="266">
        <f>IF(AA431&gt;0,0,IF(Z431=$Z$84,AG431*1,IF(Z431=$Z$93,AG431*2,IF(Z431=$Z$100,AG431,IF(Z431=$Z$81,AG431*2,IF(Z431=$Z$80,AG431*1,IF(Z431=$Z$79,AG431*3,IF(Z431=$Z$78,AG431*2,0))))))))</f>
        <v>0</v>
      </c>
      <c r="BJ431" s="266">
        <f>IF(AA431&gt;0,0,IF(Z431=$Z$85,AG431,IF(Z431=$Z$93,AG431,IF(Z431=$Z$100,AG431,IF(Z431=$Z$81,AG431*1,IF(Z431=$Z$80,AG431*2,IF(Z431=$Z$79,AG431*2,IF(Z431=$Z$78,AG431*2,0))))))))</f>
        <v>0</v>
      </c>
      <c r="BK431" s="266">
        <f>IF(AA431&gt;0,0,IF(Z431=$Z$92,AG431,0))</f>
        <v>0</v>
      </c>
      <c r="BL431" s="266">
        <f>IF(AA431&gt;0,0,IF(Z431=$Z$91,AG431,0))</f>
        <v>0</v>
      </c>
      <c r="BM431" s="266">
        <f>IF(AA431&gt;0,0,IF(Z431=$Z$86,AG431,0))</f>
        <v>0</v>
      </c>
      <c r="BN431" s="266">
        <f>IF(AA431&gt;0,0,IF(Z431=$Z$87,AG431,0))</f>
        <v>0</v>
      </c>
      <c r="BO431" s="266">
        <f>IF(AA431&gt;0,0,IF(Z431=$Z$88,AG431,0))</f>
        <v>0</v>
      </c>
      <c r="BP431" s="266">
        <f>IF(AA431&gt;0,0,IF(Z431=$Z$89,AG431,0))</f>
        <v>0</v>
      </c>
      <c r="BQ431" s="266">
        <f>IF(AA431&gt;0,0,IF(Z431=$Z$90,AG431,0))</f>
        <v>0</v>
      </c>
      <c r="BR431" s="266">
        <f>IF(Z431=$Z$82,AA431*AG431,0)</f>
        <v>0</v>
      </c>
      <c r="BS431" s="266">
        <f>IF(Z431=$Z$83,AA431*AG431,0)</f>
        <v>0</v>
      </c>
      <c r="BT431" s="266">
        <f>IF(AA431&lt;1,0,IF(Z431=$Z$84,AA431*AG431,IF(Z431=$Z$93,"ERRO",IF(Z431=$Z$100,"ERRO",0))))</f>
        <v>0</v>
      </c>
      <c r="BU431" s="266">
        <f>IF(AA431&lt;1,0,IF(Z431=$Z$85,AA431*AG431,IF(Z431=$Z$93,"ERRO",IF(Z431=$Z$100,"ERRO",0))))</f>
        <v>0</v>
      </c>
      <c r="BV431" s="266">
        <f>IF(Z431=$Z$92,AA431*AG431,0)</f>
        <v>0</v>
      </c>
      <c r="BW431" s="266">
        <f>IF(Z431=$Z$91,AA431*AG431,0)</f>
        <v>0</v>
      </c>
      <c r="BX431" s="266">
        <f>IF(Z431=$Z$86,AA431*AG431,0)</f>
        <v>0</v>
      </c>
      <c r="BY431" s="266">
        <f>IF(Z431=$Z$87,AA431*AG431,0)</f>
        <v>0</v>
      </c>
      <c r="BZ431" s="266">
        <f>IF(Z431=$Z$88,AA431*AG431,0)</f>
        <v>0</v>
      </c>
      <c r="CA431" s="266">
        <f>IF(Z431=$Z$89,AA431*AG431,0)</f>
        <v>0</v>
      </c>
      <c r="CB431" s="266">
        <f>IF(Z431=$Z$90,AA431*AG431,0)</f>
        <v>0</v>
      </c>
      <c r="CC431" s="267">
        <f>IFERROR(IF(L431=$L$49,AG431*AH431*(1+AI431)*(1-AK431)*(1-AL431),0),0)</f>
        <v>0</v>
      </c>
      <c r="CD431" s="268">
        <f>IF(I431=$CD$97,1,IF(I431=$CD$100,2,IF(K431=$K$66,1,IF(K431=$K$69,1,3))))</f>
        <v>1</v>
      </c>
      <c r="CE431" s="268">
        <f t="shared" si="113"/>
        <v>1.07</v>
      </c>
      <c r="CF431" s="269">
        <f t="shared" si="96"/>
        <v>1.2353999999999998</v>
      </c>
      <c r="CG431" s="268">
        <f t="shared" si="114"/>
        <v>1.42</v>
      </c>
      <c r="CH431" s="269">
        <f t="shared" si="97"/>
        <v>1.5478000000000001</v>
      </c>
      <c r="CI431" s="268">
        <f t="shared" si="115"/>
        <v>1.7</v>
      </c>
      <c r="CJ431" s="270">
        <f t="shared" si="107"/>
        <v>1.0486</v>
      </c>
      <c r="CK431" s="270">
        <f t="shared" si="108"/>
        <v>1.148922</v>
      </c>
      <c r="CL431" s="270">
        <f t="shared" si="109"/>
        <v>1.3915999999999999</v>
      </c>
      <c r="CM431" s="270">
        <f t="shared" si="110"/>
        <v>1.501366</v>
      </c>
      <c r="CN431" s="271">
        <f t="shared" si="111"/>
        <v>1.6319999999999999</v>
      </c>
      <c r="CO431" s="269">
        <f t="shared" si="124"/>
        <v>1.006656</v>
      </c>
      <c r="CP431" s="272">
        <f t="shared" si="104"/>
        <v>0</v>
      </c>
      <c r="CQ431" s="273">
        <f t="shared" si="105"/>
        <v>0</v>
      </c>
      <c r="CR431" s="274">
        <f t="shared" si="123"/>
        <v>0</v>
      </c>
      <c r="CS431" s="275"/>
      <c r="CT431" s="275"/>
      <c r="CU431" s="275"/>
      <c r="CV431" s="275"/>
      <c r="CW431" s="275"/>
      <c r="CX431" s="275"/>
      <c r="CY431" s="275"/>
      <c r="CZ431" s="275"/>
      <c r="DA431" s="275"/>
      <c r="DB431" s="275"/>
      <c r="DC431" s="275"/>
      <c r="DD431" s="275"/>
      <c r="DE431" s="275"/>
      <c r="DF431" s="275"/>
      <c r="DG431" s="275"/>
      <c r="DH431" s="275"/>
      <c r="DI431" s="275"/>
      <c r="DJ431" s="275"/>
      <c r="DK431" s="275"/>
      <c r="DL431" s="275"/>
      <c r="DM431" s="275"/>
      <c r="DN431" s="275"/>
      <c r="DO431" s="275"/>
      <c r="DP431" s="275"/>
      <c r="DQ431" s="275"/>
      <c r="DR431" s="275"/>
      <c r="DS431" s="275"/>
      <c r="DT431" s="275"/>
      <c r="DU431" s="275"/>
      <c r="DV431" s="275"/>
      <c r="DW431" s="275"/>
      <c r="DX431" s="275"/>
      <c r="DY431" s="275"/>
      <c r="DZ431" s="275"/>
      <c r="EA431" s="275"/>
      <c r="EB431" s="275"/>
      <c r="EC431" s="275"/>
      <c r="ED431" s="275"/>
      <c r="EE431" s="275"/>
      <c r="EF431" s="275"/>
      <c r="EG431" s="275"/>
      <c r="EH431" s="275"/>
      <c r="EI431" s="275"/>
      <c r="EJ431" s="275"/>
      <c r="EK431" s="275"/>
      <c r="EL431" s="275"/>
      <c r="EM431" s="275"/>
      <c r="EN431" s="275"/>
      <c r="EO431" s="275"/>
      <c r="EP431" s="275"/>
      <c r="EQ431" s="275"/>
      <c r="ER431" s="275"/>
      <c r="ES431" s="275"/>
      <c r="ET431" s="275"/>
      <c r="EU431" s="275"/>
      <c r="EV431" s="275"/>
      <c r="EW431" s="275"/>
      <c r="EX431" s="275"/>
      <c r="EY431" s="275"/>
      <c r="EZ431" s="275"/>
      <c r="FA431" s="275"/>
    </row>
    <row r="432" spans="1:157" s="268" customFormat="1" ht="16.5" x14ac:dyDescent="0.25">
      <c r="A432" s="238">
        <f>IF(AND('[1]Cockpit Retorno'!$E$67=Sim,Mestre!M432=Mestre!$M$98),0,1)</f>
        <v>1</v>
      </c>
      <c r="B432" s="238">
        <f>IF(AND('[1]Cockpit Retorno'!$E$67=Sim,Mestre!L432=Mestre!$L$48),0,1)</f>
        <v>0</v>
      </c>
      <c r="C432" s="238">
        <f>IF(AND('[1]Cockpit Retorno'!$E$67=Sim,Mestre!M432=Mestre!$M$97),0,1)</f>
        <v>1</v>
      </c>
      <c r="D432" s="239" t="s">
        <v>259</v>
      </c>
      <c r="E432" s="240"/>
      <c r="F432" s="241"/>
      <c r="G432" s="242">
        <v>100002</v>
      </c>
      <c r="H432" s="243" t="s">
        <v>27</v>
      </c>
      <c r="I432" s="244" t="str">
        <f t="shared" si="116"/>
        <v>Despesas</v>
      </c>
      <c r="J432" s="243" t="s">
        <v>12</v>
      </c>
      <c r="K432" s="245" t="s">
        <v>27</v>
      </c>
      <c r="L432" s="246" t="s">
        <v>15</v>
      </c>
      <c r="M432" s="247"/>
      <c r="N432" s="248" t="s">
        <v>43</v>
      </c>
      <c r="O432" s="248" t="s">
        <v>43</v>
      </c>
      <c r="P432" s="248" t="s">
        <v>43</v>
      </c>
      <c r="Q432" s="248" t="s">
        <v>43</v>
      </c>
      <c r="R432" s="248" t="s">
        <v>43</v>
      </c>
      <c r="S432" s="249" t="s">
        <v>43</v>
      </c>
      <c r="T432" s="243" t="s">
        <v>43</v>
      </c>
      <c r="U432" s="243" t="s">
        <v>43</v>
      </c>
      <c r="V432" s="243" t="s">
        <v>43</v>
      </c>
      <c r="W432" s="243" t="s">
        <v>43</v>
      </c>
      <c r="X432" s="250" t="s">
        <v>582</v>
      </c>
      <c r="Y432" s="243" t="s">
        <v>43</v>
      </c>
      <c r="Z432" s="243" t="s">
        <v>43</v>
      </c>
      <c r="AA432" s="243">
        <v>0</v>
      </c>
      <c r="AB432" s="248" t="s">
        <v>43</v>
      </c>
      <c r="AC432" s="243" t="s">
        <v>43</v>
      </c>
      <c r="AD432" s="248" t="s">
        <v>43</v>
      </c>
      <c r="AE432" s="248" t="s">
        <v>141</v>
      </c>
      <c r="AF432" s="243" t="s">
        <v>43</v>
      </c>
      <c r="AG432" s="251">
        <v>0</v>
      </c>
      <c r="AH432" s="252">
        <v>0</v>
      </c>
      <c r="AI432" s="253">
        <v>0</v>
      </c>
      <c r="AJ432" s="253">
        <v>0</v>
      </c>
      <c r="AK432" s="253">
        <v>0</v>
      </c>
      <c r="AL432" s="253">
        <v>0</v>
      </c>
      <c r="AM432" s="254">
        <f>(((IF(L432=$L$101,1,IF(L432=$L$47,1,0))*(AH432*(1-AK432)))*AG432)*(1-AL432))</f>
        <v>0</v>
      </c>
      <c r="AN432" s="255">
        <f>IF(K432=$K$50,AM432,IF(K432=$K$53,AM432,IF(K432=$K$54,AM432,IF(K432=$K$55,AM432,IF(K432=$K$56,AM432,IF(K432=$K$57,AM432,IF(K432=$K$58,AM432,IF(K432=$K$65,AM432,IF(K432=$K$66,AM432,IF(K432=$K$67,AM432,IF(K432=$K$68,AM432,IF(K432=$K$69,AM432,(AM432*(1+AI432))))))))))))))</f>
        <v>0</v>
      </c>
      <c r="AO432" s="256">
        <v>1.4</v>
      </c>
      <c r="AP432" s="257">
        <f t="shared" si="117"/>
        <v>0</v>
      </c>
      <c r="AQ432" s="258">
        <f t="shared" si="125"/>
        <v>0</v>
      </c>
      <c r="AR432" s="257">
        <f t="shared" si="118"/>
        <v>0</v>
      </c>
      <c r="AS432" s="259">
        <f t="shared" si="119"/>
        <v>0</v>
      </c>
      <c r="AT432" s="260" t="str">
        <f>K432</f>
        <v>LOG</v>
      </c>
      <c r="AU432" s="261" t="str">
        <f>I432</f>
        <v>Despesas</v>
      </c>
      <c r="AV432" s="262"/>
      <c r="AW432" s="263">
        <f>IF(K432=$K$50,0,IF(K432=$K$53,0,IF(K432=$K$54,0,IF(K432=$K$55,0,IF(K432=$K$56,0,IF(K432=$K$57,0,IF(K432=$K$58,0,IF(K432=$K$65,0,IF(K432=$K$66,0,IF(K432=$K$67,0,IF(K432=$K$68,0,IF(K432=$K$69,0,1))))))))))))*AM432*AI432</f>
        <v>0</v>
      </c>
      <c r="AX432" s="264">
        <f>IF(K432=$K$50,0,IF(K432=$K$53,0,IF(K432=$K$54,0,IF(K432=$K$55,0,IF(K432=$K$56,0,IF(K432=$K$57,0,IF(K432=$K$58,0,IF(K432=$K$65,0,IF(K432=$K$66,0,IF(K432=$K$67,0,IF(K432=$K$68,0,IF(K432=$K$69,0,1))))))))))))*AM432*AJ432*$AX$94</f>
        <v>0</v>
      </c>
      <c r="AY432" s="264">
        <f>IF(K432=$K$53,0,IF(K432=$K$54,0,IF(K432=$K$55,0,IF(K432=$K$56,0,IF(K432=$K$58,0,IF(K432=$K$50,0,IF(K432=$K$65,0,IF(K432=$K$57,0,IF(K432=$K$51,0,AM432*$AY$102)))))))))</f>
        <v>0</v>
      </c>
      <c r="AZ432" s="264">
        <f>IF(K432=$K$53,0,IF(K432=$K$54,0,IF(K432=$K$55,0,IF(K432=$K$56,0,IF(K432=$K$58,0,IF(K432=$K$50,0,IF(K432=$K$65,0,IF(K432=$K$57,0,AM432*$AZ$102))))))))</f>
        <v>0</v>
      </c>
      <c r="BA432" s="264">
        <f t="shared" si="120"/>
        <v>0</v>
      </c>
      <c r="BB432" s="265">
        <f>IF($BA$97=1,AQ432*$BB$102,IF(K432=$K$50,0,IF(K432=$K$53,0,IF(K432=$K$54,0,IF(K432=$K$55,0,IF(K432=$K$56,0,IF(K432=$K$57,0,IF(K432=$K$58,0,IF(K432=$K$65,0,IF(K432=$K$66,0,IF(K432=$K$67,0,IF(K432=$K$68,0,IF(K432=$K$69,0,IF(K432=$K$51,0,1)))))))))))*AQ432*$BB$102)))</f>
        <v>0</v>
      </c>
      <c r="BC432" s="264">
        <f t="shared" si="121"/>
        <v>0</v>
      </c>
      <c r="BD432" s="264">
        <f t="shared" si="122"/>
        <v>0</v>
      </c>
      <c r="BE432" s="264">
        <f>IF($BE$95=I432,$BE$97,IF(I432=$BE$96,$BE$97,1))*($BE$102*AQ432)*$AZ$97</f>
        <v>0</v>
      </c>
      <c r="BF432" s="264">
        <f>IF('[1]Cockpit Retorno'!$C$65=Sim,Mestre!BA432,SUM(BB432:BE432)+(IF(K432=$K$56,AQ432*MOE_IRRF_LR,0)))</f>
        <v>0</v>
      </c>
      <c r="BG432" s="266">
        <f>IF(AA432&gt;0,0,IF(Z432=$Z$82,AG432*1,(IF(Z432=$Z$81,AG432*1,0))))</f>
        <v>0</v>
      </c>
      <c r="BH432" s="266">
        <f>IF(AA432&gt;0,0,IF(Z432=$Z$83,AG432*1,IF(Z432=$Z$81,AG432*1,0)))</f>
        <v>0</v>
      </c>
      <c r="BI432" s="266">
        <f>IF(AA432&gt;0,0,IF(Z432=$Z$84,AG432*1,IF(Z432=$Z$93,AG432*2,IF(Z432=$Z$100,AG432,IF(Z432=$Z$81,AG432*2,IF(Z432=$Z$80,AG432*1,IF(Z432=$Z$79,AG432*3,IF(Z432=$Z$78,AG432*2,0))))))))</f>
        <v>0</v>
      </c>
      <c r="BJ432" s="266">
        <f>IF(AA432&gt;0,0,IF(Z432=$Z$85,AG432,IF(Z432=$Z$93,AG432,IF(Z432=$Z$100,AG432,IF(Z432=$Z$81,AG432*1,IF(Z432=$Z$80,AG432*2,IF(Z432=$Z$79,AG432*2,IF(Z432=$Z$78,AG432*2,0))))))))</f>
        <v>0</v>
      </c>
      <c r="BK432" s="266">
        <f>IF(AA432&gt;0,0,IF(Z432=$Z$92,AG432,0))</f>
        <v>0</v>
      </c>
      <c r="BL432" s="266">
        <f>IF(AA432&gt;0,0,IF(Z432=$Z$91,AG432,0))</f>
        <v>0</v>
      </c>
      <c r="BM432" s="266">
        <f>IF(AA432&gt;0,0,IF(Z432=$Z$86,AG432,0))</f>
        <v>0</v>
      </c>
      <c r="BN432" s="266">
        <f>IF(AA432&gt;0,0,IF(Z432=$Z$87,AG432,0))</f>
        <v>0</v>
      </c>
      <c r="BO432" s="266">
        <f>IF(AA432&gt;0,0,IF(Z432=$Z$88,AG432,0))</f>
        <v>0</v>
      </c>
      <c r="BP432" s="266">
        <f>IF(AA432&gt;0,0,IF(Z432=$Z$89,AG432,0))</f>
        <v>0</v>
      </c>
      <c r="BQ432" s="266">
        <f>IF(AA432&gt;0,0,IF(Z432=$Z$90,AG432,0))</f>
        <v>0</v>
      </c>
      <c r="BR432" s="266">
        <f>IF(Z432=$Z$82,AA432*AG432,0)</f>
        <v>0</v>
      </c>
      <c r="BS432" s="266">
        <f>IF(Z432=$Z$83,AA432*AG432,0)</f>
        <v>0</v>
      </c>
      <c r="BT432" s="266">
        <f>IF(AA432&lt;1,0,IF(Z432=$Z$84,AA432*AG432,IF(Z432=$Z$93,"ERRO",IF(Z432=$Z$100,"ERRO",0))))</f>
        <v>0</v>
      </c>
      <c r="BU432" s="266">
        <f>IF(AA432&lt;1,0,IF(Z432=$Z$85,AA432*AG432,IF(Z432=$Z$93,"ERRO",IF(Z432=$Z$100,"ERRO",0))))</f>
        <v>0</v>
      </c>
      <c r="BV432" s="266">
        <f>IF(Z432=$Z$92,AA432*AG432,0)</f>
        <v>0</v>
      </c>
      <c r="BW432" s="266">
        <f>IF(Z432=$Z$91,AA432*AG432,0)</f>
        <v>0</v>
      </c>
      <c r="BX432" s="266">
        <f>IF(Z432=$Z$86,AA432*AG432,0)</f>
        <v>0</v>
      </c>
      <c r="BY432" s="266">
        <f>IF(Z432=$Z$87,AA432*AG432,0)</f>
        <v>0</v>
      </c>
      <c r="BZ432" s="266">
        <f>IF(Z432=$Z$88,AA432*AG432,0)</f>
        <v>0</v>
      </c>
      <c r="CA432" s="266">
        <f>IF(Z432=$Z$89,AA432*AG432,0)</f>
        <v>0</v>
      </c>
      <c r="CB432" s="266">
        <f>IF(Z432=$Z$90,AA432*AG432,0)</f>
        <v>0</v>
      </c>
      <c r="CC432" s="267">
        <f>IFERROR(IF(L432=$L$49,AG432*AH432*(1+AI432)*(1-AK432)*(1-AL432),0),0)</f>
        <v>0</v>
      </c>
      <c r="CD432" s="268">
        <f>IF(I432=$CD$97,1,IF(I432=$CD$100,2,IF(K432=$K$66,1,IF(K432=$K$69,1,3))))</f>
        <v>2</v>
      </c>
      <c r="CE432" s="268">
        <f t="shared" si="113"/>
        <v>1.07</v>
      </c>
      <c r="CF432" s="269">
        <f t="shared" si="96"/>
        <v>1.2788999999999999</v>
      </c>
      <c r="CG432" s="268">
        <f t="shared" si="114"/>
        <v>1.47</v>
      </c>
      <c r="CH432" s="269">
        <f t="shared" si="97"/>
        <v>1.6023000000000001</v>
      </c>
      <c r="CI432" s="268">
        <f t="shared" si="115"/>
        <v>1.7</v>
      </c>
      <c r="CJ432" s="270">
        <f t="shared" si="107"/>
        <v>1.0486</v>
      </c>
      <c r="CK432" s="270">
        <f t="shared" si="108"/>
        <v>1.1893769999999999</v>
      </c>
      <c r="CL432" s="270">
        <f t="shared" si="109"/>
        <v>1.4405999999999999</v>
      </c>
      <c r="CM432" s="270">
        <f t="shared" si="110"/>
        <v>1.5542309999999999</v>
      </c>
      <c r="CN432" s="271">
        <f t="shared" si="111"/>
        <v>1.6319999999999999</v>
      </c>
      <c r="CO432" s="269">
        <f t="shared" si="124"/>
        <v>1.006656</v>
      </c>
      <c r="CP432" s="272">
        <f t="shared" si="104"/>
        <v>0</v>
      </c>
      <c r="CQ432" s="273">
        <f t="shared" si="105"/>
        <v>0</v>
      </c>
      <c r="CR432" s="274">
        <f t="shared" si="123"/>
        <v>0</v>
      </c>
      <c r="CS432" s="275"/>
      <c r="CT432" s="275"/>
      <c r="CU432" s="275"/>
      <c r="CV432" s="275"/>
      <c r="CW432" s="275"/>
      <c r="CX432" s="275"/>
      <c r="CY432" s="275"/>
      <c r="CZ432" s="275"/>
      <c r="DA432" s="275"/>
      <c r="DB432" s="275"/>
      <c r="DC432" s="275"/>
      <c r="DD432" s="275"/>
      <c r="DE432" s="275"/>
      <c r="DF432" s="275"/>
      <c r="DG432" s="275"/>
      <c r="DH432" s="275"/>
      <c r="DI432" s="275"/>
      <c r="DJ432" s="275"/>
      <c r="DK432" s="275"/>
      <c r="DL432" s="275"/>
      <c r="DM432" s="275"/>
      <c r="DN432" s="275"/>
      <c r="DO432" s="275"/>
      <c r="DP432" s="275"/>
      <c r="DQ432" s="275"/>
      <c r="DR432" s="275"/>
      <c r="DS432" s="275"/>
      <c r="DT432" s="275"/>
      <c r="DU432" s="275"/>
      <c r="DV432" s="275"/>
      <c r="DW432" s="275"/>
      <c r="DX432" s="275"/>
      <c r="DY432" s="275"/>
      <c r="DZ432" s="275"/>
      <c r="EA432" s="275"/>
      <c r="EB432" s="275"/>
      <c r="EC432" s="275"/>
      <c r="ED432" s="275"/>
      <c r="EE432" s="275"/>
      <c r="EF432" s="275"/>
      <c r="EG432" s="275"/>
      <c r="EH432" s="275"/>
      <c r="EI432" s="275"/>
      <c r="EJ432" s="275"/>
      <c r="EK432" s="275"/>
      <c r="EL432" s="275"/>
      <c r="EM432" s="275"/>
      <c r="EN432" s="275"/>
      <c r="EO432" s="275"/>
      <c r="EP432" s="275"/>
      <c r="EQ432" s="275"/>
      <c r="ER432" s="275"/>
      <c r="ES432" s="275"/>
      <c r="ET432" s="275"/>
      <c r="EU432" s="275"/>
      <c r="EV432" s="275"/>
      <c r="EW432" s="275"/>
      <c r="EX432" s="275"/>
      <c r="EY432" s="275"/>
      <c r="EZ432" s="275"/>
      <c r="FA432" s="275"/>
    </row>
    <row r="433" spans="1:157" s="278" customFormat="1" ht="8.25" x14ac:dyDescent="0.25">
      <c r="A433" s="238">
        <f>IF(AND('[1]Cockpit Retorno'!$E$67=Sim,Mestre!M433=Mestre!$M$98),0,1)</f>
        <v>1</v>
      </c>
      <c r="B433" s="238">
        <f>IF(AND('[1]Cockpit Retorno'!$E$67=Sim,Mestre!L433=Mestre!$L$48),0,1)</f>
        <v>0</v>
      </c>
      <c r="C433" s="238">
        <f>IF(AND('[1]Cockpit Retorno'!$E$67=Sim,Mestre!M433=Mestre!$M$97),0,1)</f>
        <v>1</v>
      </c>
      <c r="D433" s="239" t="s">
        <v>259</v>
      </c>
      <c r="E433" s="240"/>
      <c r="F433" s="241"/>
      <c r="G433" s="242">
        <v>100003</v>
      </c>
      <c r="H433" s="243" t="s">
        <v>5</v>
      </c>
      <c r="I433" s="244" t="str">
        <f t="shared" si="116"/>
        <v>Despesas</v>
      </c>
      <c r="J433" s="243" t="s">
        <v>12</v>
      </c>
      <c r="K433" s="245" t="s">
        <v>34</v>
      </c>
      <c r="L433" s="246" t="s">
        <v>15</v>
      </c>
      <c r="M433" s="247"/>
      <c r="N433" s="248" t="s">
        <v>43</v>
      </c>
      <c r="O433" s="248" t="s">
        <v>43</v>
      </c>
      <c r="P433" s="248" t="s">
        <v>43</v>
      </c>
      <c r="Q433" s="248" t="s">
        <v>43</v>
      </c>
      <c r="R433" s="248" t="s">
        <v>43</v>
      </c>
      <c r="S433" s="249" t="s">
        <v>43</v>
      </c>
      <c r="T433" s="243" t="s">
        <v>43</v>
      </c>
      <c r="U433" s="243" t="s">
        <v>43</v>
      </c>
      <c r="V433" s="243" t="s">
        <v>43</v>
      </c>
      <c r="W433" s="243" t="s">
        <v>43</v>
      </c>
      <c r="X433" s="250" t="s">
        <v>583</v>
      </c>
      <c r="Y433" s="243" t="s">
        <v>43</v>
      </c>
      <c r="Z433" s="243" t="s">
        <v>43</v>
      </c>
      <c r="AA433" s="243">
        <v>0</v>
      </c>
      <c r="AB433" s="248" t="s">
        <v>43</v>
      </c>
      <c r="AC433" s="243" t="s">
        <v>43</v>
      </c>
      <c r="AD433" s="248" t="s">
        <v>43</v>
      </c>
      <c r="AE433" s="248" t="s">
        <v>141</v>
      </c>
      <c r="AF433" s="243" t="s">
        <v>43</v>
      </c>
      <c r="AG433" s="251">
        <v>0</v>
      </c>
      <c r="AH433" s="252">
        <v>0</v>
      </c>
      <c r="AI433" s="253">
        <v>0</v>
      </c>
      <c r="AJ433" s="253">
        <v>0</v>
      </c>
      <c r="AK433" s="253">
        <v>0</v>
      </c>
      <c r="AL433" s="253">
        <v>0</v>
      </c>
      <c r="AM433" s="254">
        <f>(((IF(L433=$L$101,1,IF(L433=$L$47,1,0))*(AH433*(1-AK433)))*AG433)*(1-AL433))</f>
        <v>0</v>
      </c>
      <c r="AN433" s="255">
        <f>IF(K433=$K$50,AM433,IF(K433=$K$53,AM433,IF(K433=$K$54,AM433,IF(K433=$K$55,AM433,IF(K433=$K$56,AM433,IF(K433=$K$57,AM433,IF(K433=$K$58,AM433,IF(K433=$K$65,AM433,IF(K433=$K$66,AM433,IF(K433=$K$67,AM433,IF(K433=$K$68,AM433,IF(K433=$K$69,AM433,(AM433*(1+AI433))))))))))))))</f>
        <v>0</v>
      </c>
      <c r="AO433" s="256">
        <v>1.4</v>
      </c>
      <c r="AP433" s="257">
        <f t="shared" si="117"/>
        <v>0</v>
      </c>
      <c r="AQ433" s="258">
        <f t="shared" si="125"/>
        <v>0</v>
      </c>
      <c r="AR433" s="257">
        <f t="shared" si="118"/>
        <v>0</v>
      </c>
      <c r="AS433" s="259">
        <f t="shared" si="119"/>
        <v>0</v>
      </c>
      <c r="AT433" s="260" t="str">
        <f>K433</f>
        <v>LOG_M</v>
      </c>
      <c r="AU433" s="261" t="str">
        <f>I433</f>
        <v>Despesas</v>
      </c>
      <c r="AV433" s="262"/>
      <c r="AW433" s="263">
        <f>IF(K433=$K$50,0,IF(K433=$K$53,0,IF(K433=$K$54,0,IF(K433=$K$55,0,IF(K433=$K$56,0,IF(K433=$K$57,0,IF(K433=$K$58,0,IF(K433=$K$65,0,IF(K433=$K$66,0,IF(K433=$K$67,0,IF(K433=$K$68,0,IF(K433=$K$69,0,1))))))))))))*AM433*AI433</f>
        <v>0</v>
      </c>
      <c r="AX433" s="264">
        <f>IF(K433=$K$50,0,IF(K433=$K$53,0,IF(K433=$K$54,0,IF(K433=$K$55,0,IF(K433=$K$56,0,IF(K433=$K$57,0,IF(K433=$K$58,0,IF(K433=$K$65,0,IF(K433=$K$66,0,IF(K433=$K$67,0,IF(K433=$K$68,0,IF(K433=$K$69,0,1))))))))))))*AM433*AJ433*$AX$94</f>
        <v>0</v>
      </c>
      <c r="AY433" s="264">
        <f>IF(K433=$K$53,0,IF(K433=$K$54,0,IF(K433=$K$55,0,IF(K433=$K$56,0,IF(K433=$K$58,0,IF(K433=$K$50,0,IF(K433=$K$65,0,IF(K433=$K$57,0,IF(K433=$K$51,0,AM433*$AY$102)))))))))</f>
        <v>0</v>
      </c>
      <c r="AZ433" s="264">
        <f>IF(K433=$K$53,0,IF(K433=$K$54,0,IF(K433=$K$55,0,IF(K433=$K$56,0,IF(K433=$K$58,0,IF(K433=$K$50,0,IF(K433=$K$65,0,IF(K433=$K$57,0,AM433*$AZ$102))))))))</f>
        <v>0</v>
      </c>
      <c r="BA433" s="264">
        <f t="shared" si="120"/>
        <v>0</v>
      </c>
      <c r="BB433" s="265">
        <f>IF($BA$97=1,AQ433*$BB$102,IF(K433=$K$50,0,IF(K433=$K$53,0,IF(K433=$K$54,0,IF(K433=$K$55,0,IF(K433=$K$56,0,IF(K433=$K$57,0,IF(K433=$K$58,0,IF(K433=$K$65,0,IF(K433=$K$66,0,IF(K433=$K$67,0,IF(K433=$K$68,0,IF(K433=$K$69,0,IF(K433=$K$51,0,1)))))))))))*AQ433*$BB$102)))</f>
        <v>0</v>
      </c>
      <c r="BC433" s="264">
        <f t="shared" si="121"/>
        <v>0</v>
      </c>
      <c r="BD433" s="264">
        <f t="shared" si="122"/>
        <v>0</v>
      </c>
      <c r="BE433" s="264">
        <f>IF($BE$95=I433,$BE$97,IF(I433=$BE$96,$BE$97,1))*($BE$102*AQ433)*$AZ$97</f>
        <v>0</v>
      </c>
      <c r="BF433" s="264">
        <f>IF('[1]Cockpit Retorno'!$C$65=Sim,Mestre!BA433,SUM(BB433:BE433)+(IF(K433=$K$56,AQ433*MOE_IRRF_LR,0)))</f>
        <v>0</v>
      </c>
      <c r="BG433" s="266">
        <f>IF(AA433&gt;0,0,IF(Z433=$Z$82,AG433*1,(IF(Z433=$Z$81,AG433*1,0))))</f>
        <v>0</v>
      </c>
      <c r="BH433" s="266">
        <f>IF(AA433&gt;0,0,IF(Z433=$Z$83,AG433*1,IF(Z433=$Z$81,AG433*1,0)))</f>
        <v>0</v>
      </c>
      <c r="BI433" s="266">
        <f>IF(AA433&gt;0,0,IF(Z433=$Z$84,AG433*1,IF(Z433=$Z$93,AG433*2,IF(Z433=$Z$100,AG433,IF(Z433=$Z$81,AG433*2,IF(Z433=$Z$80,AG433*1,IF(Z433=$Z$79,AG433*3,IF(Z433=$Z$78,AG433*2,0))))))))</f>
        <v>0</v>
      </c>
      <c r="BJ433" s="266">
        <f>IF(AA433&gt;0,0,IF(Z433=$Z$85,AG433,IF(Z433=$Z$93,AG433,IF(Z433=$Z$100,AG433,IF(Z433=$Z$81,AG433*1,IF(Z433=$Z$80,AG433*2,IF(Z433=$Z$79,AG433*2,IF(Z433=$Z$78,AG433*2,0))))))))</f>
        <v>0</v>
      </c>
      <c r="BK433" s="266">
        <f>IF(AA433&gt;0,0,IF(Z433=$Z$92,AG433,0))</f>
        <v>0</v>
      </c>
      <c r="BL433" s="266">
        <f>IF(AA433&gt;0,0,IF(Z433=$Z$91,AG433,0))</f>
        <v>0</v>
      </c>
      <c r="BM433" s="266">
        <f>IF(AA433&gt;0,0,IF(Z433=$Z$86,AG433,0))</f>
        <v>0</v>
      </c>
      <c r="BN433" s="266">
        <f>IF(AA433&gt;0,0,IF(Z433=$Z$87,AG433,0))</f>
        <v>0</v>
      </c>
      <c r="BO433" s="266">
        <f>IF(AA433&gt;0,0,IF(Z433=$Z$88,AG433,0))</f>
        <v>0</v>
      </c>
      <c r="BP433" s="266">
        <f>IF(AA433&gt;0,0,IF(Z433=$Z$89,AG433,0))</f>
        <v>0</v>
      </c>
      <c r="BQ433" s="266">
        <f>IF(AA433&gt;0,0,IF(Z433=$Z$90,AG433,0))</f>
        <v>0</v>
      </c>
      <c r="BR433" s="266">
        <f>IF(Z433=$Z$82,AA433*AG433,0)</f>
        <v>0</v>
      </c>
      <c r="BS433" s="266">
        <f>IF(Z433=$Z$83,AA433*AG433,0)</f>
        <v>0</v>
      </c>
      <c r="BT433" s="266">
        <f>IF(AA433&lt;1,0,IF(Z433=$Z$84,AA433*AG433,IF(Z433=$Z$93,"ERRO",IF(Z433=$Z$100,"ERRO",0))))</f>
        <v>0</v>
      </c>
      <c r="BU433" s="266">
        <f>IF(AA433&lt;1,0,IF(Z433=$Z$85,AA433*AG433,IF(Z433=$Z$93,"ERRO",IF(Z433=$Z$100,"ERRO",0))))</f>
        <v>0</v>
      </c>
      <c r="BV433" s="266">
        <f>IF(Z433=$Z$92,AA433*AG433,0)</f>
        <v>0</v>
      </c>
      <c r="BW433" s="266">
        <f>IF(Z433=$Z$91,AA433*AG433,0)</f>
        <v>0</v>
      </c>
      <c r="BX433" s="266">
        <f>IF(Z433=$Z$86,AA433*AG433,0)</f>
        <v>0</v>
      </c>
      <c r="BY433" s="266">
        <f>IF(Z433=$Z$87,AA433*AG433,0)</f>
        <v>0</v>
      </c>
      <c r="BZ433" s="266">
        <f>IF(Z433=$Z$88,AA433*AG433,0)</f>
        <v>0</v>
      </c>
      <c r="CA433" s="266">
        <f>IF(Z433=$Z$89,AA433*AG433,0)</f>
        <v>0</v>
      </c>
      <c r="CB433" s="266">
        <f>IF(Z433=$Z$90,AA433*AG433,0)</f>
        <v>0</v>
      </c>
      <c r="CC433" s="267">
        <f>IFERROR(IF(L433=$L$49,AG433*AH433*(1+AI433)*(1-AK433)*(1-AL433),0),0)</f>
        <v>0</v>
      </c>
      <c r="CD433" s="268">
        <f>IF(I433=$CD$97,1,IF(I433=$CD$100,2,IF(K433=$K$66,1,IF(K433=$K$69,1,3))))</f>
        <v>2</v>
      </c>
      <c r="CE433" s="268">
        <f t="shared" si="113"/>
        <v>1.07</v>
      </c>
      <c r="CF433" s="269">
        <f t="shared" si="96"/>
        <v>1.2788999999999999</v>
      </c>
      <c r="CG433" s="268">
        <f t="shared" si="114"/>
        <v>1.47</v>
      </c>
      <c r="CH433" s="269">
        <f t="shared" si="97"/>
        <v>1.6023000000000001</v>
      </c>
      <c r="CI433" s="268">
        <f t="shared" si="115"/>
        <v>1.7</v>
      </c>
      <c r="CJ433" s="269">
        <f t="shared" si="107"/>
        <v>1.0486</v>
      </c>
      <c r="CK433" s="269">
        <f t="shared" si="108"/>
        <v>1.1893769999999999</v>
      </c>
      <c r="CL433" s="269">
        <f t="shared" si="109"/>
        <v>1.4405999999999999</v>
      </c>
      <c r="CM433" s="269">
        <f t="shared" si="110"/>
        <v>1.5542309999999999</v>
      </c>
      <c r="CN433" s="268">
        <f t="shared" si="111"/>
        <v>1.6319999999999999</v>
      </c>
      <c r="CO433" s="269">
        <f t="shared" si="124"/>
        <v>1.006656</v>
      </c>
      <c r="CP433" s="272">
        <f t="shared" si="104"/>
        <v>0</v>
      </c>
      <c r="CQ433" s="273">
        <f t="shared" si="105"/>
        <v>0</v>
      </c>
      <c r="CR433" s="274">
        <f t="shared" si="123"/>
        <v>0</v>
      </c>
      <c r="CS433" s="277"/>
      <c r="CT433" s="277"/>
      <c r="CU433" s="277"/>
      <c r="CV433" s="277"/>
      <c r="CW433" s="277"/>
      <c r="CX433" s="277"/>
      <c r="CY433" s="277"/>
      <c r="CZ433" s="277"/>
      <c r="DA433" s="277"/>
      <c r="DB433" s="277"/>
      <c r="DC433" s="277"/>
      <c r="DD433" s="277"/>
      <c r="DE433" s="277"/>
      <c r="DF433" s="277"/>
      <c r="DG433" s="277"/>
      <c r="DH433" s="277"/>
      <c r="DI433" s="277"/>
      <c r="DJ433" s="277"/>
      <c r="DK433" s="277"/>
      <c r="DL433" s="277"/>
      <c r="DM433" s="277"/>
      <c r="DN433" s="277"/>
      <c r="DO433" s="277"/>
      <c r="DP433" s="277"/>
      <c r="DQ433" s="277"/>
      <c r="DR433" s="277"/>
      <c r="DS433" s="277"/>
      <c r="DT433" s="277"/>
      <c r="DU433" s="277"/>
      <c r="DV433" s="277"/>
      <c r="DW433" s="277"/>
      <c r="DX433" s="277"/>
      <c r="DY433" s="277"/>
      <c r="DZ433" s="277"/>
      <c r="EA433" s="277"/>
      <c r="EB433" s="277"/>
      <c r="EC433" s="277"/>
      <c r="ED433" s="277"/>
      <c r="EE433" s="277"/>
      <c r="EF433" s="277"/>
      <c r="EG433" s="277"/>
      <c r="EH433" s="277"/>
      <c r="EI433" s="277"/>
      <c r="EJ433" s="277"/>
      <c r="EK433" s="277"/>
      <c r="EL433" s="277"/>
      <c r="EM433" s="277"/>
      <c r="EN433" s="277"/>
      <c r="EO433" s="277"/>
      <c r="EP433" s="277"/>
      <c r="EQ433" s="277"/>
      <c r="ER433" s="277"/>
      <c r="ES433" s="277"/>
      <c r="ET433" s="277"/>
      <c r="EU433" s="277"/>
      <c r="EV433" s="277"/>
      <c r="EW433" s="277"/>
      <c r="EX433" s="277"/>
      <c r="EY433" s="277"/>
      <c r="EZ433" s="277"/>
      <c r="FA433" s="277"/>
    </row>
    <row r="434" spans="1:157" s="278" customFormat="1" ht="8.25" x14ac:dyDescent="0.25">
      <c r="A434" s="238">
        <f>IF(AND('[1]Cockpit Retorno'!$E$67=Sim,Mestre!M434=Mestre!$M$98),0,1)</f>
        <v>1</v>
      </c>
      <c r="B434" s="238">
        <f>IF(AND('[1]Cockpit Retorno'!$E$67=Sim,Mestre!L434=Mestre!$L$48),0,1)</f>
        <v>0</v>
      </c>
      <c r="C434" s="238">
        <f>IF(AND('[1]Cockpit Retorno'!$E$67=Sim,Mestre!M434=Mestre!$M$97),0,1)</f>
        <v>1</v>
      </c>
      <c r="D434" s="276" t="s">
        <v>7</v>
      </c>
      <c r="E434" s="240"/>
      <c r="F434" s="241"/>
      <c r="G434" s="242">
        <v>100004</v>
      </c>
      <c r="H434" s="243" t="s">
        <v>7</v>
      </c>
      <c r="I434" s="244" t="str">
        <f t="shared" si="116"/>
        <v>Mercadorias</v>
      </c>
      <c r="J434" s="243" t="s">
        <v>15</v>
      </c>
      <c r="K434" s="245" t="s">
        <v>7</v>
      </c>
      <c r="L434" s="246" t="s">
        <v>15</v>
      </c>
      <c r="M434" s="247"/>
      <c r="N434" s="248" t="s">
        <v>43</v>
      </c>
      <c r="O434" s="248" t="s">
        <v>43</v>
      </c>
      <c r="P434" s="248" t="s">
        <v>43</v>
      </c>
      <c r="Q434" s="248" t="s">
        <v>43</v>
      </c>
      <c r="R434" s="248" t="s">
        <v>43</v>
      </c>
      <c r="S434" s="249" t="s">
        <v>43</v>
      </c>
      <c r="T434" s="243" t="s">
        <v>43</v>
      </c>
      <c r="U434" s="243" t="s">
        <v>43</v>
      </c>
      <c r="V434" s="243" t="s">
        <v>43</v>
      </c>
      <c r="W434" s="243" t="s">
        <v>43</v>
      </c>
      <c r="X434" s="250" t="s">
        <v>584</v>
      </c>
      <c r="Y434" s="243" t="s">
        <v>43</v>
      </c>
      <c r="Z434" s="243" t="s">
        <v>43</v>
      </c>
      <c r="AA434" s="243">
        <v>0</v>
      </c>
      <c r="AB434" s="248" t="s">
        <v>43</v>
      </c>
      <c r="AC434" s="243" t="s">
        <v>43</v>
      </c>
      <c r="AD434" s="248" t="s">
        <v>43</v>
      </c>
      <c r="AE434" s="248" t="s">
        <v>154</v>
      </c>
      <c r="AF434" s="243" t="s">
        <v>43</v>
      </c>
      <c r="AG434" s="251">
        <v>0</v>
      </c>
      <c r="AH434" s="252">
        <v>0</v>
      </c>
      <c r="AI434" s="253">
        <v>0</v>
      </c>
      <c r="AJ434" s="253">
        <v>0</v>
      </c>
      <c r="AK434" s="253">
        <v>0</v>
      </c>
      <c r="AL434" s="253">
        <v>0</v>
      </c>
      <c r="AM434" s="254">
        <f>(((IF(L434=$L$101,1,IF(L434=$L$47,1,0))*(AH434*(1-AK434)))*AG434)*(1-AL434))</f>
        <v>0</v>
      </c>
      <c r="AN434" s="255">
        <f>IF(K434=$K$50,AM434,IF(K434=$K$53,AM434,IF(K434=$K$54,AM434,IF(K434=$K$55,AM434,IF(K434=$K$56,AM434,IF(K434=$K$57,AM434,IF(K434=$K$58,AM434,IF(K434=$K$65,AM434,IF(K434=$K$66,AM434,IF(K434=$K$67,AM434,IF(K434=$K$68,AM434,IF(K434=$K$69,AM434,(AM434*(1+AI434))))))))))))))</f>
        <v>0</v>
      </c>
      <c r="AO434" s="256">
        <v>1.4</v>
      </c>
      <c r="AP434" s="257">
        <f t="shared" si="117"/>
        <v>0</v>
      </c>
      <c r="AQ434" s="258">
        <f t="shared" si="125"/>
        <v>0</v>
      </c>
      <c r="AR434" s="257">
        <f t="shared" si="118"/>
        <v>0</v>
      </c>
      <c r="AS434" s="259">
        <f t="shared" si="119"/>
        <v>0</v>
      </c>
      <c r="AT434" s="260" t="str">
        <f>K434</f>
        <v>MI</v>
      </c>
      <c r="AU434" s="261" t="str">
        <f>I434</f>
        <v>Mercadorias</v>
      </c>
      <c r="AV434" s="262"/>
      <c r="AW434" s="263">
        <f>IF(K434=$K$50,0,IF(K434=$K$53,0,IF(K434=$K$54,0,IF(K434=$K$55,0,IF(K434=$K$56,0,IF(K434=$K$57,0,IF(K434=$K$58,0,IF(K434=$K$65,0,IF(K434=$K$66,0,IF(K434=$K$67,0,IF(K434=$K$68,0,IF(K434=$K$69,0,1))))))))))))*AM434*AI434</f>
        <v>0</v>
      </c>
      <c r="AX434" s="264">
        <f>IF(K434=$K$50,0,IF(K434=$K$53,0,IF(K434=$K$54,0,IF(K434=$K$55,0,IF(K434=$K$56,0,IF(K434=$K$57,0,IF(K434=$K$58,0,IF(K434=$K$65,0,IF(K434=$K$66,0,IF(K434=$K$67,0,IF(K434=$K$68,0,IF(K434=$K$69,0,1))))))))))))*AM434*AJ434*$AX$94</f>
        <v>0</v>
      </c>
      <c r="AY434" s="264">
        <f>IF(K434=$K$53,0,IF(K434=$K$54,0,IF(K434=$K$55,0,IF(K434=$K$56,0,IF(K434=$K$58,0,IF(K434=$K$50,0,IF(K434=$K$65,0,IF(K434=$K$57,0,IF(K434=$K$51,0,AM434*$AY$102)))))))))</f>
        <v>0</v>
      </c>
      <c r="AZ434" s="264">
        <f>IF(K434=$K$53,0,IF(K434=$K$54,0,IF(K434=$K$55,0,IF(K434=$K$56,0,IF(K434=$K$58,0,IF(K434=$K$50,0,IF(K434=$K$65,0,IF(K434=$K$57,0,AM434*$AZ$102))))))))</f>
        <v>0</v>
      </c>
      <c r="BA434" s="264">
        <f t="shared" si="120"/>
        <v>0</v>
      </c>
      <c r="BB434" s="265">
        <f>IF($BA$97=1,AQ434*$BB$102,IF(K434=$K$50,0,IF(K434=$K$53,0,IF(K434=$K$54,0,IF(K434=$K$55,0,IF(K434=$K$56,0,IF(K434=$K$57,0,IF(K434=$K$58,0,IF(K434=$K$65,0,IF(K434=$K$66,0,IF(K434=$K$67,0,IF(K434=$K$68,0,IF(K434=$K$69,0,IF(K434=$K$51,0,1)))))))))))*AQ434*$BB$102)))</f>
        <v>0</v>
      </c>
      <c r="BC434" s="264">
        <f t="shared" si="121"/>
        <v>0</v>
      </c>
      <c r="BD434" s="264">
        <f t="shared" si="122"/>
        <v>0</v>
      </c>
      <c r="BE434" s="264">
        <f>IF($BE$95=I434,$BE$97,IF(I434=$BE$96,$BE$97,1))*($BE$102*AQ434)*$AZ$97</f>
        <v>0</v>
      </c>
      <c r="BF434" s="264">
        <f>IF('[1]Cockpit Retorno'!$C$65=Sim,Mestre!BA434,SUM(BB434:BE434)+(IF(K434=$K$56,AQ434*MOE_IRRF_LR,0)))</f>
        <v>0</v>
      </c>
      <c r="BG434" s="266">
        <f>IF(AA434&gt;0,0,IF(Z434=$Z$82,AG434*1,(IF(Z434=$Z$81,AG434*1,0))))</f>
        <v>0</v>
      </c>
      <c r="BH434" s="266">
        <f>IF(AA434&gt;0,0,IF(Z434=$Z$83,AG434*1,IF(Z434=$Z$81,AG434*1,0)))</f>
        <v>0</v>
      </c>
      <c r="BI434" s="266">
        <f>IF(AA434&gt;0,0,IF(Z434=$Z$84,AG434*1,IF(Z434=$Z$93,AG434*2,IF(Z434=$Z$100,AG434,IF(Z434=$Z$81,AG434*2,IF(Z434=$Z$80,AG434*1,IF(Z434=$Z$79,AG434*3,IF(Z434=$Z$78,AG434*2,0))))))))</f>
        <v>0</v>
      </c>
      <c r="BJ434" s="266">
        <f>IF(AA434&gt;0,0,IF(Z434=$Z$85,AG434,IF(Z434=$Z$93,AG434,IF(Z434=$Z$100,AG434,IF(Z434=$Z$81,AG434*1,IF(Z434=$Z$80,AG434*2,IF(Z434=$Z$79,AG434*2,IF(Z434=$Z$78,AG434*2,0))))))))</f>
        <v>0</v>
      </c>
      <c r="BK434" s="266">
        <f>IF(AA434&gt;0,0,IF(Z434=$Z$92,AG434,0))</f>
        <v>0</v>
      </c>
      <c r="BL434" s="266">
        <f>IF(AA434&gt;0,0,IF(Z434=$Z$91,AG434,0))</f>
        <v>0</v>
      </c>
      <c r="BM434" s="266">
        <f>IF(AA434&gt;0,0,IF(Z434=$Z$86,AG434,0))</f>
        <v>0</v>
      </c>
      <c r="BN434" s="266">
        <f>IF(AA434&gt;0,0,IF(Z434=$Z$87,AG434,0))</f>
        <v>0</v>
      </c>
      <c r="BO434" s="266">
        <f>IF(AA434&gt;0,0,IF(Z434=$Z$88,AG434,0))</f>
        <v>0</v>
      </c>
      <c r="BP434" s="266">
        <f>IF(AA434&gt;0,0,IF(Z434=$Z$89,AG434,0))</f>
        <v>0</v>
      </c>
      <c r="BQ434" s="266">
        <f>IF(AA434&gt;0,0,IF(Z434=$Z$90,AG434,0))</f>
        <v>0</v>
      </c>
      <c r="BR434" s="266">
        <f>IF(Z434=$Z$82,AA434*AG434,0)</f>
        <v>0</v>
      </c>
      <c r="BS434" s="266">
        <f>IF(Z434=$Z$83,AA434*AG434,0)</f>
        <v>0</v>
      </c>
      <c r="BT434" s="266">
        <f>IF(AA434&lt;1,0,IF(Z434=$Z$84,AA434*AG434,IF(Z434=$Z$93,"ERRO",IF(Z434=$Z$100,"ERRO",0))))</f>
        <v>0</v>
      </c>
      <c r="BU434" s="266">
        <f>IF(AA434&lt;1,0,IF(Z434=$Z$85,AA434*AG434,IF(Z434=$Z$93,"ERRO",IF(Z434=$Z$100,"ERRO",0))))</f>
        <v>0</v>
      </c>
      <c r="BV434" s="266">
        <f>IF(Z434=$Z$92,AA434*AG434,0)</f>
        <v>0</v>
      </c>
      <c r="BW434" s="266">
        <f>IF(Z434=$Z$91,AA434*AG434,0)</f>
        <v>0</v>
      </c>
      <c r="BX434" s="266">
        <f>IF(Z434=$Z$86,AA434*AG434,0)</f>
        <v>0</v>
      </c>
      <c r="BY434" s="266">
        <f>IF(Z434=$Z$87,AA434*AG434,0)</f>
        <v>0</v>
      </c>
      <c r="BZ434" s="266">
        <f>IF(Z434=$Z$88,AA434*AG434,0)</f>
        <v>0</v>
      </c>
      <c r="CA434" s="266">
        <f>IF(Z434=$Z$89,AA434*AG434,0)</f>
        <v>0</v>
      </c>
      <c r="CB434" s="266">
        <f>IF(Z434=$Z$90,AA434*AG434,0)</f>
        <v>0</v>
      </c>
      <c r="CC434" s="267">
        <f>IFERROR(IF(L434=$L$49,AG434*AH434*(1+AI434)*(1-AK434)*(1-AL434),0),0)</f>
        <v>0</v>
      </c>
      <c r="CD434" s="268">
        <f>IF(I434=$CD$97,1,IF(I434=$CD$100,2,IF(K434=$K$66,1,IF(K434=$K$69,1,3))))</f>
        <v>1</v>
      </c>
      <c r="CE434" s="268">
        <f t="shared" si="113"/>
        <v>1.07</v>
      </c>
      <c r="CF434" s="269">
        <f t="shared" si="96"/>
        <v>1.2353999999999998</v>
      </c>
      <c r="CG434" s="268">
        <f t="shared" si="114"/>
        <v>1.42</v>
      </c>
      <c r="CH434" s="269">
        <f t="shared" si="97"/>
        <v>1.5478000000000001</v>
      </c>
      <c r="CI434" s="268">
        <f t="shared" si="115"/>
        <v>1.7</v>
      </c>
      <c r="CJ434" s="269">
        <f t="shared" si="107"/>
        <v>1.0486</v>
      </c>
      <c r="CK434" s="269">
        <f t="shared" si="108"/>
        <v>1.148922</v>
      </c>
      <c r="CL434" s="269">
        <f t="shared" si="109"/>
        <v>1.3915999999999999</v>
      </c>
      <c r="CM434" s="269">
        <f t="shared" si="110"/>
        <v>1.501366</v>
      </c>
      <c r="CN434" s="268">
        <f t="shared" si="111"/>
        <v>1.6319999999999999</v>
      </c>
      <c r="CO434" s="269">
        <f t="shared" si="124"/>
        <v>1.006656</v>
      </c>
      <c r="CP434" s="272">
        <f t="shared" si="104"/>
        <v>0</v>
      </c>
      <c r="CQ434" s="273">
        <f t="shared" si="105"/>
        <v>0</v>
      </c>
      <c r="CR434" s="274">
        <f t="shared" si="123"/>
        <v>0</v>
      </c>
      <c r="CS434" s="277"/>
      <c r="CT434" s="277"/>
      <c r="CU434" s="277"/>
      <c r="CV434" s="277"/>
      <c r="CW434" s="277"/>
      <c r="CX434" s="277"/>
      <c r="CY434" s="277"/>
      <c r="CZ434" s="277"/>
      <c r="DA434" s="277"/>
      <c r="DB434" s="277"/>
      <c r="DC434" s="277"/>
      <c r="DD434" s="277"/>
      <c r="DE434" s="277"/>
      <c r="DF434" s="277"/>
      <c r="DG434" s="277"/>
      <c r="DH434" s="277"/>
      <c r="DI434" s="277"/>
      <c r="DJ434" s="277"/>
      <c r="DK434" s="277"/>
      <c r="DL434" s="277"/>
      <c r="DM434" s="277"/>
      <c r="DN434" s="277"/>
      <c r="DO434" s="277"/>
      <c r="DP434" s="277"/>
      <c r="DQ434" s="277"/>
      <c r="DR434" s="277"/>
      <c r="DS434" s="277"/>
      <c r="DT434" s="277"/>
      <c r="DU434" s="277"/>
      <c r="DV434" s="277"/>
      <c r="DW434" s="277"/>
      <c r="DX434" s="277"/>
      <c r="DY434" s="277"/>
      <c r="DZ434" s="277"/>
      <c r="EA434" s="277"/>
      <c r="EB434" s="277"/>
      <c r="EC434" s="277"/>
      <c r="ED434" s="277"/>
      <c r="EE434" s="277"/>
      <c r="EF434" s="277"/>
      <c r="EG434" s="277"/>
      <c r="EH434" s="277"/>
      <c r="EI434" s="277"/>
      <c r="EJ434" s="277"/>
      <c r="EK434" s="277"/>
      <c r="EL434" s="277"/>
      <c r="EM434" s="277"/>
      <c r="EN434" s="277"/>
      <c r="EO434" s="277"/>
      <c r="EP434" s="277"/>
      <c r="EQ434" s="277"/>
      <c r="ER434" s="277"/>
      <c r="ES434" s="277"/>
      <c r="ET434" s="277"/>
      <c r="EU434" s="277"/>
      <c r="EV434" s="277"/>
      <c r="EW434" s="277"/>
      <c r="EX434" s="277"/>
      <c r="EY434" s="277"/>
      <c r="EZ434" s="277"/>
      <c r="FA434" s="277"/>
    </row>
    <row r="435" spans="1:157" s="278" customFormat="1" ht="16.5" x14ac:dyDescent="0.25">
      <c r="A435" s="238">
        <f>IF(AND('[1]Cockpit Retorno'!$E$67=Sim,Mestre!M435=Mestre!$M$98),0,1)</f>
        <v>1</v>
      </c>
      <c r="B435" s="238">
        <f>IF(AND('[1]Cockpit Retorno'!$E$67=Sim,Mestre!L435=Mestre!$L$48),0,1)</f>
        <v>0</v>
      </c>
      <c r="C435" s="238">
        <f>IF(AND('[1]Cockpit Retorno'!$E$67=Sim,Mestre!M435=Mestre!$M$97),0,1)</f>
        <v>1</v>
      </c>
      <c r="D435" s="276" t="s">
        <v>260</v>
      </c>
      <c r="E435" s="240"/>
      <c r="F435" s="241"/>
      <c r="G435" s="242">
        <v>100005</v>
      </c>
      <c r="H435" s="243" t="s">
        <v>45</v>
      </c>
      <c r="I435" s="244" t="str">
        <f t="shared" si="116"/>
        <v>Serviços</v>
      </c>
      <c r="J435" s="243" t="s">
        <v>12</v>
      </c>
      <c r="K435" s="245" t="s">
        <v>45</v>
      </c>
      <c r="L435" s="246" t="s">
        <v>15</v>
      </c>
      <c r="M435" s="247"/>
      <c r="N435" s="248" t="s">
        <v>43</v>
      </c>
      <c r="O435" s="248" t="s">
        <v>43</v>
      </c>
      <c r="P435" s="248" t="s">
        <v>43</v>
      </c>
      <c r="Q435" s="248" t="s">
        <v>43</v>
      </c>
      <c r="R435" s="248" t="s">
        <v>43</v>
      </c>
      <c r="S435" s="249" t="s">
        <v>43</v>
      </c>
      <c r="T435" s="243" t="s">
        <v>43</v>
      </c>
      <c r="U435" s="243" t="s">
        <v>43</v>
      </c>
      <c r="V435" s="243" t="s">
        <v>43</v>
      </c>
      <c r="W435" s="243" t="s">
        <v>43</v>
      </c>
      <c r="X435" s="250" t="s">
        <v>585</v>
      </c>
      <c r="Y435" s="243" t="s">
        <v>43</v>
      </c>
      <c r="Z435" s="243" t="s">
        <v>43</v>
      </c>
      <c r="AA435" s="243">
        <v>0</v>
      </c>
      <c r="AB435" s="248" t="s">
        <v>43</v>
      </c>
      <c r="AC435" s="243" t="s">
        <v>43</v>
      </c>
      <c r="AD435" s="248" t="s">
        <v>43</v>
      </c>
      <c r="AE435" s="248" t="s">
        <v>141</v>
      </c>
      <c r="AF435" s="243" t="s">
        <v>43</v>
      </c>
      <c r="AG435" s="251">
        <v>0</v>
      </c>
      <c r="AH435" s="252">
        <v>0</v>
      </c>
      <c r="AI435" s="253">
        <v>0</v>
      </c>
      <c r="AJ435" s="253">
        <v>0</v>
      </c>
      <c r="AK435" s="253">
        <v>0</v>
      </c>
      <c r="AL435" s="253">
        <v>0</v>
      </c>
      <c r="AM435" s="254">
        <f>(((IF(L435=$L$101,1,IF(L435=$L$47,1,0))*(AH435*(1-AK435)))*AG435)*(1-AL435))</f>
        <v>0</v>
      </c>
      <c r="AN435" s="255">
        <f>IF(K435=$K$50,AM435,IF(K435=$K$53,AM435,IF(K435=$K$54,AM435,IF(K435=$K$55,AM435,IF(K435=$K$56,AM435,IF(K435=$K$57,AM435,IF(K435=$K$58,AM435,IF(K435=$K$65,AM435,IF(K435=$K$66,AM435,IF(K435=$K$67,AM435,IF(K435=$K$68,AM435,IF(K435=$K$69,AM435,(AM435*(1+AI435))))))))))))))</f>
        <v>0</v>
      </c>
      <c r="AO435" s="256">
        <v>1.85</v>
      </c>
      <c r="AP435" s="257">
        <f t="shared" si="117"/>
        <v>0</v>
      </c>
      <c r="AQ435" s="258">
        <f t="shared" si="125"/>
        <v>0</v>
      </c>
      <c r="AR435" s="257">
        <f t="shared" si="118"/>
        <v>0</v>
      </c>
      <c r="AS435" s="259">
        <f t="shared" si="119"/>
        <v>0</v>
      </c>
      <c r="AT435" s="260" t="str">
        <f>K435</f>
        <v>MOA</v>
      </c>
      <c r="AU435" s="261" t="str">
        <f>I435</f>
        <v>Serviços</v>
      </c>
      <c r="AV435" s="262"/>
      <c r="AW435" s="263">
        <f>IF(K435=$K$50,0,IF(K435=$K$53,0,IF(K435=$K$54,0,IF(K435=$K$55,0,IF(K435=$K$56,0,IF(K435=$K$57,0,IF(K435=$K$58,0,IF(K435=$K$65,0,IF(K435=$K$66,0,IF(K435=$K$67,0,IF(K435=$K$68,0,IF(K435=$K$69,0,1))))))))))))*AM435*AI435</f>
        <v>0</v>
      </c>
      <c r="AX435" s="264">
        <f>IF(K435=$K$50,0,IF(K435=$K$53,0,IF(K435=$K$54,0,IF(K435=$K$55,0,IF(K435=$K$56,0,IF(K435=$K$57,0,IF(K435=$K$58,0,IF(K435=$K$65,0,IF(K435=$K$66,0,IF(K435=$K$67,0,IF(K435=$K$68,0,IF(K435=$K$69,0,1))))))))))))*AM435*AJ435*$AX$94</f>
        <v>0</v>
      </c>
      <c r="AY435" s="264">
        <f>IF(K435=$K$53,0,IF(K435=$K$54,0,IF(K435=$K$55,0,IF(K435=$K$56,0,IF(K435=$K$58,0,IF(K435=$K$50,0,IF(K435=$K$65,0,IF(K435=$K$57,0,IF(K435=$K$51,0,AM435*$AY$102)))))))))</f>
        <v>0</v>
      </c>
      <c r="AZ435" s="264">
        <f>IF(K435=$K$53,0,IF(K435=$K$54,0,IF(K435=$K$55,0,IF(K435=$K$56,0,IF(K435=$K$58,0,IF(K435=$K$50,0,IF(K435=$K$65,0,IF(K435=$K$57,0,AM435*$AZ$102))))))))</f>
        <v>0</v>
      </c>
      <c r="BA435" s="264">
        <f t="shared" si="120"/>
        <v>0</v>
      </c>
      <c r="BB435" s="265">
        <f>IF($BA$97=1,AQ435*$BB$102,IF(K435=$K$50,0,IF(K435=$K$53,0,IF(K435=$K$54,0,IF(K435=$K$55,0,IF(K435=$K$56,0,IF(K435=$K$57,0,IF(K435=$K$58,0,IF(K435=$K$65,0,IF(K435=$K$66,0,IF(K435=$K$67,0,IF(K435=$K$68,0,IF(K435=$K$69,0,IF(K435=$K$51,0,1)))))))))))*AQ435*$BB$102)))</f>
        <v>0</v>
      </c>
      <c r="BC435" s="264">
        <f t="shared" si="121"/>
        <v>0</v>
      </c>
      <c r="BD435" s="264">
        <f t="shared" si="122"/>
        <v>0</v>
      </c>
      <c r="BE435" s="264">
        <f>IF($BE$95=I435,$BE$97,IF(I435=$BE$96,$BE$97,1))*($BE$102*AQ435)*$AZ$97</f>
        <v>0</v>
      </c>
      <c r="BF435" s="264">
        <f>IF('[1]Cockpit Retorno'!$C$65=Sim,Mestre!BA435,SUM(BB435:BE435)+(IF(K435=$K$56,AQ435*MOE_IRRF_LR,0)))</f>
        <v>0</v>
      </c>
      <c r="BG435" s="266">
        <f>IF(AA435&gt;0,0,IF(Z435=$Z$82,AG435*1,(IF(Z435=$Z$81,AG435*1,0))))</f>
        <v>0</v>
      </c>
      <c r="BH435" s="266">
        <f>IF(AA435&gt;0,0,IF(Z435=$Z$83,AG435*1,IF(Z435=$Z$81,AG435*1,0)))</f>
        <v>0</v>
      </c>
      <c r="BI435" s="266">
        <f>IF(AA435&gt;0,0,IF(Z435=$Z$84,AG435*1,IF(Z435=$Z$93,AG435*2,IF(Z435=$Z$100,AG435,IF(Z435=$Z$81,AG435*2,IF(Z435=$Z$80,AG435*1,IF(Z435=$Z$79,AG435*3,IF(Z435=$Z$78,AG435*2,0))))))))</f>
        <v>0</v>
      </c>
      <c r="BJ435" s="266">
        <f>IF(AA435&gt;0,0,IF(Z435=$Z$85,AG435,IF(Z435=$Z$93,AG435,IF(Z435=$Z$100,AG435,IF(Z435=$Z$81,AG435*1,IF(Z435=$Z$80,AG435*2,IF(Z435=$Z$79,AG435*2,IF(Z435=$Z$78,AG435*2,0))))))))</f>
        <v>0</v>
      </c>
      <c r="BK435" s="266">
        <f>IF(AA435&gt;0,0,IF(Z435=$Z$92,AG435,0))</f>
        <v>0</v>
      </c>
      <c r="BL435" s="266">
        <f>IF(AA435&gt;0,0,IF(Z435=$Z$91,AG435,0))</f>
        <v>0</v>
      </c>
      <c r="BM435" s="266">
        <f>IF(AA435&gt;0,0,IF(Z435=$Z$86,AG435,0))</f>
        <v>0</v>
      </c>
      <c r="BN435" s="266">
        <f>IF(AA435&gt;0,0,IF(Z435=$Z$87,AG435,0))</f>
        <v>0</v>
      </c>
      <c r="BO435" s="266">
        <f>IF(AA435&gt;0,0,IF(Z435=$Z$88,AG435,0))</f>
        <v>0</v>
      </c>
      <c r="BP435" s="266">
        <f>IF(AA435&gt;0,0,IF(Z435=$Z$89,AG435,0))</f>
        <v>0</v>
      </c>
      <c r="BQ435" s="266">
        <f>IF(AA435&gt;0,0,IF(Z435=$Z$90,AG435,0))</f>
        <v>0</v>
      </c>
      <c r="BR435" s="266">
        <f>IF(Z435=$Z$82,AA435*AG435,0)</f>
        <v>0</v>
      </c>
      <c r="BS435" s="266">
        <f>IF(Z435=$Z$83,AA435*AG435,0)</f>
        <v>0</v>
      </c>
      <c r="BT435" s="266">
        <f>IF(AA435&lt;1,0,IF(Z435=$Z$84,AA435*AG435,IF(Z435=$Z$93,"ERRO",IF(Z435=$Z$100,"ERRO",0))))</f>
        <v>0</v>
      </c>
      <c r="BU435" s="266">
        <f>IF(AA435&lt;1,0,IF(Z435=$Z$85,AA435*AG435,IF(Z435=$Z$93,"ERRO",IF(Z435=$Z$100,"ERRO",0))))</f>
        <v>0</v>
      </c>
      <c r="BV435" s="266">
        <f>IF(Z435=$Z$92,AA435*AG435,0)</f>
        <v>0</v>
      </c>
      <c r="BW435" s="266">
        <f>IF(Z435=$Z$91,AA435*AG435,0)</f>
        <v>0</v>
      </c>
      <c r="BX435" s="266">
        <f>IF(Z435=$Z$86,AA435*AG435,0)</f>
        <v>0</v>
      </c>
      <c r="BY435" s="266">
        <f>IF(Z435=$Z$87,AA435*AG435,0)</f>
        <v>0</v>
      </c>
      <c r="BZ435" s="266">
        <f>IF(Z435=$Z$88,AA435*AG435,0)</f>
        <v>0</v>
      </c>
      <c r="CA435" s="266">
        <f>IF(Z435=$Z$89,AA435*AG435,0)</f>
        <v>0</v>
      </c>
      <c r="CB435" s="266">
        <f>IF(Z435=$Z$90,AA435*AG435,0)</f>
        <v>0</v>
      </c>
      <c r="CC435" s="267">
        <f>IFERROR(IF(L435=$L$49,AG435*AH435*(1+AI435)*(1-AK435)*(1-AL435),0),0)</f>
        <v>0</v>
      </c>
      <c r="CD435" s="268">
        <f>IF(I435=$CD$97,1,IF(I435=$CD$100,2,IF(K435=$K$66,1,IF(K435=$K$69,1,3))))</f>
        <v>3</v>
      </c>
      <c r="CE435" s="268">
        <f t="shared" si="113"/>
        <v>1.3</v>
      </c>
      <c r="CF435" s="269">
        <f t="shared" si="96"/>
        <v>1.74</v>
      </c>
      <c r="CG435" s="268">
        <f t="shared" si="114"/>
        <v>2</v>
      </c>
      <c r="CH435" s="269">
        <f t="shared" si="97"/>
        <v>2.1800000000000002</v>
      </c>
      <c r="CI435" s="268">
        <f t="shared" si="115"/>
        <v>2.4</v>
      </c>
      <c r="CJ435" s="269">
        <f t="shared" si="107"/>
        <v>1.274</v>
      </c>
      <c r="CK435" s="269">
        <f t="shared" si="108"/>
        <v>1.6182000000000001</v>
      </c>
      <c r="CL435" s="269">
        <f t="shared" si="109"/>
        <v>1.96</v>
      </c>
      <c r="CM435" s="269">
        <f t="shared" si="110"/>
        <v>2.1146000000000003</v>
      </c>
      <c r="CN435" s="268">
        <f t="shared" si="111"/>
        <v>2.3039999999999998</v>
      </c>
      <c r="CO435" s="269">
        <f t="shared" si="124"/>
        <v>1.2230399999999999</v>
      </c>
      <c r="CP435" s="272">
        <f t="shared" si="104"/>
        <v>0</v>
      </c>
      <c r="CQ435" s="273">
        <f t="shared" si="105"/>
        <v>0</v>
      </c>
      <c r="CR435" s="274">
        <f t="shared" si="123"/>
        <v>0</v>
      </c>
      <c r="CS435" s="277"/>
      <c r="CT435" s="277"/>
      <c r="CU435" s="277"/>
      <c r="CV435" s="277"/>
      <c r="CW435" s="277"/>
      <c r="CX435" s="277"/>
      <c r="CY435" s="277"/>
      <c r="CZ435" s="277"/>
      <c r="DA435" s="277"/>
      <c r="DB435" s="277"/>
      <c r="DC435" s="277"/>
      <c r="DD435" s="277"/>
      <c r="DE435" s="277"/>
      <c r="DF435" s="277"/>
      <c r="DG435" s="277"/>
      <c r="DH435" s="277"/>
      <c r="DI435" s="277"/>
      <c r="DJ435" s="277"/>
      <c r="DK435" s="277"/>
      <c r="DL435" s="277"/>
      <c r="DM435" s="277"/>
      <c r="DN435" s="277"/>
      <c r="DO435" s="277"/>
      <c r="DP435" s="277"/>
      <c r="DQ435" s="277"/>
      <c r="DR435" s="277"/>
      <c r="DS435" s="277"/>
      <c r="DT435" s="277"/>
      <c r="DU435" s="277"/>
      <c r="DV435" s="277"/>
      <c r="DW435" s="277"/>
      <c r="DX435" s="277"/>
      <c r="DY435" s="277"/>
      <c r="DZ435" s="277"/>
      <c r="EA435" s="277"/>
      <c r="EB435" s="277"/>
      <c r="EC435" s="277"/>
      <c r="ED435" s="277"/>
      <c r="EE435" s="277"/>
      <c r="EF435" s="277"/>
      <c r="EG435" s="277"/>
      <c r="EH435" s="277"/>
      <c r="EI435" s="277"/>
      <c r="EJ435" s="277"/>
      <c r="EK435" s="277"/>
      <c r="EL435" s="277"/>
      <c r="EM435" s="277"/>
      <c r="EN435" s="277"/>
      <c r="EO435" s="277"/>
      <c r="EP435" s="277"/>
      <c r="EQ435" s="277"/>
      <c r="ER435" s="277"/>
      <c r="ES435" s="277"/>
      <c r="ET435" s="277"/>
      <c r="EU435" s="277"/>
      <c r="EV435" s="277"/>
      <c r="EW435" s="277"/>
      <c r="EX435" s="277"/>
      <c r="EY435" s="277"/>
      <c r="EZ435" s="277"/>
      <c r="FA435" s="277"/>
    </row>
    <row r="436" spans="1:157" s="278" customFormat="1" ht="16.5" x14ac:dyDescent="0.25">
      <c r="A436" s="238">
        <f>IF(AND('[1]Cockpit Retorno'!$E$67=Sim,Mestre!M436=Mestre!$M$98),0,1)</f>
        <v>1</v>
      </c>
      <c r="B436" s="238">
        <f>IF(AND('[1]Cockpit Retorno'!$E$67=Sim,Mestre!L436=Mestre!$L$48),0,1)</f>
        <v>0</v>
      </c>
      <c r="C436" s="238">
        <f>IF(AND('[1]Cockpit Retorno'!$E$67=Sim,Mestre!M436=Mestre!$M$97),0,1)</f>
        <v>1</v>
      </c>
      <c r="D436" s="239" t="s">
        <v>270</v>
      </c>
      <c r="E436" s="240"/>
      <c r="F436" s="241"/>
      <c r="G436" s="242">
        <v>100006</v>
      </c>
      <c r="H436" s="243" t="s">
        <v>50</v>
      </c>
      <c r="I436" s="244" t="str">
        <f t="shared" si="116"/>
        <v>Despesas</v>
      </c>
      <c r="J436" s="243" t="s">
        <v>12</v>
      </c>
      <c r="K436" s="245" t="s">
        <v>50</v>
      </c>
      <c r="L436" s="246" t="s">
        <v>15</v>
      </c>
      <c r="M436" s="247"/>
      <c r="N436" s="248" t="s">
        <v>43</v>
      </c>
      <c r="O436" s="248" t="s">
        <v>43</v>
      </c>
      <c r="P436" s="248" t="s">
        <v>43</v>
      </c>
      <c r="Q436" s="248" t="s">
        <v>43</v>
      </c>
      <c r="R436" s="248" t="s">
        <v>43</v>
      </c>
      <c r="S436" s="249" t="s">
        <v>43</v>
      </c>
      <c r="T436" s="243" t="s">
        <v>43</v>
      </c>
      <c r="U436" s="243" t="s">
        <v>43</v>
      </c>
      <c r="V436" s="243" t="s">
        <v>43</v>
      </c>
      <c r="W436" s="243" t="s">
        <v>43</v>
      </c>
      <c r="X436" s="250" t="s">
        <v>586</v>
      </c>
      <c r="Y436" s="243" t="s">
        <v>43</v>
      </c>
      <c r="Z436" s="243" t="s">
        <v>43</v>
      </c>
      <c r="AA436" s="243">
        <v>0</v>
      </c>
      <c r="AB436" s="248" t="s">
        <v>43</v>
      </c>
      <c r="AC436" s="243" t="s">
        <v>43</v>
      </c>
      <c r="AD436" s="248" t="s">
        <v>43</v>
      </c>
      <c r="AE436" s="248" t="s">
        <v>141</v>
      </c>
      <c r="AF436" s="243" t="s">
        <v>43</v>
      </c>
      <c r="AG436" s="251">
        <v>0</v>
      </c>
      <c r="AH436" s="252">
        <v>0</v>
      </c>
      <c r="AI436" s="253">
        <v>0</v>
      </c>
      <c r="AJ436" s="253">
        <v>0</v>
      </c>
      <c r="AK436" s="253">
        <v>0</v>
      </c>
      <c r="AL436" s="253">
        <v>0</v>
      </c>
      <c r="AM436" s="254">
        <f>(((IF(L436=$L$101,1,IF(L436=$L$47,1,0))*(AH436*(1-AK436)))*AG436)*(1-AL436))</f>
        <v>0</v>
      </c>
      <c r="AN436" s="255">
        <f>IF(K436=$K$50,AM436,IF(K436=$K$53,AM436,IF(K436=$K$54,AM436,IF(K436=$K$55,AM436,IF(K436=$K$56,AM436,IF(K436=$K$57,AM436,IF(K436=$K$58,AM436,IF(K436=$K$65,AM436,IF(K436=$K$66,AM436,IF(K436=$K$67,AM436,IF(K436=$K$68,AM436,IF(K436=$K$69,AM436,(AM436*(1+AI436))))))))))))))</f>
        <v>0</v>
      </c>
      <c r="AO436" s="256">
        <v>1.4</v>
      </c>
      <c r="AP436" s="257">
        <f t="shared" si="117"/>
        <v>0</v>
      </c>
      <c r="AQ436" s="258">
        <f t="shared" si="125"/>
        <v>0</v>
      </c>
      <c r="AR436" s="257">
        <f t="shared" si="118"/>
        <v>0</v>
      </c>
      <c r="AS436" s="259">
        <f t="shared" si="119"/>
        <v>0</v>
      </c>
      <c r="AT436" s="260" t="str">
        <f>K436</f>
        <v>MOB</v>
      </c>
      <c r="AU436" s="261" t="str">
        <f>I436</f>
        <v>Despesas</v>
      </c>
      <c r="AV436" s="262"/>
      <c r="AW436" s="263">
        <f>IF(K436=$K$50,0,IF(K436=$K$53,0,IF(K436=$K$54,0,IF(K436=$K$55,0,IF(K436=$K$56,0,IF(K436=$K$57,0,IF(K436=$K$58,0,IF(K436=$K$65,0,IF(K436=$K$66,0,IF(K436=$K$67,0,IF(K436=$K$68,0,IF(K436=$K$69,0,1))))))))))))*AM436*AI436</f>
        <v>0</v>
      </c>
      <c r="AX436" s="264">
        <f>IF(K436=$K$50,0,IF(K436=$K$53,0,IF(K436=$K$54,0,IF(K436=$K$55,0,IF(K436=$K$56,0,IF(K436=$K$57,0,IF(K436=$K$58,0,IF(K436=$K$65,0,IF(K436=$K$66,0,IF(K436=$K$67,0,IF(K436=$K$68,0,IF(K436=$K$69,0,1))))))))))))*AM436*AJ436*$AX$94</f>
        <v>0</v>
      </c>
      <c r="AY436" s="264">
        <f>IF(K436=$K$53,0,IF(K436=$K$54,0,IF(K436=$K$55,0,IF(K436=$K$56,0,IF(K436=$K$58,0,IF(K436=$K$50,0,IF(K436=$K$65,0,IF(K436=$K$57,0,IF(K436=$K$51,0,AM436*$AY$102)))))))))</f>
        <v>0</v>
      </c>
      <c r="AZ436" s="264">
        <f>IF(K436=$K$53,0,IF(K436=$K$54,0,IF(K436=$K$55,0,IF(K436=$K$56,0,IF(K436=$K$58,0,IF(K436=$K$50,0,IF(K436=$K$65,0,IF(K436=$K$57,0,AM436*$AZ$102))))))))</f>
        <v>0</v>
      </c>
      <c r="BA436" s="264">
        <f t="shared" si="120"/>
        <v>0</v>
      </c>
      <c r="BB436" s="265">
        <f>IF($BA$97=1,AQ436*$BB$102,IF(K436=$K$50,0,IF(K436=$K$53,0,IF(K436=$K$54,0,IF(K436=$K$55,0,IF(K436=$K$56,0,IF(K436=$K$57,0,IF(K436=$K$58,0,IF(K436=$K$65,0,IF(K436=$K$66,0,IF(K436=$K$67,0,IF(K436=$K$68,0,IF(K436=$K$69,0,IF(K436=$K$51,0,1)))))))))))*AQ436*$BB$102)))</f>
        <v>0</v>
      </c>
      <c r="BC436" s="264">
        <f t="shared" si="121"/>
        <v>0</v>
      </c>
      <c r="BD436" s="264">
        <f t="shared" si="122"/>
        <v>0</v>
      </c>
      <c r="BE436" s="264">
        <f>IF($BE$95=I436,$BE$97,IF(I436=$BE$96,$BE$97,1))*($BE$102*AQ436)*$AZ$97</f>
        <v>0</v>
      </c>
      <c r="BF436" s="264">
        <f>IF('[1]Cockpit Retorno'!$C$65=Sim,Mestre!BA436,SUM(BB436:BE436)+(IF(K436=$K$56,AQ436*MOE_IRRF_LR,0)))</f>
        <v>0</v>
      </c>
      <c r="BG436" s="266">
        <f>IF(AA436&gt;0,0,IF(Z436=$Z$82,AG436*1,(IF(Z436=$Z$81,AG436*1,0))))</f>
        <v>0</v>
      </c>
      <c r="BH436" s="266">
        <f>IF(AA436&gt;0,0,IF(Z436=$Z$83,AG436*1,IF(Z436=$Z$81,AG436*1,0)))</f>
        <v>0</v>
      </c>
      <c r="BI436" s="266">
        <f>IF(AA436&gt;0,0,IF(Z436=$Z$84,AG436*1,IF(Z436=$Z$93,AG436*2,IF(Z436=$Z$100,AG436,IF(Z436=$Z$81,AG436*2,IF(Z436=$Z$80,AG436*1,IF(Z436=$Z$79,AG436*3,IF(Z436=$Z$78,AG436*2,0))))))))</f>
        <v>0</v>
      </c>
      <c r="BJ436" s="266">
        <f>IF(AA436&gt;0,0,IF(Z436=$Z$85,AG436,IF(Z436=$Z$93,AG436,IF(Z436=$Z$100,AG436,IF(Z436=$Z$81,AG436*1,IF(Z436=$Z$80,AG436*2,IF(Z436=$Z$79,AG436*2,IF(Z436=$Z$78,AG436*2,0))))))))</f>
        <v>0</v>
      </c>
      <c r="BK436" s="266">
        <f>IF(AA436&gt;0,0,IF(Z436=$Z$92,AG436,0))</f>
        <v>0</v>
      </c>
      <c r="BL436" s="266">
        <f>IF(AA436&gt;0,0,IF(Z436=$Z$91,AG436,0))</f>
        <v>0</v>
      </c>
      <c r="BM436" s="266">
        <f>IF(AA436&gt;0,0,IF(Z436=$Z$86,AG436,0))</f>
        <v>0</v>
      </c>
      <c r="BN436" s="266">
        <f>IF(AA436&gt;0,0,IF(Z436=$Z$87,AG436,0))</f>
        <v>0</v>
      </c>
      <c r="BO436" s="266">
        <f>IF(AA436&gt;0,0,IF(Z436=$Z$88,AG436,0))</f>
        <v>0</v>
      </c>
      <c r="BP436" s="266">
        <f>IF(AA436&gt;0,0,IF(Z436=$Z$89,AG436,0))</f>
        <v>0</v>
      </c>
      <c r="BQ436" s="266">
        <f>IF(AA436&gt;0,0,IF(Z436=$Z$90,AG436,0))</f>
        <v>0</v>
      </c>
      <c r="BR436" s="266">
        <f>IF(Z436=$Z$82,AA436*AG436,0)</f>
        <v>0</v>
      </c>
      <c r="BS436" s="266">
        <f>IF(Z436=$Z$83,AA436*AG436,0)</f>
        <v>0</v>
      </c>
      <c r="BT436" s="266">
        <f>IF(AA436&lt;1,0,IF(Z436=$Z$84,AA436*AG436,IF(Z436=$Z$93,"ERRO",IF(Z436=$Z$100,"ERRO",0))))</f>
        <v>0</v>
      </c>
      <c r="BU436" s="266">
        <f>IF(AA436&lt;1,0,IF(Z436=$Z$85,AA436*AG436,IF(Z436=$Z$93,"ERRO",IF(Z436=$Z$100,"ERRO",0))))</f>
        <v>0</v>
      </c>
      <c r="BV436" s="266">
        <f>IF(Z436=$Z$92,AA436*AG436,0)</f>
        <v>0</v>
      </c>
      <c r="BW436" s="266">
        <f>IF(Z436=$Z$91,AA436*AG436,0)</f>
        <v>0</v>
      </c>
      <c r="BX436" s="266">
        <f>IF(Z436=$Z$86,AA436*AG436,0)</f>
        <v>0</v>
      </c>
      <c r="BY436" s="266">
        <f>IF(Z436=$Z$87,AA436*AG436,0)</f>
        <v>0</v>
      </c>
      <c r="BZ436" s="266">
        <f>IF(Z436=$Z$88,AA436*AG436,0)</f>
        <v>0</v>
      </c>
      <c r="CA436" s="266">
        <f>IF(Z436=$Z$89,AA436*AG436,0)</f>
        <v>0</v>
      </c>
      <c r="CB436" s="266">
        <f>IF(Z436=$Z$90,AA436*AG436,0)</f>
        <v>0</v>
      </c>
      <c r="CC436" s="267">
        <f>IFERROR(IF(L436=$L$49,AG436*AH436*(1+AI436)*(1-AK436)*(1-AL436),0),0)</f>
        <v>0</v>
      </c>
      <c r="CD436" s="268">
        <f>IF(I436=$CD$97,1,IF(I436=$CD$100,2,IF(K436=$K$66,1,IF(K436=$K$69,1,3))))</f>
        <v>2</v>
      </c>
      <c r="CE436" s="268">
        <f t="shared" si="113"/>
        <v>1.07</v>
      </c>
      <c r="CF436" s="269">
        <f t="shared" si="96"/>
        <v>1.2788999999999999</v>
      </c>
      <c r="CG436" s="268">
        <f t="shared" si="114"/>
        <v>1.47</v>
      </c>
      <c r="CH436" s="269">
        <f t="shared" si="97"/>
        <v>1.6023000000000001</v>
      </c>
      <c r="CI436" s="268">
        <f t="shared" si="115"/>
        <v>1.7</v>
      </c>
      <c r="CJ436" s="269">
        <f t="shared" si="107"/>
        <v>1.0486</v>
      </c>
      <c r="CK436" s="269">
        <f t="shared" si="108"/>
        <v>1.1893769999999999</v>
      </c>
      <c r="CL436" s="269">
        <f t="shared" si="109"/>
        <v>1.4405999999999999</v>
      </c>
      <c r="CM436" s="269">
        <f t="shared" si="110"/>
        <v>1.5542309999999999</v>
      </c>
      <c r="CN436" s="268">
        <f t="shared" si="111"/>
        <v>1.6319999999999999</v>
      </c>
      <c r="CO436" s="269">
        <f t="shared" si="124"/>
        <v>1.006656</v>
      </c>
      <c r="CP436" s="272">
        <f t="shared" si="104"/>
        <v>0</v>
      </c>
      <c r="CQ436" s="273">
        <f t="shared" si="105"/>
        <v>0</v>
      </c>
      <c r="CR436" s="274">
        <f t="shared" si="123"/>
        <v>0</v>
      </c>
      <c r="CS436" s="277"/>
      <c r="CT436" s="277"/>
      <c r="CU436" s="277"/>
      <c r="CV436" s="277"/>
      <c r="CW436" s="277"/>
      <c r="CX436" s="277"/>
      <c r="CY436" s="277"/>
      <c r="CZ436" s="277"/>
      <c r="DA436" s="277"/>
      <c r="DB436" s="277"/>
      <c r="DC436" s="277"/>
      <c r="DD436" s="277"/>
      <c r="DE436" s="277"/>
      <c r="DF436" s="277"/>
      <c r="DG436" s="277"/>
      <c r="DH436" s="277"/>
      <c r="DI436" s="277"/>
      <c r="DJ436" s="277"/>
      <c r="DK436" s="277"/>
      <c r="DL436" s="277"/>
      <c r="DM436" s="277"/>
      <c r="DN436" s="277"/>
      <c r="DO436" s="277"/>
      <c r="DP436" s="277"/>
      <c r="DQ436" s="277"/>
      <c r="DR436" s="277"/>
      <c r="DS436" s="277"/>
      <c r="DT436" s="277"/>
      <c r="DU436" s="277"/>
      <c r="DV436" s="277"/>
      <c r="DW436" s="277"/>
      <c r="DX436" s="277"/>
      <c r="DY436" s="277"/>
      <c r="DZ436" s="277"/>
      <c r="EA436" s="277"/>
      <c r="EB436" s="277"/>
      <c r="EC436" s="277"/>
      <c r="ED436" s="277"/>
      <c r="EE436" s="277"/>
      <c r="EF436" s="277"/>
      <c r="EG436" s="277"/>
      <c r="EH436" s="277"/>
      <c r="EI436" s="277"/>
      <c r="EJ436" s="277"/>
      <c r="EK436" s="277"/>
      <c r="EL436" s="277"/>
      <c r="EM436" s="277"/>
      <c r="EN436" s="277"/>
      <c r="EO436" s="277"/>
      <c r="EP436" s="277"/>
      <c r="EQ436" s="277"/>
      <c r="ER436" s="277"/>
      <c r="ES436" s="277"/>
      <c r="ET436" s="277"/>
      <c r="EU436" s="277"/>
      <c r="EV436" s="277"/>
      <c r="EW436" s="277"/>
      <c r="EX436" s="277"/>
      <c r="EY436" s="277"/>
      <c r="EZ436" s="277"/>
      <c r="FA436" s="277"/>
    </row>
    <row r="437" spans="1:157" s="278" customFormat="1" ht="16.5" x14ac:dyDescent="0.25">
      <c r="A437" s="238">
        <f>IF(AND('[1]Cockpit Retorno'!$E$67=Sim,Mestre!M437=Mestre!$M$98),0,1)</f>
        <v>1</v>
      </c>
      <c r="B437" s="238">
        <f>IF(AND('[1]Cockpit Retorno'!$E$67=Sim,Mestre!L437=Mestre!$L$48),0,1)</f>
        <v>0</v>
      </c>
      <c r="C437" s="238">
        <f>IF(AND('[1]Cockpit Retorno'!$E$67=Sim,Mestre!M437=Mestre!$M$97),0,1)</f>
        <v>1</v>
      </c>
      <c r="D437" s="276" t="s">
        <v>274</v>
      </c>
      <c r="E437" s="240"/>
      <c r="F437" s="241"/>
      <c r="G437" s="242">
        <v>100007</v>
      </c>
      <c r="H437" s="243" t="s">
        <v>55</v>
      </c>
      <c r="I437" s="244" t="str">
        <f t="shared" si="116"/>
        <v>Serviços</v>
      </c>
      <c r="J437" s="243" t="s">
        <v>12</v>
      </c>
      <c r="K437" s="245" t="s">
        <v>55</v>
      </c>
      <c r="L437" s="246" t="s">
        <v>15</v>
      </c>
      <c r="M437" s="247"/>
      <c r="N437" s="248" t="s">
        <v>43</v>
      </c>
      <c r="O437" s="248" t="s">
        <v>43</v>
      </c>
      <c r="P437" s="248" t="s">
        <v>43</v>
      </c>
      <c r="Q437" s="248" t="s">
        <v>43</v>
      </c>
      <c r="R437" s="248" t="s">
        <v>43</v>
      </c>
      <c r="S437" s="249" t="s">
        <v>43</v>
      </c>
      <c r="T437" s="243" t="s">
        <v>43</v>
      </c>
      <c r="U437" s="243" t="s">
        <v>43</v>
      </c>
      <c r="V437" s="243" t="s">
        <v>43</v>
      </c>
      <c r="W437" s="243" t="s">
        <v>43</v>
      </c>
      <c r="X437" s="250" t="s">
        <v>587</v>
      </c>
      <c r="Y437" s="243" t="s">
        <v>43</v>
      </c>
      <c r="Z437" s="243" t="s">
        <v>43</v>
      </c>
      <c r="AA437" s="243">
        <v>0</v>
      </c>
      <c r="AB437" s="248" t="s">
        <v>43</v>
      </c>
      <c r="AC437" s="243" t="s">
        <v>43</v>
      </c>
      <c r="AD437" s="248" t="s">
        <v>43</v>
      </c>
      <c r="AE437" s="248" t="s">
        <v>141</v>
      </c>
      <c r="AF437" s="243" t="s">
        <v>43</v>
      </c>
      <c r="AG437" s="251">
        <v>0</v>
      </c>
      <c r="AH437" s="252">
        <v>0</v>
      </c>
      <c r="AI437" s="253">
        <v>0</v>
      </c>
      <c r="AJ437" s="253">
        <v>0</v>
      </c>
      <c r="AK437" s="253">
        <v>0</v>
      </c>
      <c r="AL437" s="253">
        <v>0</v>
      </c>
      <c r="AM437" s="254">
        <f>(((IF(L437=$L$101,1,IF(L437=$L$47,1,0))*(AH437*(1-AK437)))*AG437)*(1-AL437))</f>
        <v>0</v>
      </c>
      <c r="AN437" s="255">
        <f>IF(K437=$K$50,AM437,IF(K437=$K$53,AM437,IF(K437=$K$54,AM437,IF(K437=$K$55,AM437,IF(K437=$K$56,AM437,IF(K437=$K$57,AM437,IF(K437=$K$58,AM437,IF(K437=$K$65,AM437,IF(K437=$K$66,AM437,IF(K437=$K$67,AM437,IF(K437=$K$68,AM437,IF(K437=$K$69,AM437,(AM437*(1+AI437))))))))))))))</f>
        <v>0</v>
      </c>
      <c r="AO437" s="256">
        <v>1.85</v>
      </c>
      <c r="AP437" s="257">
        <f t="shared" si="117"/>
        <v>0</v>
      </c>
      <c r="AQ437" s="258">
        <f t="shared" si="125"/>
        <v>0</v>
      </c>
      <c r="AR437" s="257">
        <f t="shared" si="118"/>
        <v>0</v>
      </c>
      <c r="AS437" s="259">
        <f t="shared" si="119"/>
        <v>0</v>
      </c>
      <c r="AT437" s="260" t="str">
        <f>K437</f>
        <v>MOC</v>
      </c>
      <c r="AU437" s="261" t="str">
        <f>I437</f>
        <v>Serviços</v>
      </c>
      <c r="AV437" s="262"/>
      <c r="AW437" s="263">
        <f>IF(K437=$K$50,0,IF(K437=$K$53,0,IF(K437=$K$54,0,IF(K437=$K$55,0,IF(K437=$K$56,0,IF(K437=$K$57,0,IF(K437=$K$58,0,IF(K437=$K$65,0,IF(K437=$K$66,0,IF(K437=$K$67,0,IF(K437=$K$68,0,IF(K437=$K$69,0,1))))))))))))*AM437*AI437</f>
        <v>0</v>
      </c>
      <c r="AX437" s="264">
        <f>IF(K437=$K$50,0,IF(K437=$K$53,0,IF(K437=$K$54,0,IF(K437=$K$55,0,IF(K437=$K$56,0,IF(K437=$K$57,0,IF(K437=$K$58,0,IF(K437=$K$65,0,IF(K437=$K$66,0,IF(K437=$K$67,0,IF(K437=$K$68,0,IF(K437=$K$69,0,1))))))))))))*AM437*AJ437*$AX$94</f>
        <v>0</v>
      </c>
      <c r="AY437" s="264">
        <f>IF(K437=$K$53,0,IF(K437=$K$54,0,IF(K437=$K$55,0,IF(K437=$K$56,0,IF(K437=$K$58,0,IF(K437=$K$50,0,IF(K437=$K$65,0,IF(K437=$K$57,0,IF(K437=$K$51,0,AM437*$AY$102)))))))))</f>
        <v>0</v>
      </c>
      <c r="AZ437" s="264">
        <f>IF(K437=$K$53,0,IF(K437=$K$54,0,IF(K437=$K$55,0,IF(K437=$K$56,0,IF(K437=$K$58,0,IF(K437=$K$50,0,IF(K437=$K$65,0,IF(K437=$K$57,0,AM437*$AZ$102))))))))</f>
        <v>0</v>
      </c>
      <c r="BA437" s="264">
        <f t="shared" si="120"/>
        <v>0</v>
      </c>
      <c r="BB437" s="265">
        <f>IF($BA$97=1,AQ437*$BB$102,IF(K437=$K$50,0,IF(K437=$K$53,0,IF(K437=$K$54,0,IF(K437=$K$55,0,IF(K437=$K$56,0,IF(K437=$K$57,0,IF(K437=$K$58,0,IF(K437=$K$65,0,IF(K437=$K$66,0,IF(K437=$K$67,0,IF(K437=$K$68,0,IF(K437=$K$69,0,IF(K437=$K$51,0,1)))))))))))*AQ437*$BB$102)))</f>
        <v>0</v>
      </c>
      <c r="BC437" s="264">
        <f t="shared" si="121"/>
        <v>0</v>
      </c>
      <c r="BD437" s="264">
        <f t="shared" si="122"/>
        <v>0</v>
      </c>
      <c r="BE437" s="264">
        <f>IF($BE$95=I437,$BE$97,IF(I437=$BE$96,$BE$97,1))*($BE$102*AQ437)*$AZ$97</f>
        <v>0</v>
      </c>
      <c r="BF437" s="264">
        <f>IF('[1]Cockpit Retorno'!$C$65=Sim,Mestre!BA437,SUM(BB437:BE437)+(IF(K437=$K$56,AQ437*MOE_IRRF_LR,0)))</f>
        <v>0</v>
      </c>
      <c r="BG437" s="266">
        <f>IF(AA437&gt;0,0,IF(Z437=$Z$82,AG437*1,(IF(Z437=$Z$81,AG437*1,0))))</f>
        <v>0</v>
      </c>
      <c r="BH437" s="266">
        <f>IF(AA437&gt;0,0,IF(Z437=$Z$83,AG437*1,IF(Z437=$Z$81,AG437*1,0)))</f>
        <v>0</v>
      </c>
      <c r="BI437" s="266">
        <f>IF(AA437&gt;0,0,IF(Z437=$Z$84,AG437*1,IF(Z437=$Z$93,AG437*2,IF(Z437=$Z$100,AG437,IF(Z437=$Z$81,AG437*2,IF(Z437=$Z$80,AG437*1,IF(Z437=$Z$79,AG437*3,IF(Z437=$Z$78,AG437*2,0))))))))</f>
        <v>0</v>
      </c>
      <c r="BJ437" s="266">
        <f>IF(AA437&gt;0,0,IF(Z437=$Z$85,AG437,IF(Z437=$Z$93,AG437,IF(Z437=$Z$100,AG437,IF(Z437=$Z$81,AG437*1,IF(Z437=$Z$80,AG437*2,IF(Z437=$Z$79,AG437*2,IF(Z437=$Z$78,AG437*2,0))))))))</f>
        <v>0</v>
      </c>
      <c r="BK437" s="266">
        <f>IF(AA437&gt;0,0,IF(Z437=$Z$92,AG437,0))</f>
        <v>0</v>
      </c>
      <c r="BL437" s="266">
        <f>IF(AA437&gt;0,0,IF(Z437=$Z$91,AG437,0))</f>
        <v>0</v>
      </c>
      <c r="BM437" s="266">
        <f>IF(AA437&gt;0,0,IF(Z437=$Z$86,AG437,0))</f>
        <v>0</v>
      </c>
      <c r="BN437" s="266">
        <f>IF(AA437&gt;0,0,IF(Z437=$Z$87,AG437,0))</f>
        <v>0</v>
      </c>
      <c r="BO437" s="266">
        <f>IF(AA437&gt;0,0,IF(Z437=$Z$88,AG437,0))</f>
        <v>0</v>
      </c>
      <c r="BP437" s="266">
        <f>IF(AA437&gt;0,0,IF(Z437=$Z$89,AG437,0))</f>
        <v>0</v>
      </c>
      <c r="BQ437" s="266">
        <f>IF(AA437&gt;0,0,IF(Z437=$Z$90,AG437,0))</f>
        <v>0</v>
      </c>
      <c r="BR437" s="266">
        <f>IF(Z437=$Z$82,AA437*AG437,0)</f>
        <v>0</v>
      </c>
      <c r="BS437" s="266">
        <f>IF(Z437=$Z$83,AA437*AG437,0)</f>
        <v>0</v>
      </c>
      <c r="BT437" s="266">
        <f>IF(AA437&lt;1,0,IF(Z437=$Z$84,AA437*AG437,IF(Z437=$Z$93,"ERRO",IF(Z437=$Z$100,"ERRO",0))))</f>
        <v>0</v>
      </c>
      <c r="BU437" s="266">
        <f>IF(AA437&lt;1,0,IF(Z437=$Z$85,AA437*AG437,IF(Z437=$Z$93,"ERRO",IF(Z437=$Z$100,"ERRO",0))))</f>
        <v>0</v>
      </c>
      <c r="BV437" s="266">
        <f>IF(Z437=$Z$92,AA437*AG437,0)</f>
        <v>0</v>
      </c>
      <c r="BW437" s="266">
        <f>IF(Z437=$Z$91,AA437*AG437,0)</f>
        <v>0</v>
      </c>
      <c r="BX437" s="266">
        <f>IF(Z437=$Z$86,AA437*AG437,0)</f>
        <v>0</v>
      </c>
      <c r="BY437" s="266">
        <f>IF(Z437=$Z$87,AA437*AG437,0)</f>
        <v>0</v>
      </c>
      <c r="BZ437" s="266">
        <f>IF(Z437=$Z$88,AA437*AG437,0)</f>
        <v>0</v>
      </c>
      <c r="CA437" s="266">
        <f>IF(Z437=$Z$89,AA437*AG437,0)</f>
        <v>0</v>
      </c>
      <c r="CB437" s="266">
        <f>IF(Z437=$Z$90,AA437*AG437,0)</f>
        <v>0</v>
      </c>
      <c r="CC437" s="267">
        <f>IFERROR(IF(L437=$L$49,AG437*AH437*(1+AI437)*(1-AK437)*(1-AL437),0),0)</f>
        <v>0</v>
      </c>
      <c r="CD437" s="268">
        <f>IF(I437=$CD$97,1,IF(I437=$CD$100,2,IF(K437=$K$66,1,IF(K437=$K$69,1,3))))</f>
        <v>3</v>
      </c>
      <c r="CE437" s="268">
        <f t="shared" si="113"/>
        <v>1.3</v>
      </c>
      <c r="CF437" s="269">
        <f t="shared" si="96"/>
        <v>1.74</v>
      </c>
      <c r="CG437" s="268">
        <f t="shared" si="114"/>
        <v>2</v>
      </c>
      <c r="CH437" s="269">
        <f t="shared" si="97"/>
        <v>2.1800000000000002</v>
      </c>
      <c r="CI437" s="268">
        <f t="shared" si="115"/>
        <v>2.4</v>
      </c>
      <c r="CJ437" s="269">
        <f t="shared" si="107"/>
        <v>1.274</v>
      </c>
      <c r="CK437" s="269">
        <f t="shared" si="108"/>
        <v>1.6182000000000001</v>
      </c>
      <c r="CL437" s="269">
        <f t="shared" si="109"/>
        <v>1.96</v>
      </c>
      <c r="CM437" s="269">
        <f t="shared" si="110"/>
        <v>2.1146000000000003</v>
      </c>
      <c r="CN437" s="268">
        <f t="shared" si="111"/>
        <v>2.3039999999999998</v>
      </c>
      <c r="CO437" s="269">
        <f t="shared" si="124"/>
        <v>1.2230399999999999</v>
      </c>
      <c r="CP437" s="272">
        <f t="shared" si="104"/>
        <v>0</v>
      </c>
      <c r="CQ437" s="273">
        <f t="shared" si="105"/>
        <v>0</v>
      </c>
      <c r="CR437" s="274">
        <f t="shared" si="123"/>
        <v>0</v>
      </c>
      <c r="CS437" s="277"/>
      <c r="CT437" s="277"/>
      <c r="CU437" s="277"/>
      <c r="CV437" s="277"/>
      <c r="CW437" s="277"/>
      <c r="CX437" s="277"/>
      <c r="CY437" s="277"/>
      <c r="CZ437" s="277"/>
      <c r="DA437" s="277"/>
      <c r="DB437" s="277"/>
      <c r="DC437" s="277"/>
      <c r="DD437" s="277"/>
      <c r="DE437" s="277"/>
      <c r="DF437" s="277"/>
      <c r="DG437" s="277"/>
      <c r="DH437" s="277"/>
      <c r="DI437" s="277"/>
      <c r="DJ437" s="277"/>
      <c r="DK437" s="277"/>
      <c r="DL437" s="277"/>
      <c r="DM437" s="277"/>
      <c r="DN437" s="277"/>
      <c r="DO437" s="277"/>
      <c r="DP437" s="277"/>
      <c r="DQ437" s="277"/>
      <c r="DR437" s="277"/>
      <c r="DS437" s="277"/>
      <c r="DT437" s="277"/>
      <c r="DU437" s="277"/>
      <c r="DV437" s="277"/>
      <c r="DW437" s="277"/>
      <c r="DX437" s="277"/>
      <c r="DY437" s="277"/>
      <c r="DZ437" s="277"/>
      <c r="EA437" s="277"/>
      <c r="EB437" s="277"/>
      <c r="EC437" s="277"/>
      <c r="ED437" s="277"/>
      <c r="EE437" s="277"/>
      <c r="EF437" s="277"/>
      <c r="EG437" s="277"/>
      <c r="EH437" s="277"/>
      <c r="EI437" s="277"/>
      <c r="EJ437" s="277"/>
      <c r="EK437" s="277"/>
      <c r="EL437" s="277"/>
      <c r="EM437" s="277"/>
      <c r="EN437" s="277"/>
      <c r="EO437" s="277"/>
      <c r="EP437" s="277"/>
      <c r="EQ437" s="277"/>
      <c r="ER437" s="277"/>
      <c r="ES437" s="277"/>
      <c r="ET437" s="277"/>
      <c r="EU437" s="277"/>
      <c r="EV437" s="277"/>
      <c r="EW437" s="277"/>
      <c r="EX437" s="277"/>
      <c r="EY437" s="277"/>
      <c r="EZ437" s="277"/>
      <c r="FA437" s="277"/>
    </row>
    <row r="438" spans="1:157" s="278" customFormat="1" ht="8.25" x14ac:dyDescent="0.25">
      <c r="A438" s="238">
        <f>IF(AND('[1]Cockpit Retorno'!$E$67=Sim,Mestre!M438=Mestre!$M$98),0,1)</f>
        <v>1</v>
      </c>
      <c r="B438" s="238">
        <f>IF(AND('[1]Cockpit Retorno'!$E$67=Sim,Mestre!L438=Mestre!$L$48),0,1)</f>
        <v>0</v>
      </c>
      <c r="C438" s="238">
        <f>IF(AND('[1]Cockpit Retorno'!$E$67=Sim,Mestre!M438=Mestre!$M$97),0,1)</f>
        <v>1</v>
      </c>
      <c r="D438" s="276" t="s">
        <v>260</v>
      </c>
      <c r="E438" s="240"/>
      <c r="F438" s="241"/>
      <c r="G438" s="242">
        <v>100008</v>
      </c>
      <c r="H438" s="243" t="s">
        <v>70</v>
      </c>
      <c r="I438" s="244" t="str">
        <f t="shared" si="116"/>
        <v>Serviços</v>
      </c>
      <c r="J438" s="243" t="s">
        <v>12</v>
      </c>
      <c r="K438" s="245" t="s">
        <v>70</v>
      </c>
      <c r="L438" s="246" t="s">
        <v>15</v>
      </c>
      <c r="M438" s="247"/>
      <c r="N438" s="248" t="s">
        <v>43</v>
      </c>
      <c r="O438" s="248" t="s">
        <v>43</v>
      </c>
      <c r="P438" s="248" t="s">
        <v>43</v>
      </c>
      <c r="Q438" s="248" t="s">
        <v>43</v>
      </c>
      <c r="R438" s="248" t="s">
        <v>43</v>
      </c>
      <c r="S438" s="249" t="s">
        <v>43</v>
      </c>
      <c r="T438" s="243" t="s">
        <v>43</v>
      </c>
      <c r="U438" s="243" t="s">
        <v>43</v>
      </c>
      <c r="V438" s="243" t="s">
        <v>43</v>
      </c>
      <c r="W438" s="243" t="s">
        <v>43</v>
      </c>
      <c r="X438" s="250" t="s">
        <v>588</v>
      </c>
      <c r="Y438" s="243" t="s">
        <v>43</v>
      </c>
      <c r="Z438" s="243" t="s">
        <v>43</v>
      </c>
      <c r="AA438" s="243">
        <v>0</v>
      </c>
      <c r="AB438" s="248" t="s">
        <v>43</v>
      </c>
      <c r="AC438" s="243" t="s">
        <v>43</v>
      </c>
      <c r="AD438" s="248" t="s">
        <v>43</v>
      </c>
      <c r="AE438" s="248" t="s">
        <v>141</v>
      </c>
      <c r="AF438" s="243" t="s">
        <v>43</v>
      </c>
      <c r="AG438" s="251">
        <v>0</v>
      </c>
      <c r="AH438" s="252">
        <v>0</v>
      </c>
      <c r="AI438" s="253">
        <v>0</v>
      </c>
      <c r="AJ438" s="253">
        <v>0</v>
      </c>
      <c r="AK438" s="253">
        <v>0</v>
      </c>
      <c r="AL438" s="253">
        <v>0</v>
      </c>
      <c r="AM438" s="254">
        <f>(((IF(L438=$L$101,1,IF(L438=$L$47,1,0))*(AH438*(1-AK438)))*AG438)*(1-AL438))</f>
        <v>0</v>
      </c>
      <c r="AN438" s="255">
        <f>IF(K438=$K$50,AM438,IF(K438=$K$53,AM438,IF(K438=$K$54,AM438,IF(K438=$K$55,AM438,IF(K438=$K$56,AM438,IF(K438=$K$57,AM438,IF(K438=$K$58,AM438,IF(K438=$K$65,AM438,IF(K438=$K$66,AM438,IF(K438=$K$67,AM438,IF(K438=$K$68,AM438,IF(K438=$K$69,AM438,(AM438*(1+AI438))))))))))))))</f>
        <v>0</v>
      </c>
      <c r="AO438" s="256">
        <v>1.85</v>
      </c>
      <c r="AP438" s="257">
        <f t="shared" si="117"/>
        <v>0</v>
      </c>
      <c r="AQ438" s="258">
        <f t="shared" si="125"/>
        <v>0</v>
      </c>
      <c r="AR438" s="257">
        <f t="shared" si="118"/>
        <v>0</v>
      </c>
      <c r="AS438" s="259">
        <f t="shared" si="119"/>
        <v>0</v>
      </c>
      <c r="AT438" s="260" t="str">
        <f>K438</f>
        <v>MOD</v>
      </c>
      <c r="AU438" s="261" t="str">
        <f>I438</f>
        <v>Serviços</v>
      </c>
      <c r="AV438" s="262"/>
      <c r="AW438" s="263">
        <f>IF(K438=$K$50,0,IF(K438=$K$53,0,IF(K438=$K$54,0,IF(K438=$K$55,0,IF(K438=$K$56,0,IF(K438=$K$57,0,IF(K438=$K$58,0,IF(K438=$K$65,0,IF(K438=$K$66,0,IF(K438=$K$67,0,IF(K438=$K$68,0,IF(K438=$K$69,0,1))))))))))))*AM438*AI438</f>
        <v>0</v>
      </c>
      <c r="AX438" s="264">
        <f>IF(K438=$K$50,0,IF(K438=$K$53,0,IF(K438=$K$54,0,IF(K438=$K$55,0,IF(K438=$K$56,0,IF(K438=$K$57,0,IF(K438=$K$58,0,IF(K438=$K$65,0,IF(K438=$K$66,0,IF(K438=$K$67,0,IF(K438=$K$68,0,IF(K438=$K$69,0,1))))))))))))*AM438*AJ438*$AX$94</f>
        <v>0</v>
      </c>
      <c r="AY438" s="264">
        <f>IF(K438=$K$53,0,IF(K438=$K$54,0,IF(K438=$K$55,0,IF(K438=$K$56,0,IF(K438=$K$58,0,IF(K438=$K$50,0,IF(K438=$K$65,0,IF(K438=$K$57,0,IF(K438=$K$51,0,AM438*$AY$102)))))))))</f>
        <v>0</v>
      </c>
      <c r="AZ438" s="264">
        <f>IF(K438=$K$53,0,IF(K438=$K$54,0,IF(K438=$K$55,0,IF(K438=$K$56,0,IF(K438=$K$58,0,IF(K438=$K$50,0,IF(K438=$K$65,0,IF(K438=$K$57,0,AM438*$AZ$102))))))))</f>
        <v>0</v>
      </c>
      <c r="BA438" s="264">
        <f t="shared" si="120"/>
        <v>0</v>
      </c>
      <c r="BB438" s="265">
        <f>IF($BA$97=1,AQ438*$BB$102,IF(K438=$K$50,0,IF(K438=$K$53,0,IF(K438=$K$54,0,IF(K438=$K$55,0,IF(K438=$K$56,0,IF(K438=$K$57,0,IF(K438=$K$58,0,IF(K438=$K$65,0,IF(K438=$K$66,0,IF(K438=$K$67,0,IF(K438=$K$68,0,IF(K438=$K$69,0,IF(K438=$K$51,0,1)))))))))))*AQ438*$BB$102)))</f>
        <v>0</v>
      </c>
      <c r="BC438" s="264">
        <f t="shared" si="121"/>
        <v>0</v>
      </c>
      <c r="BD438" s="264">
        <f t="shared" si="122"/>
        <v>0</v>
      </c>
      <c r="BE438" s="264">
        <f>IF($BE$95=I438,$BE$97,IF(I438=$BE$96,$BE$97,1))*($BE$102*AQ438)*$AZ$97</f>
        <v>0</v>
      </c>
      <c r="BF438" s="264">
        <f>IF('[1]Cockpit Retorno'!$C$65=Sim,Mestre!BA438,SUM(BB438:BE438)+(IF(K438=$K$56,AQ438*MOE_IRRF_LR,0)))</f>
        <v>0</v>
      </c>
      <c r="BG438" s="266">
        <f>IF(AA438&gt;0,0,IF(Z438=$Z$82,AG438*1,(IF(Z438=$Z$81,AG438*1,0))))</f>
        <v>0</v>
      </c>
      <c r="BH438" s="266">
        <f>IF(AA438&gt;0,0,IF(Z438=$Z$83,AG438*1,IF(Z438=$Z$81,AG438*1,0)))</f>
        <v>0</v>
      </c>
      <c r="BI438" s="266">
        <f>IF(AA438&gt;0,0,IF(Z438=$Z$84,AG438*1,IF(Z438=$Z$93,AG438*2,IF(Z438=$Z$100,AG438,IF(Z438=$Z$81,AG438*2,IF(Z438=$Z$80,AG438*1,IF(Z438=$Z$79,AG438*3,IF(Z438=$Z$78,AG438*2,0))))))))</f>
        <v>0</v>
      </c>
      <c r="BJ438" s="266">
        <f>IF(AA438&gt;0,0,IF(Z438=$Z$85,AG438,IF(Z438=$Z$93,AG438,IF(Z438=$Z$100,AG438,IF(Z438=$Z$81,AG438*1,IF(Z438=$Z$80,AG438*2,IF(Z438=$Z$79,AG438*2,IF(Z438=$Z$78,AG438*2,0))))))))</f>
        <v>0</v>
      </c>
      <c r="BK438" s="266">
        <f>IF(AA438&gt;0,0,IF(Z438=$Z$92,AG438,0))</f>
        <v>0</v>
      </c>
      <c r="BL438" s="266">
        <f>IF(AA438&gt;0,0,IF(Z438=$Z$91,AG438,0))</f>
        <v>0</v>
      </c>
      <c r="BM438" s="266">
        <f>IF(AA438&gt;0,0,IF(Z438=$Z$86,AG438,0))</f>
        <v>0</v>
      </c>
      <c r="BN438" s="266">
        <f>IF(AA438&gt;0,0,IF(Z438=$Z$87,AG438,0))</f>
        <v>0</v>
      </c>
      <c r="BO438" s="266">
        <f>IF(AA438&gt;0,0,IF(Z438=$Z$88,AG438,0))</f>
        <v>0</v>
      </c>
      <c r="BP438" s="266">
        <f>IF(AA438&gt;0,0,IF(Z438=$Z$89,AG438,0))</f>
        <v>0</v>
      </c>
      <c r="BQ438" s="266">
        <f>IF(AA438&gt;0,0,IF(Z438=$Z$90,AG438,0))</f>
        <v>0</v>
      </c>
      <c r="BR438" s="266">
        <f>IF(Z438=$Z$82,AA438*AG438,0)</f>
        <v>0</v>
      </c>
      <c r="BS438" s="266">
        <f>IF(Z438=$Z$83,AA438*AG438,0)</f>
        <v>0</v>
      </c>
      <c r="BT438" s="266">
        <f>IF(AA438&lt;1,0,IF(Z438=$Z$84,AA438*AG438,IF(Z438=$Z$93,"ERRO",IF(Z438=$Z$100,"ERRO",0))))</f>
        <v>0</v>
      </c>
      <c r="BU438" s="266">
        <f>IF(AA438&lt;1,0,IF(Z438=$Z$85,AA438*AG438,IF(Z438=$Z$93,"ERRO",IF(Z438=$Z$100,"ERRO",0))))</f>
        <v>0</v>
      </c>
      <c r="BV438" s="266">
        <f>IF(Z438=$Z$92,AA438*AG438,0)</f>
        <v>0</v>
      </c>
      <c r="BW438" s="266">
        <f>IF(Z438=$Z$91,AA438*AG438,0)</f>
        <v>0</v>
      </c>
      <c r="BX438" s="266">
        <f>IF(Z438=$Z$86,AA438*AG438,0)</f>
        <v>0</v>
      </c>
      <c r="BY438" s="266">
        <f>IF(Z438=$Z$87,AA438*AG438,0)</f>
        <v>0</v>
      </c>
      <c r="BZ438" s="266">
        <f>IF(Z438=$Z$88,AA438*AG438,0)</f>
        <v>0</v>
      </c>
      <c r="CA438" s="266">
        <f>IF(Z438=$Z$89,AA438*AG438,0)</f>
        <v>0</v>
      </c>
      <c r="CB438" s="266">
        <f>IF(Z438=$Z$90,AA438*AG438,0)</f>
        <v>0</v>
      </c>
      <c r="CC438" s="267">
        <f>IFERROR(IF(L438=$L$49,AG438*AH438*(1+AI438)*(1-AK438)*(1-AL438),0),0)</f>
        <v>0</v>
      </c>
      <c r="CD438" s="268">
        <f>IF(I438=$CD$97,1,IF(I438=$CD$100,2,IF(K438=$K$66,1,IF(K438=$K$69,1,3))))</f>
        <v>3</v>
      </c>
      <c r="CE438" s="268">
        <f t="shared" si="113"/>
        <v>1.3</v>
      </c>
      <c r="CF438" s="269">
        <f t="shared" si="96"/>
        <v>1.74</v>
      </c>
      <c r="CG438" s="268">
        <f t="shared" si="114"/>
        <v>2</v>
      </c>
      <c r="CH438" s="269">
        <f t="shared" si="97"/>
        <v>2.1800000000000002</v>
      </c>
      <c r="CI438" s="268">
        <f t="shared" si="115"/>
        <v>2.4</v>
      </c>
      <c r="CJ438" s="269">
        <f t="shared" si="107"/>
        <v>1.274</v>
      </c>
      <c r="CK438" s="269">
        <f t="shared" si="108"/>
        <v>1.6182000000000001</v>
      </c>
      <c r="CL438" s="269">
        <f t="shared" si="109"/>
        <v>1.96</v>
      </c>
      <c r="CM438" s="269">
        <f t="shared" si="110"/>
        <v>2.1146000000000003</v>
      </c>
      <c r="CN438" s="268">
        <f t="shared" si="111"/>
        <v>2.3039999999999998</v>
      </c>
      <c r="CO438" s="269">
        <f t="shared" si="124"/>
        <v>1.2230399999999999</v>
      </c>
      <c r="CP438" s="272">
        <f t="shared" si="104"/>
        <v>0</v>
      </c>
      <c r="CQ438" s="273">
        <f t="shared" si="105"/>
        <v>0</v>
      </c>
      <c r="CR438" s="274">
        <f t="shared" si="123"/>
        <v>0</v>
      </c>
      <c r="CS438" s="277"/>
      <c r="CT438" s="277"/>
      <c r="CU438" s="277"/>
      <c r="CV438" s="277"/>
      <c r="CW438" s="277"/>
      <c r="CX438" s="277"/>
      <c r="CY438" s="277"/>
      <c r="CZ438" s="277"/>
      <c r="DA438" s="277"/>
      <c r="DB438" s="277"/>
      <c r="DC438" s="277"/>
      <c r="DD438" s="277"/>
      <c r="DE438" s="277"/>
      <c r="DF438" s="277"/>
      <c r="DG438" s="277"/>
      <c r="DH438" s="277"/>
      <c r="DI438" s="277"/>
      <c r="DJ438" s="277"/>
      <c r="DK438" s="277"/>
      <c r="DL438" s="277"/>
      <c r="DM438" s="277"/>
      <c r="DN438" s="277"/>
      <c r="DO438" s="277"/>
      <c r="DP438" s="277"/>
      <c r="DQ438" s="277"/>
      <c r="DR438" s="277"/>
      <c r="DS438" s="277"/>
      <c r="DT438" s="277"/>
      <c r="DU438" s="277"/>
      <c r="DV438" s="277"/>
      <c r="DW438" s="277"/>
      <c r="DX438" s="277"/>
      <c r="DY438" s="277"/>
      <c r="DZ438" s="277"/>
      <c r="EA438" s="277"/>
      <c r="EB438" s="277"/>
      <c r="EC438" s="277"/>
      <c r="ED438" s="277"/>
      <c r="EE438" s="277"/>
      <c r="EF438" s="277"/>
      <c r="EG438" s="277"/>
      <c r="EH438" s="277"/>
      <c r="EI438" s="277"/>
      <c r="EJ438" s="277"/>
      <c r="EK438" s="277"/>
      <c r="EL438" s="277"/>
      <c r="EM438" s="277"/>
      <c r="EN438" s="277"/>
      <c r="EO438" s="277"/>
      <c r="EP438" s="277"/>
      <c r="EQ438" s="277"/>
      <c r="ER438" s="277"/>
      <c r="ES438" s="277"/>
      <c r="ET438" s="277"/>
      <c r="EU438" s="277"/>
      <c r="EV438" s="277"/>
      <c r="EW438" s="277"/>
      <c r="EX438" s="277"/>
      <c r="EY438" s="277"/>
      <c r="EZ438" s="277"/>
      <c r="FA438" s="277"/>
    </row>
    <row r="439" spans="1:157" s="278" customFormat="1" ht="24.75" x14ac:dyDescent="0.25">
      <c r="A439" s="238">
        <f>IF(AND('[1]Cockpit Retorno'!$E$67=Sim,Mestre!M439=Mestre!$M$98),0,1)</f>
        <v>1</v>
      </c>
      <c r="B439" s="238">
        <f>IF(AND('[1]Cockpit Retorno'!$E$67=Sim,Mestre!L439=Mestre!$L$48),0,1)</f>
        <v>0</v>
      </c>
      <c r="C439" s="238">
        <f>IF(AND('[1]Cockpit Retorno'!$E$67=Sim,Mestre!M439=Mestre!$M$97),0,1)</f>
        <v>1</v>
      </c>
      <c r="D439" s="276" t="s">
        <v>274</v>
      </c>
      <c r="E439" s="240"/>
      <c r="F439" s="241"/>
      <c r="G439" s="242">
        <v>100009</v>
      </c>
      <c r="H439" s="243" t="s">
        <v>60</v>
      </c>
      <c r="I439" s="244" t="str">
        <f t="shared" si="116"/>
        <v>Serviços</v>
      </c>
      <c r="J439" s="243" t="s">
        <v>12</v>
      </c>
      <c r="K439" s="245" t="s">
        <v>60</v>
      </c>
      <c r="L439" s="246" t="s">
        <v>15</v>
      </c>
      <c r="M439" s="247"/>
      <c r="N439" s="248" t="s">
        <v>43</v>
      </c>
      <c r="O439" s="248" t="s">
        <v>43</v>
      </c>
      <c r="P439" s="248" t="s">
        <v>43</v>
      </c>
      <c r="Q439" s="248" t="s">
        <v>43</v>
      </c>
      <c r="R439" s="248" t="s">
        <v>43</v>
      </c>
      <c r="S439" s="249" t="s">
        <v>43</v>
      </c>
      <c r="T439" s="243" t="s">
        <v>43</v>
      </c>
      <c r="U439" s="243" t="s">
        <v>43</v>
      </c>
      <c r="V439" s="243" t="s">
        <v>43</v>
      </c>
      <c r="W439" s="243" t="s">
        <v>43</v>
      </c>
      <c r="X439" s="250" t="s">
        <v>589</v>
      </c>
      <c r="Y439" s="243" t="s">
        <v>43</v>
      </c>
      <c r="Z439" s="243" t="s">
        <v>43</v>
      </c>
      <c r="AA439" s="243">
        <v>0</v>
      </c>
      <c r="AB439" s="248" t="s">
        <v>43</v>
      </c>
      <c r="AC439" s="243" t="s">
        <v>43</v>
      </c>
      <c r="AD439" s="248" t="s">
        <v>43</v>
      </c>
      <c r="AE439" s="248" t="s">
        <v>141</v>
      </c>
      <c r="AF439" s="243" t="s">
        <v>43</v>
      </c>
      <c r="AG439" s="251">
        <v>0</v>
      </c>
      <c r="AH439" s="252">
        <v>0</v>
      </c>
      <c r="AI439" s="253">
        <v>0</v>
      </c>
      <c r="AJ439" s="253">
        <v>0</v>
      </c>
      <c r="AK439" s="253">
        <v>0</v>
      </c>
      <c r="AL439" s="253">
        <v>0</v>
      </c>
      <c r="AM439" s="254">
        <f>(((IF(L439=$L$101,1,IF(L439=$L$47,1,0))*(AH439*(1-AK439)))*AG439)*(1-AL439))</f>
        <v>0</v>
      </c>
      <c r="AN439" s="255">
        <f>IF(K439=$K$50,AM439,IF(K439=$K$53,AM439,IF(K439=$K$54,AM439,IF(K439=$K$55,AM439,IF(K439=$K$56,AM439,IF(K439=$K$57,AM439,IF(K439=$K$58,AM439,IF(K439=$K$65,AM439,IF(K439=$K$66,AM439,IF(K439=$K$67,AM439,IF(K439=$K$68,AM439,IF(K439=$K$69,AM439,(AM439*(1+AI439))))))))))))))</f>
        <v>0</v>
      </c>
      <c r="AO439" s="256">
        <v>1.85</v>
      </c>
      <c r="AP439" s="257">
        <f t="shared" si="117"/>
        <v>0</v>
      </c>
      <c r="AQ439" s="258">
        <f t="shared" si="125"/>
        <v>0</v>
      </c>
      <c r="AR439" s="257">
        <f t="shared" si="118"/>
        <v>0</v>
      </c>
      <c r="AS439" s="259">
        <f t="shared" si="119"/>
        <v>0</v>
      </c>
      <c r="AT439" s="260" t="str">
        <f>K439</f>
        <v>MOE</v>
      </c>
      <c r="AU439" s="261" t="str">
        <f>I439</f>
        <v>Serviços</v>
      </c>
      <c r="AV439" s="262"/>
      <c r="AW439" s="263">
        <f>IF(K439=$K$50,0,IF(K439=$K$53,0,IF(K439=$K$54,0,IF(K439=$K$55,0,IF(K439=$K$56,0,IF(K439=$K$57,0,IF(K439=$K$58,0,IF(K439=$K$65,0,IF(K439=$K$66,0,IF(K439=$K$67,0,IF(K439=$K$68,0,IF(K439=$K$69,0,1))))))))))))*AM439*AI439</f>
        <v>0</v>
      </c>
      <c r="AX439" s="264">
        <f>IF(K439=$K$50,0,IF(K439=$K$53,0,IF(K439=$K$54,0,IF(K439=$K$55,0,IF(K439=$K$56,0,IF(K439=$K$57,0,IF(K439=$K$58,0,IF(K439=$K$65,0,IF(K439=$K$66,0,IF(K439=$K$67,0,IF(K439=$K$68,0,IF(K439=$K$69,0,1))))))))))))*AM439*AJ439*$AX$94</f>
        <v>0</v>
      </c>
      <c r="AY439" s="264">
        <f>IF(K439=$K$53,0,IF(K439=$K$54,0,IF(K439=$K$55,0,IF(K439=$K$56,0,IF(K439=$K$58,0,IF(K439=$K$50,0,IF(K439=$K$65,0,IF(K439=$K$57,0,IF(K439=$K$51,0,AM439*$AY$102)))))))))</f>
        <v>0</v>
      </c>
      <c r="AZ439" s="264">
        <f>IF(K439=$K$53,0,IF(K439=$K$54,0,IF(K439=$K$55,0,IF(K439=$K$56,0,IF(K439=$K$58,0,IF(K439=$K$50,0,IF(K439=$K$65,0,IF(K439=$K$57,0,AM439*$AZ$102))))))))</f>
        <v>0</v>
      </c>
      <c r="BA439" s="264">
        <f t="shared" si="120"/>
        <v>0</v>
      </c>
      <c r="BB439" s="265">
        <f>IF($BA$97=1,AQ439*$BB$102,IF(K439=$K$50,0,IF(K439=$K$53,0,IF(K439=$K$54,0,IF(K439=$K$55,0,IF(K439=$K$56,0,IF(K439=$K$57,0,IF(K439=$K$58,0,IF(K439=$K$65,0,IF(K439=$K$66,0,IF(K439=$K$67,0,IF(K439=$K$68,0,IF(K439=$K$69,0,IF(K439=$K$51,0,1)))))))))))*AQ439*$BB$102)))</f>
        <v>0</v>
      </c>
      <c r="BC439" s="279">
        <f t="shared" si="121"/>
        <v>0</v>
      </c>
      <c r="BD439" s="264">
        <f t="shared" si="122"/>
        <v>0</v>
      </c>
      <c r="BE439" s="264">
        <f>IF($BE$95=I439,$BE$97,IF(I439=$BE$96,$BE$97,1))*($BE$102*AQ439)*$AZ$97</f>
        <v>0</v>
      </c>
      <c r="BF439" s="264">
        <f>IF('[1]Cockpit Retorno'!$C$65=Sim,Mestre!BA439,SUM(BB439:BE439)+(IF(K439=$K$56,AQ439*MOE_IRRF_LR,0)))</f>
        <v>0</v>
      </c>
      <c r="BG439" s="266">
        <f>IF(AA439&gt;0,0,IF(Z439=$Z$82,AG439*1,(IF(Z439=$Z$81,AG439*1,0))))</f>
        <v>0</v>
      </c>
      <c r="BH439" s="266">
        <f>IF(AA439&gt;0,0,IF(Z439=$Z$83,AG439*1,IF(Z439=$Z$81,AG439*1,0)))</f>
        <v>0</v>
      </c>
      <c r="BI439" s="266">
        <f>IF(AA439&gt;0,0,IF(Z439=$Z$84,AG439*1,IF(Z439=$Z$93,AG439*2,IF(Z439=$Z$100,AG439,IF(Z439=$Z$81,AG439*2,IF(Z439=$Z$80,AG439*1,IF(Z439=$Z$79,AG439*3,IF(Z439=$Z$78,AG439*2,0))))))))</f>
        <v>0</v>
      </c>
      <c r="BJ439" s="266">
        <f>IF(AA439&gt;0,0,IF(Z439=$Z$85,AG439,IF(Z439=$Z$93,AG439,IF(Z439=$Z$100,AG439,IF(Z439=$Z$81,AG439*1,IF(Z439=$Z$80,AG439*2,IF(Z439=$Z$79,AG439*2,IF(Z439=$Z$78,AG439*2,0))))))))</f>
        <v>0</v>
      </c>
      <c r="BK439" s="266">
        <f>IF(AA439&gt;0,0,IF(Z439=$Z$92,AG439,0))</f>
        <v>0</v>
      </c>
      <c r="BL439" s="266">
        <f>IF(AA439&gt;0,0,IF(Z439=$Z$91,AG439,0))</f>
        <v>0</v>
      </c>
      <c r="BM439" s="266">
        <f>IF(AA439&gt;0,0,IF(Z439=$Z$86,AG439,0))</f>
        <v>0</v>
      </c>
      <c r="BN439" s="266">
        <f>IF(AA439&gt;0,0,IF(Z439=$Z$87,AG439,0))</f>
        <v>0</v>
      </c>
      <c r="BO439" s="266">
        <f>IF(AA439&gt;0,0,IF(Z439=$Z$88,AG439,0))</f>
        <v>0</v>
      </c>
      <c r="BP439" s="266">
        <f>IF(AA439&gt;0,0,IF(Z439=$Z$89,AG439,0))</f>
        <v>0</v>
      </c>
      <c r="BQ439" s="266">
        <f>IF(AA439&gt;0,0,IF(Z439=$Z$90,AG439,0))</f>
        <v>0</v>
      </c>
      <c r="BR439" s="266">
        <f>IF(Z439=$Z$82,AA439*AG439,0)</f>
        <v>0</v>
      </c>
      <c r="BS439" s="266">
        <f>IF(Z439=$Z$83,AA439*AG439,0)</f>
        <v>0</v>
      </c>
      <c r="BT439" s="266">
        <f>IF(AA439&lt;1,0,IF(Z439=$Z$84,AA439*AG439,IF(Z439=$Z$93,"ERRO",IF(Z439=$Z$100,"ERRO",0))))</f>
        <v>0</v>
      </c>
      <c r="BU439" s="266">
        <f>IF(AA439&lt;1,0,IF(Z439=$Z$85,AA439*AG439,IF(Z439=$Z$93,"ERRO",IF(Z439=$Z$100,"ERRO",0))))</f>
        <v>0</v>
      </c>
      <c r="BV439" s="266">
        <f>IF(Z439=$Z$92,AA439*AG439,0)</f>
        <v>0</v>
      </c>
      <c r="BW439" s="266">
        <f>IF(Z439=$Z$91,AA439*AG439,0)</f>
        <v>0</v>
      </c>
      <c r="BX439" s="266">
        <f>IF(Z439=$Z$86,AA439*AG439,0)</f>
        <v>0</v>
      </c>
      <c r="BY439" s="266">
        <f>IF(Z439=$Z$87,AA439*AG439,0)</f>
        <v>0</v>
      </c>
      <c r="BZ439" s="266">
        <f>IF(Z439=$Z$88,AA439*AG439,0)</f>
        <v>0</v>
      </c>
      <c r="CA439" s="266">
        <f>IF(Z439=$Z$89,AA439*AG439,0)</f>
        <v>0</v>
      </c>
      <c r="CB439" s="266">
        <f>IF(Z439=$Z$90,AA439*AG439,0)</f>
        <v>0</v>
      </c>
      <c r="CC439" s="267">
        <f>IFERROR(IF(L439=$L$49,AG439*AH439*(1+AI439)*(1-AK439)*(1-AL439),0),0)</f>
        <v>0</v>
      </c>
      <c r="CD439" s="268">
        <f>IF(I439=$CD$97,1,IF(I439=$CD$100,2,IF(K439=$K$66,1,IF(K439=$K$69,1,3))))</f>
        <v>3</v>
      </c>
      <c r="CE439" s="268">
        <f t="shared" si="113"/>
        <v>1.3</v>
      </c>
      <c r="CF439" s="269">
        <f t="shared" si="96"/>
        <v>1.74</v>
      </c>
      <c r="CG439" s="268">
        <f t="shared" si="114"/>
        <v>2</v>
      </c>
      <c r="CH439" s="269">
        <f t="shared" si="97"/>
        <v>2.1800000000000002</v>
      </c>
      <c r="CI439" s="268">
        <f t="shared" si="115"/>
        <v>2.4</v>
      </c>
      <c r="CJ439" s="269">
        <f t="shared" si="107"/>
        <v>1.274</v>
      </c>
      <c r="CK439" s="269">
        <f t="shared" si="108"/>
        <v>1.6182000000000001</v>
      </c>
      <c r="CL439" s="269">
        <f t="shared" si="109"/>
        <v>1.96</v>
      </c>
      <c r="CM439" s="269">
        <f t="shared" si="110"/>
        <v>2.1146000000000003</v>
      </c>
      <c r="CN439" s="268">
        <f t="shared" si="111"/>
        <v>2.3039999999999998</v>
      </c>
      <c r="CO439" s="269">
        <f t="shared" si="124"/>
        <v>1.2230399999999999</v>
      </c>
      <c r="CP439" s="272">
        <f t="shared" si="104"/>
        <v>0</v>
      </c>
      <c r="CQ439" s="273">
        <f t="shared" si="105"/>
        <v>0</v>
      </c>
      <c r="CR439" s="274">
        <f t="shared" si="123"/>
        <v>0</v>
      </c>
      <c r="CS439" s="277"/>
      <c r="CT439" s="277"/>
      <c r="CU439" s="277"/>
      <c r="CV439" s="277"/>
      <c r="CW439" s="277"/>
      <c r="CX439" s="277"/>
      <c r="CY439" s="277"/>
      <c r="CZ439" s="277"/>
      <c r="DA439" s="277"/>
      <c r="DB439" s="277"/>
      <c r="DC439" s="277"/>
      <c r="DD439" s="277"/>
      <c r="DE439" s="277"/>
      <c r="DF439" s="277"/>
      <c r="DG439" s="277"/>
      <c r="DH439" s="277"/>
      <c r="DI439" s="277"/>
      <c r="DJ439" s="277"/>
      <c r="DK439" s="277"/>
      <c r="DL439" s="277"/>
      <c r="DM439" s="277"/>
      <c r="DN439" s="277"/>
      <c r="DO439" s="277"/>
      <c r="DP439" s="277"/>
      <c r="DQ439" s="277"/>
      <c r="DR439" s="277"/>
      <c r="DS439" s="277"/>
      <c r="DT439" s="277"/>
      <c r="DU439" s="277"/>
      <c r="DV439" s="277"/>
      <c r="DW439" s="277"/>
      <c r="DX439" s="277"/>
      <c r="DY439" s="277"/>
      <c r="DZ439" s="277"/>
      <c r="EA439" s="277"/>
      <c r="EB439" s="277"/>
      <c r="EC439" s="277"/>
      <c r="ED439" s="277"/>
      <c r="EE439" s="277"/>
      <c r="EF439" s="277"/>
      <c r="EG439" s="277"/>
      <c r="EH439" s="277"/>
      <c r="EI439" s="277"/>
      <c r="EJ439" s="277"/>
      <c r="EK439" s="277"/>
      <c r="EL439" s="277"/>
      <c r="EM439" s="277"/>
      <c r="EN439" s="277"/>
      <c r="EO439" s="277"/>
      <c r="EP439" s="277"/>
      <c r="EQ439" s="277"/>
      <c r="ER439" s="277"/>
      <c r="ES439" s="277"/>
      <c r="ET439" s="277"/>
      <c r="EU439" s="277"/>
      <c r="EV439" s="277"/>
      <c r="EW439" s="277"/>
      <c r="EX439" s="277"/>
      <c r="EY439" s="277"/>
      <c r="EZ439" s="277"/>
      <c r="FA439" s="277"/>
    </row>
    <row r="440" spans="1:157" s="278" customFormat="1" ht="8.25" x14ac:dyDescent="0.25">
      <c r="A440" s="238">
        <f>IF(AND('[1]Cockpit Retorno'!$E$67=Sim,Mestre!M440=Mestre!$M$98),0,1)</f>
        <v>1</v>
      </c>
      <c r="B440" s="238">
        <f>IF(AND('[1]Cockpit Retorno'!$E$67=Sim,Mestre!L440=Mestre!$L$48),0,1)</f>
        <v>0</v>
      </c>
      <c r="C440" s="238">
        <f>IF(AND('[1]Cockpit Retorno'!$E$67=Sim,Mestre!M440=Mestre!$M$97),0,1)</f>
        <v>1</v>
      </c>
      <c r="D440" s="276" t="s">
        <v>260</v>
      </c>
      <c r="E440" s="240"/>
      <c r="F440" s="241"/>
      <c r="G440" s="242">
        <v>100010</v>
      </c>
      <c r="H440" s="243" t="s">
        <v>65</v>
      </c>
      <c r="I440" s="244" t="str">
        <f t="shared" si="116"/>
        <v>Serviços</v>
      </c>
      <c r="J440" s="243" t="s">
        <v>12</v>
      </c>
      <c r="K440" s="245" t="s">
        <v>65</v>
      </c>
      <c r="L440" s="246" t="s">
        <v>15</v>
      </c>
      <c r="M440" s="247"/>
      <c r="N440" s="248" t="s">
        <v>43</v>
      </c>
      <c r="O440" s="248" t="s">
        <v>43</v>
      </c>
      <c r="P440" s="248" t="s">
        <v>43</v>
      </c>
      <c r="Q440" s="248" t="s">
        <v>43</v>
      </c>
      <c r="R440" s="248" t="s">
        <v>43</v>
      </c>
      <c r="S440" s="249" t="s">
        <v>43</v>
      </c>
      <c r="T440" s="243" t="s">
        <v>43</v>
      </c>
      <c r="U440" s="243" t="s">
        <v>43</v>
      </c>
      <c r="V440" s="243" t="s">
        <v>43</v>
      </c>
      <c r="W440" s="243" t="s">
        <v>43</v>
      </c>
      <c r="X440" s="250" t="s">
        <v>590</v>
      </c>
      <c r="Y440" s="243" t="s">
        <v>43</v>
      </c>
      <c r="Z440" s="243" t="s">
        <v>43</v>
      </c>
      <c r="AA440" s="243">
        <v>0</v>
      </c>
      <c r="AB440" s="248" t="s">
        <v>43</v>
      </c>
      <c r="AC440" s="243" t="s">
        <v>43</v>
      </c>
      <c r="AD440" s="248" t="s">
        <v>43</v>
      </c>
      <c r="AE440" s="248" t="s">
        <v>141</v>
      </c>
      <c r="AF440" s="243" t="s">
        <v>43</v>
      </c>
      <c r="AG440" s="251">
        <v>0</v>
      </c>
      <c r="AH440" s="252">
        <v>0</v>
      </c>
      <c r="AI440" s="253">
        <v>0</v>
      </c>
      <c r="AJ440" s="253">
        <v>0</v>
      </c>
      <c r="AK440" s="253">
        <v>0</v>
      </c>
      <c r="AL440" s="253">
        <v>0</v>
      </c>
      <c r="AM440" s="254">
        <f>(((IF(L440=$L$101,1,IF(L440=$L$47,1,0))*(AH440*(1-AK440)))*AG440)*(1-AL440))</f>
        <v>0</v>
      </c>
      <c r="AN440" s="255">
        <f>IF(K440=$K$50,AM440,IF(K440=$K$53,AM440,IF(K440=$K$54,AM440,IF(K440=$K$55,AM440,IF(K440=$K$56,AM440,IF(K440=$K$57,AM440,IF(K440=$K$58,AM440,IF(K440=$K$65,AM440,IF(K440=$K$66,AM440,IF(K440=$K$67,AM440,IF(K440=$K$68,AM440,IF(K440=$K$69,AM440,(AM440*(1+AI440))))))))))))))</f>
        <v>0</v>
      </c>
      <c r="AO440" s="256">
        <v>1.85</v>
      </c>
      <c r="AP440" s="257">
        <f t="shared" si="117"/>
        <v>0</v>
      </c>
      <c r="AQ440" s="258">
        <f t="shared" si="125"/>
        <v>0</v>
      </c>
      <c r="AR440" s="257">
        <f t="shared" si="118"/>
        <v>0</v>
      </c>
      <c r="AS440" s="259">
        <f t="shared" si="119"/>
        <v>0</v>
      </c>
      <c r="AT440" s="260" t="str">
        <f>K440</f>
        <v>MOI</v>
      </c>
      <c r="AU440" s="261" t="str">
        <f>I440</f>
        <v>Serviços</v>
      </c>
      <c r="AV440" s="262"/>
      <c r="AW440" s="263">
        <f>IF(K440=$K$50,0,IF(K440=$K$53,0,IF(K440=$K$54,0,IF(K440=$K$55,0,IF(K440=$K$56,0,IF(K440=$K$57,0,IF(K440=$K$58,0,IF(K440=$K$65,0,IF(K440=$K$66,0,IF(K440=$K$67,0,IF(K440=$K$68,0,IF(K440=$K$69,0,1))))))))))))*AM440*AI440</f>
        <v>0</v>
      </c>
      <c r="AX440" s="264">
        <f>IF(K440=$K$50,0,IF(K440=$K$53,0,IF(K440=$K$54,0,IF(K440=$K$55,0,IF(K440=$K$56,0,IF(K440=$K$57,0,IF(K440=$K$58,0,IF(K440=$K$65,0,IF(K440=$K$66,0,IF(K440=$K$67,0,IF(K440=$K$68,0,IF(K440=$K$69,0,1))))))))))))*AM440*AJ440*$AX$94</f>
        <v>0</v>
      </c>
      <c r="AY440" s="264">
        <f>IF(K440=$K$53,0,IF(K440=$K$54,0,IF(K440=$K$55,0,IF(K440=$K$56,0,IF(K440=$K$58,0,IF(K440=$K$50,0,IF(K440=$K$65,0,IF(K440=$K$57,0,IF(K440=$K$51,0,AM440*$AY$102)))))))))</f>
        <v>0</v>
      </c>
      <c r="AZ440" s="264">
        <f>IF(K440=$K$53,0,IF(K440=$K$54,0,IF(K440=$K$55,0,IF(K440=$K$56,0,IF(K440=$K$58,0,IF(K440=$K$50,0,IF(K440=$K$65,0,IF(K440=$K$57,0,AM440*$AZ$102))))))))</f>
        <v>0</v>
      </c>
      <c r="BA440" s="264">
        <f t="shared" si="120"/>
        <v>0</v>
      </c>
      <c r="BB440" s="265">
        <f>IF($BA$97=1,AQ440*$BB$102,IF(K440=$K$50,0,IF(K440=$K$53,0,IF(K440=$K$54,0,IF(K440=$K$55,0,IF(K440=$K$56,0,IF(K440=$K$57,0,IF(K440=$K$58,0,IF(K440=$K$65,0,IF(K440=$K$66,0,IF(K440=$K$67,0,IF(K440=$K$68,0,IF(K440=$K$69,0,IF(K440=$K$51,0,1)))))))))))*AQ440*$BB$102)))</f>
        <v>0</v>
      </c>
      <c r="BC440" s="264">
        <f t="shared" si="121"/>
        <v>0</v>
      </c>
      <c r="BD440" s="264">
        <f t="shared" si="122"/>
        <v>0</v>
      </c>
      <c r="BE440" s="264">
        <f>IF($BE$95=I440,$BE$97,IF(I440=$BE$96,$BE$97,1))*($BE$102*AQ440)*$AZ$97</f>
        <v>0</v>
      </c>
      <c r="BF440" s="264">
        <f>IF('[1]Cockpit Retorno'!$C$65=Sim,Mestre!BA440,SUM(BB440:BE440)+(IF(K440=$K$56,AQ440*MOE_IRRF_LR,0)))</f>
        <v>0</v>
      </c>
      <c r="BG440" s="266">
        <f>IF(AA440&gt;0,0,IF(Z440=$Z$82,AG440*1,(IF(Z440=$Z$81,AG440*1,0))))</f>
        <v>0</v>
      </c>
      <c r="BH440" s="266">
        <f>IF(AA440&gt;0,0,IF(Z440=$Z$83,AG440*1,IF(Z440=$Z$81,AG440*1,0)))</f>
        <v>0</v>
      </c>
      <c r="BI440" s="266">
        <f>IF(AA440&gt;0,0,IF(Z440=$Z$84,AG440*1,IF(Z440=$Z$93,AG440*2,IF(Z440=$Z$100,AG440,IF(Z440=$Z$81,AG440*2,IF(Z440=$Z$80,AG440*1,IF(Z440=$Z$79,AG440*3,IF(Z440=$Z$78,AG440*2,0))))))))</f>
        <v>0</v>
      </c>
      <c r="BJ440" s="266">
        <f>IF(AA440&gt;0,0,IF(Z440=$Z$85,AG440,IF(Z440=$Z$93,AG440,IF(Z440=$Z$100,AG440,IF(Z440=$Z$81,AG440*1,IF(Z440=$Z$80,AG440*2,IF(Z440=$Z$79,AG440*2,IF(Z440=$Z$78,AG440*2,0))))))))</f>
        <v>0</v>
      </c>
      <c r="BK440" s="266">
        <f>IF(AA440&gt;0,0,IF(Z440=$Z$92,AG440,0))</f>
        <v>0</v>
      </c>
      <c r="BL440" s="266">
        <f>IF(AA440&gt;0,0,IF(Z440=$Z$91,AG440,0))</f>
        <v>0</v>
      </c>
      <c r="BM440" s="266">
        <f>IF(AA440&gt;0,0,IF(Z440=$Z$86,AG440,0))</f>
        <v>0</v>
      </c>
      <c r="BN440" s="266">
        <f>IF(AA440&gt;0,0,IF(Z440=$Z$87,AG440,0))</f>
        <v>0</v>
      </c>
      <c r="BO440" s="266">
        <f>IF(AA440&gt;0,0,IF(Z440=$Z$88,AG440,0))</f>
        <v>0</v>
      </c>
      <c r="BP440" s="266">
        <f>IF(AA440&gt;0,0,IF(Z440=$Z$89,AG440,0))</f>
        <v>0</v>
      </c>
      <c r="BQ440" s="266">
        <f>IF(AA440&gt;0,0,IF(Z440=$Z$90,AG440,0))</f>
        <v>0</v>
      </c>
      <c r="BR440" s="266">
        <f>IF(Z440=$Z$82,AA440*AG440,0)</f>
        <v>0</v>
      </c>
      <c r="BS440" s="266">
        <f>IF(Z440=$Z$83,AA440*AG440,0)</f>
        <v>0</v>
      </c>
      <c r="BT440" s="266">
        <f>IF(AA440&lt;1,0,IF(Z440=$Z$84,AA440*AG440,IF(Z440=$Z$93,"ERRO",IF(Z440=$Z$100,"ERRO",0))))</f>
        <v>0</v>
      </c>
      <c r="BU440" s="266">
        <f>IF(AA440&lt;1,0,IF(Z440=$Z$85,AA440*AG440,IF(Z440=$Z$93,"ERRO",IF(Z440=$Z$100,"ERRO",0))))</f>
        <v>0</v>
      </c>
      <c r="BV440" s="266">
        <f>IF(Z440=$Z$92,AA440*AG440,0)</f>
        <v>0</v>
      </c>
      <c r="BW440" s="266">
        <f>IF(Z440=$Z$91,AA440*AG440,0)</f>
        <v>0</v>
      </c>
      <c r="BX440" s="266">
        <f>IF(Z440=$Z$86,AA440*AG440,0)</f>
        <v>0</v>
      </c>
      <c r="BY440" s="266">
        <f>IF(Z440=$Z$87,AA440*AG440,0)</f>
        <v>0</v>
      </c>
      <c r="BZ440" s="266">
        <f>IF(Z440=$Z$88,AA440*AG440,0)</f>
        <v>0</v>
      </c>
      <c r="CA440" s="266">
        <f>IF(Z440=$Z$89,AA440*AG440,0)</f>
        <v>0</v>
      </c>
      <c r="CB440" s="266">
        <f>IF(Z440=$Z$90,AA440*AG440,0)</f>
        <v>0</v>
      </c>
      <c r="CC440" s="267">
        <f>IFERROR(IF(L440=$L$49,AG440*AH440*(1+AI440)*(1-AK440)*(1-AL440),0),0)</f>
        <v>0</v>
      </c>
      <c r="CD440" s="268">
        <f>IF(I440=$CD$97,1,IF(I440=$CD$100,2,IF(K440=$K$66,1,IF(K440=$K$69,1,3))))</f>
        <v>3</v>
      </c>
      <c r="CE440" s="268">
        <f t="shared" si="113"/>
        <v>1.3</v>
      </c>
      <c r="CF440" s="269">
        <f t="shared" si="96"/>
        <v>1.74</v>
      </c>
      <c r="CG440" s="268">
        <f t="shared" si="114"/>
        <v>2</v>
      </c>
      <c r="CH440" s="269">
        <f t="shared" si="97"/>
        <v>2.1800000000000002</v>
      </c>
      <c r="CI440" s="268">
        <f t="shared" si="115"/>
        <v>2.4</v>
      </c>
      <c r="CJ440" s="269">
        <f t="shared" si="107"/>
        <v>1.274</v>
      </c>
      <c r="CK440" s="269">
        <f t="shared" si="108"/>
        <v>1.6182000000000001</v>
      </c>
      <c r="CL440" s="269">
        <f t="shared" si="109"/>
        <v>1.96</v>
      </c>
      <c r="CM440" s="269">
        <f t="shared" si="110"/>
        <v>2.1146000000000003</v>
      </c>
      <c r="CN440" s="268">
        <f t="shared" si="111"/>
        <v>2.3039999999999998</v>
      </c>
      <c r="CO440" s="269">
        <f t="shared" si="124"/>
        <v>1.2230399999999999</v>
      </c>
      <c r="CP440" s="272">
        <f t="shared" si="104"/>
        <v>0</v>
      </c>
      <c r="CQ440" s="273">
        <f t="shared" si="105"/>
        <v>0</v>
      </c>
      <c r="CR440" s="274">
        <f t="shared" si="123"/>
        <v>0</v>
      </c>
      <c r="CS440" s="277"/>
      <c r="CT440" s="277"/>
      <c r="CU440" s="277"/>
      <c r="CV440" s="277"/>
      <c r="CW440" s="277"/>
      <c r="CX440" s="277"/>
      <c r="CY440" s="277"/>
      <c r="CZ440" s="277"/>
      <c r="DA440" s="277"/>
      <c r="DB440" s="277"/>
      <c r="DC440" s="277"/>
      <c r="DD440" s="277"/>
      <c r="DE440" s="277"/>
      <c r="DF440" s="277"/>
      <c r="DG440" s="277"/>
      <c r="DH440" s="277"/>
      <c r="DI440" s="277"/>
      <c r="DJ440" s="277"/>
      <c r="DK440" s="277"/>
      <c r="DL440" s="277"/>
      <c r="DM440" s="277"/>
      <c r="DN440" s="277"/>
      <c r="DO440" s="277"/>
      <c r="DP440" s="277"/>
      <c r="DQ440" s="277"/>
      <c r="DR440" s="277"/>
      <c r="DS440" s="277"/>
      <c r="DT440" s="277"/>
      <c r="DU440" s="277"/>
      <c r="DV440" s="277"/>
      <c r="DW440" s="277"/>
      <c r="DX440" s="277"/>
      <c r="DY440" s="277"/>
      <c r="DZ440" s="277"/>
      <c r="EA440" s="277"/>
      <c r="EB440" s="277"/>
      <c r="EC440" s="277"/>
      <c r="ED440" s="277"/>
      <c r="EE440" s="277"/>
      <c r="EF440" s="277"/>
      <c r="EG440" s="277"/>
      <c r="EH440" s="277"/>
      <c r="EI440" s="277"/>
      <c r="EJ440" s="277"/>
      <c r="EK440" s="277"/>
      <c r="EL440" s="277"/>
      <c r="EM440" s="277"/>
      <c r="EN440" s="277"/>
      <c r="EO440" s="277"/>
      <c r="EP440" s="277"/>
      <c r="EQ440" s="277"/>
      <c r="ER440" s="277"/>
      <c r="ES440" s="277"/>
      <c r="ET440" s="277"/>
      <c r="EU440" s="277"/>
      <c r="EV440" s="277"/>
      <c r="EW440" s="277"/>
      <c r="EX440" s="277"/>
      <c r="EY440" s="277"/>
      <c r="EZ440" s="277"/>
      <c r="FA440" s="277"/>
    </row>
    <row r="441" spans="1:157" s="278" customFormat="1" ht="8.25" x14ac:dyDescent="0.25">
      <c r="A441" s="238">
        <f>IF(AND('[1]Cockpit Retorno'!$E$67=Sim,Mestre!M441=Mestre!$M$98),0,1)</f>
        <v>1</v>
      </c>
      <c r="B441" s="238">
        <f>IF(AND('[1]Cockpit Retorno'!$E$67=Sim,Mestre!L441=Mestre!$L$48),0,1)</f>
        <v>0</v>
      </c>
      <c r="C441" s="238">
        <f>IF(AND('[1]Cockpit Retorno'!$E$67=Sim,Mestre!M441=Mestre!$M$97),0,1)</f>
        <v>1</v>
      </c>
      <c r="D441" s="276" t="s">
        <v>578</v>
      </c>
      <c r="E441" s="240"/>
      <c r="F441" s="241"/>
      <c r="G441" s="242">
        <v>100011</v>
      </c>
      <c r="H441" s="243" t="s">
        <v>120</v>
      </c>
      <c r="I441" s="244" t="str">
        <f t="shared" si="116"/>
        <v>Mercadorias</v>
      </c>
      <c r="J441" s="243" t="s">
        <v>12</v>
      </c>
      <c r="K441" s="245" t="s">
        <v>120</v>
      </c>
      <c r="L441" s="246" t="s">
        <v>15</v>
      </c>
      <c r="M441" s="247"/>
      <c r="N441" s="248" t="s">
        <v>43</v>
      </c>
      <c r="O441" s="248" t="s">
        <v>43</v>
      </c>
      <c r="P441" s="248" t="s">
        <v>43</v>
      </c>
      <c r="Q441" s="248" t="s">
        <v>43</v>
      </c>
      <c r="R441" s="248" t="s">
        <v>43</v>
      </c>
      <c r="S441" s="249" t="s">
        <v>43</v>
      </c>
      <c r="T441" s="243" t="s">
        <v>43</v>
      </c>
      <c r="U441" s="243" t="s">
        <v>43</v>
      </c>
      <c r="V441" s="243" t="s">
        <v>43</v>
      </c>
      <c r="W441" s="243" t="s">
        <v>43</v>
      </c>
      <c r="X441" s="250" t="s">
        <v>591</v>
      </c>
      <c r="Y441" s="243" t="s">
        <v>43</v>
      </c>
      <c r="Z441" s="243" t="s">
        <v>43</v>
      </c>
      <c r="AA441" s="243">
        <v>0</v>
      </c>
      <c r="AB441" s="248" t="s">
        <v>43</v>
      </c>
      <c r="AC441" s="243" t="s">
        <v>43</v>
      </c>
      <c r="AD441" s="248" t="s">
        <v>43</v>
      </c>
      <c r="AE441" s="248" t="s">
        <v>141</v>
      </c>
      <c r="AF441" s="243" t="s">
        <v>43</v>
      </c>
      <c r="AG441" s="251">
        <v>0</v>
      </c>
      <c r="AH441" s="252">
        <v>0</v>
      </c>
      <c r="AI441" s="253">
        <v>0</v>
      </c>
      <c r="AJ441" s="253">
        <v>0</v>
      </c>
      <c r="AK441" s="253">
        <v>0</v>
      </c>
      <c r="AL441" s="253">
        <v>0</v>
      </c>
      <c r="AM441" s="254">
        <f>(((IF(L441=$L$101,1,IF(L441=$L$47,1,0))*(AH441*(1-AK441)))*AG441)*(1-AL441))</f>
        <v>0</v>
      </c>
      <c r="AN441" s="255">
        <f>IF(K441=$K$50,AM441,IF(K441=$K$53,AM441,IF(K441=$K$54,AM441,IF(K441=$K$55,AM441,IF(K441=$K$56,AM441,IF(K441=$K$57,AM441,IF(K441=$K$58,AM441,IF(K441=$K$65,AM441,IF(K441=$K$66,AM441,IF(K441=$K$67,AM441,IF(K441=$K$68,AM441,IF(K441=$K$69,AM441,(AM441*(1+AI441))))))))))))))</f>
        <v>0</v>
      </c>
      <c r="AO441" s="256">
        <v>1.4</v>
      </c>
      <c r="AP441" s="257">
        <f t="shared" si="117"/>
        <v>0</v>
      </c>
      <c r="AQ441" s="258">
        <f t="shared" si="125"/>
        <v>0</v>
      </c>
      <c r="AR441" s="257">
        <f t="shared" si="118"/>
        <v>0</v>
      </c>
      <c r="AS441" s="259">
        <f t="shared" si="119"/>
        <v>0</v>
      </c>
      <c r="AT441" s="260" t="str">
        <f>K441</f>
        <v>MOT</v>
      </c>
      <c r="AU441" s="261" t="str">
        <f>I441</f>
        <v>Mercadorias</v>
      </c>
      <c r="AV441" s="262"/>
      <c r="AW441" s="263">
        <f>IF(K441=$K$50,0,IF(K441=$K$53,0,IF(K441=$K$54,0,IF(K441=$K$55,0,IF(K441=$K$56,0,IF(K441=$K$57,0,IF(K441=$K$58,0,IF(K441=$K$65,0,IF(K441=$K$66,0,IF(K441=$K$67,0,IF(K441=$K$68,0,IF(K441=$K$69,0,1))))))))))))*AM441*AI441</f>
        <v>0</v>
      </c>
      <c r="AX441" s="264">
        <f>IF(K441=$K$50,0,IF(K441=$K$53,0,IF(K441=$K$54,0,IF(K441=$K$55,0,IF(K441=$K$56,0,IF(K441=$K$57,0,IF(K441=$K$58,0,IF(K441=$K$65,0,IF(K441=$K$66,0,IF(K441=$K$67,0,IF(K441=$K$68,0,IF(K441=$K$69,0,1))))))))))))*AM441*AJ441*$AX$94</f>
        <v>0</v>
      </c>
      <c r="AY441" s="264">
        <f>IF(K441=$K$53,0,IF(K441=$K$54,0,IF(K441=$K$55,0,IF(K441=$K$56,0,IF(K441=$K$58,0,IF(K441=$K$50,0,IF(K441=$K$65,0,IF(K441=$K$57,0,IF(K441=$K$51,0,AM441*$AY$102)))))))))</f>
        <v>0</v>
      </c>
      <c r="AZ441" s="264">
        <f>IF(K441=$K$53,0,IF(K441=$K$54,0,IF(K441=$K$55,0,IF(K441=$K$56,0,IF(K441=$K$58,0,IF(K441=$K$50,0,IF(K441=$K$65,0,IF(K441=$K$57,0,AM441*$AZ$102))))))))</f>
        <v>0</v>
      </c>
      <c r="BA441" s="264">
        <f t="shared" si="120"/>
        <v>0</v>
      </c>
      <c r="BB441" s="265">
        <f>IF($BA$97=1,AQ441*$BB$102,IF(K441=$K$50,0,IF(K441=$K$53,0,IF(K441=$K$54,0,IF(K441=$K$55,0,IF(K441=$K$56,0,IF(K441=$K$57,0,IF(K441=$K$58,0,IF(K441=$K$65,0,IF(K441=$K$66,0,IF(K441=$K$67,0,IF(K441=$K$68,0,IF(K441=$K$69,0,IF(K441=$K$51,0,1)))))))))))*AQ441*$BB$102)))</f>
        <v>0</v>
      </c>
      <c r="BC441" s="264">
        <f t="shared" si="121"/>
        <v>0</v>
      </c>
      <c r="BD441" s="264">
        <f t="shared" si="122"/>
        <v>0</v>
      </c>
      <c r="BE441" s="264">
        <f>IF($BE$95=I441,$BE$97,IF(I441=$BE$96,$BE$97,1))*($BE$102*AQ441)*$AZ$97</f>
        <v>0</v>
      </c>
      <c r="BF441" s="264">
        <f>IF('[1]Cockpit Retorno'!$C$65=Sim,Mestre!BA441,SUM(BB441:BE441)+(IF(K441=$K$56,AQ441*MOE_IRRF_LR,0)))</f>
        <v>0</v>
      </c>
      <c r="BG441" s="266">
        <f>IF(AA441&gt;0,0,IF(Z441=$Z$82,AG441*1,(IF(Z441=$Z$81,AG441*1,0))))</f>
        <v>0</v>
      </c>
      <c r="BH441" s="266">
        <f>IF(AA441&gt;0,0,IF(Z441=$Z$83,AG441*1,IF(Z441=$Z$81,AG441*1,0)))</f>
        <v>0</v>
      </c>
      <c r="BI441" s="266">
        <f>IF(AA441&gt;0,0,IF(Z441=$Z$84,AG441*1,IF(Z441=$Z$93,AG441*2,IF(Z441=$Z$100,AG441,IF(Z441=$Z$81,AG441*2,IF(Z441=$Z$80,AG441*1,IF(Z441=$Z$79,AG441*3,IF(Z441=$Z$78,AG441*2,0))))))))</f>
        <v>0</v>
      </c>
      <c r="BJ441" s="266">
        <f>IF(AA441&gt;0,0,IF(Z441=$Z$85,AG441,IF(Z441=$Z$93,AG441,IF(Z441=$Z$100,AG441,IF(Z441=$Z$81,AG441*1,IF(Z441=$Z$80,AG441*2,IF(Z441=$Z$79,AG441*2,IF(Z441=$Z$78,AG441*2,0))))))))</f>
        <v>0</v>
      </c>
      <c r="BK441" s="266">
        <f>IF(AA441&gt;0,0,IF(Z441=$Z$92,AG441,0))</f>
        <v>0</v>
      </c>
      <c r="BL441" s="266">
        <f>IF(AA441&gt;0,0,IF(Z441=$Z$91,AG441,0))</f>
        <v>0</v>
      </c>
      <c r="BM441" s="266">
        <f>IF(AA441&gt;0,0,IF(Z441=$Z$86,AG441,0))</f>
        <v>0</v>
      </c>
      <c r="BN441" s="266">
        <f>IF(AA441&gt;0,0,IF(Z441=$Z$87,AG441,0))</f>
        <v>0</v>
      </c>
      <c r="BO441" s="266">
        <f>IF(AA441&gt;0,0,IF(Z441=$Z$88,AG441,0))</f>
        <v>0</v>
      </c>
      <c r="BP441" s="266">
        <f>IF(AA441&gt;0,0,IF(Z441=$Z$89,AG441,0))</f>
        <v>0</v>
      </c>
      <c r="BQ441" s="266">
        <f>IF(AA441&gt;0,0,IF(Z441=$Z$90,AG441,0))</f>
        <v>0</v>
      </c>
      <c r="BR441" s="266">
        <f>IF(Z441=$Z$82,AA441*AG441,0)</f>
        <v>0</v>
      </c>
      <c r="BS441" s="266">
        <f>IF(Z441=$Z$83,AA441*AG441,0)</f>
        <v>0</v>
      </c>
      <c r="BT441" s="266">
        <f>IF(AA441&lt;1,0,IF(Z441=$Z$84,AA441*AG441,IF(Z441=$Z$93,"ERRO",IF(Z441=$Z$100,"ERRO",0))))</f>
        <v>0</v>
      </c>
      <c r="BU441" s="266">
        <f>IF(AA441&lt;1,0,IF(Z441=$Z$85,AA441*AG441,IF(Z441=$Z$93,"ERRO",IF(Z441=$Z$100,"ERRO",0))))</f>
        <v>0</v>
      </c>
      <c r="BV441" s="266">
        <f>IF(Z441=$Z$92,AA441*AG441,0)</f>
        <v>0</v>
      </c>
      <c r="BW441" s="266">
        <f>IF(Z441=$Z$91,AA441*AG441,0)</f>
        <v>0</v>
      </c>
      <c r="BX441" s="266">
        <f>IF(Z441=$Z$86,AA441*AG441,0)</f>
        <v>0</v>
      </c>
      <c r="BY441" s="266">
        <f>IF(Z441=$Z$87,AA441*AG441,0)</f>
        <v>0</v>
      </c>
      <c r="BZ441" s="266">
        <f>IF(Z441=$Z$88,AA441*AG441,0)</f>
        <v>0</v>
      </c>
      <c r="CA441" s="266">
        <f>IF(Z441=$Z$89,AA441*AG441,0)</f>
        <v>0</v>
      </c>
      <c r="CB441" s="266">
        <f>IF(Z441=$Z$90,AA441*AG441,0)</f>
        <v>0</v>
      </c>
      <c r="CC441" s="267">
        <f>IFERROR(IF(L441=$L$49,AG441*AH441*(1+AI441)*(1-AK441)*(1-AL441),0),0)</f>
        <v>0</v>
      </c>
      <c r="CD441" s="268">
        <f>IF(I441=$CD$97,1,IF(I441=$CD$100,2,IF(K441=$K$66,1,IF(K441=$K$69,1,3))))</f>
        <v>1</v>
      </c>
      <c r="CE441" s="268">
        <f t="shared" si="113"/>
        <v>1.07</v>
      </c>
      <c r="CF441" s="269">
        <f t="shared" si="96"/>
        <v>1.2353999999999998</v>
      </c>
      <c r="CG441" s="268">
        <f t="shared" si="114"/>
        <v>1.42</v>
      </c>
      <c r="CH441" s="269">
        <f t="shared" si="97"/>
        <v>1.5478000000000001</v>
      </c>
      <c r="CI441" s="268">
        <f t="shared" si="115"/>
        <v>1.7</v>
      </c>
      <c r="CJ441" s="269">
        <f t="shared" si="107"/>
        <v>1.0486</v>
      </c>
      <c r="CK441" s="269">
        <f t="shared" si="108"/>
        <v>1.148922</v>
      </c>
      <c r="CL441" s="269">
        <f t="shared" si="109"/>
        <v>1.3915999999999999</v>
      </c>
      <c r="CM441" s="269">
        <f t="shared" si="110"/>
        <v>1.501366</v>
      </c>
      <c r="CN441" s="268">
        <f t="shared" si="111"/>
        <v>1.6319999999999999</v>
      </c>
      <c r="CO441" s="269">
        <f t="shared" si="124"/>
        <v>1.006656</v>
      </c>
      <c r="CP441" s="272">
        <f t="shared" si="104"/>
        <v>0</v>
      </c>
      <c r="CQ441" s="273">
        <f t="shared" si="105"/>
        <v>0</v>
      </c>
      <c r="CR441" s="274">
        <f t="shared" si="123"/>
        <v>0</v>
      </c>
      <c r="CS441" s="277"/>
      <c r="CT441" s="277"/>
      <c r="CU441" s="277"/>
      <c r="CV441" s="277"/>
      <c r="CW441" s="277"/>
      <c r="CX441" s="277"/>
      <c r="CY441" s="277"/>
      <c r="CZ441" s="277"/>
      <c r="DA441" s="277"/>
      <c r="DB441" s="277"/>
      <c r="DC441" s="277"/>
      <c r="DD441" s="277"/>
      <c r="DE441" s="277"/>
      <c r="DF441" s="277"/>
      <c r="DG441" s="277"/>
      <c r="DH441" s="277"/>
      <c r="DI441" s="277"/>
      <c r="DJ441" s="277"/>
      <c r="DK441" s="277"/>
      <c r="DL441" s="277"/>
      <c r="DM441" s="277"/>
      <c r="DN441" s="277"/>
      <c r="DO441" s="277"/>
      <c r="DP441" s="277"/>
      <c r="DQ441" s="277"/>
      <c r="DR441" s="277"/>
      <c r="DS441" s="277"/>
      <c r="DT441" s="277"/>
      <c r="DU441" s="277"/>
      <c r="DV441" s="277"/>
      <c r="DW441" s="277"/>
      <c r="DX441" s="277"/>
      <c r="DY441" s="277"/>
      <c r="DZ441" s="277"/>
      <c r="EA441" s="277"/>
      <c r="EB441" s="277"/>
      <c r="EC441" s="277"/>
      <c r="ED441" s="277"/>
      <c r="EE441" s="277"/>
      <c r="EF441" s="277"/>
      <c r="EG441" s="277"/>
      <c r="EH441" s="277"/>
      <c r="EI441" s="277"/>
      <c r="EJ441" s="277"/>
      <c r="EK441" s="277"/>
      <c r="EL441" s="277"/>
      <c r="EM441" s="277"/>
      <c r="EN441" s="277"/>
      <c r="EO441" s="277"/>
      <c r="EP441" s="277"/>
      <c r="EQ441" s="277"/>
      <c r="ER441" s="277"/>
      <c r="ES441" s="277"/>
      <c r="ET441" s="277"/>
      <c r="EU441" s="277"/>
      <c r="EV441" s="277"/>
      <c r="EW441" s="277"/>
      <c r="EX441" s="277"/>
      <c r="EY441" s="277"/>
      <c r="EZ441" s="277"/>
      <c r="FA441" s="277"/>
    </row>
    <row r="442" spans="1:157" s="278" customFormat="1" ht="8.25" x14ac:dyDescent="0.25">
      <c r="A442" s="238">
        <f>IF(AND('[1]Cockpit Retorno'!$E$67=Sim,Mestre!M442=Mestre!$M$98),0,1)</f>
        <v>1</v>
      </c>
      <c r="B442" s="238">
        <f>IF(AND('[1]Cockpit Retorno'!$E$67=Sim,Mestre!L442=Mestre!$L$48),0,1)</f>
        <v>0</v>
      </c>
      <c r="C442" s="238">
        <f>IF(AND('[1]Cockpit Retorno'!$E$67=Sim,Mestre!M442=Mestre!$M$97),0,1)</f>
        <v>1</v>
      </c>
      <c r="D442" s="276" t="s">
        <v>74</v>
      </c>
      <c r="E442" s="240"/>
      <c r="F442" s="241"/>
      <c r="G442" s="242">
        <v>100012</v>
      </c>
      <c r="H442" s="243" t="s">
        <v>74</v>
      </c>
      <c r="I442" s="244" t="str">
        <f t="shared" si="116"/>
        <v>Mercadorias</v>
      </c>
      <c r="J442" s="243" t="s">
        <v>15</v>
      </c>
      <c r="K442" s="245" t="s">
        <v>74</v>
      </c>
      <c r="L442" s="246" t="s">
        <v>15</v>
      </c>
      <c r="M442" s="247"/>
      <c r="N442" s="248" t="s">
        <v>43</v>
      </c>
      <c r="O442" s="248" t="s">
        <v>43</v>
      </c>
      <c r="P442" s="248" t="s">
        <v>43</v>
      </c>
      <c r="Q442" s="248" t="s">
        <v>43</v>
      </c>
      <c r="R442" s="248" t="s">
        <v>43</v>
      </c>
      <c r="S442" s="249" t="s">
        <v>43</v>
      </c>
      <c r="T442" s="243" t="s">
        <v>43</v>
      </c>
      <c r="U442" s="243" t="s">
        <v>43</v>
      </c>
      <c r="V442" s="243" t="s">
        <v>43</v>
      </c>
      <c r="W442" s="243" t="s">
        <v>43</v>
      </c>
      <c r="X442" s="250" t="s">
        <v>592</v>
      </c>
      <c r="Y442" s="243" t="s">
        <v>43</v>
      </c>
      <c r="Z442" s="243" t="s">
        <v>43</v>
      </c>
      <c r="AA442" s="243">
        <v>0</v>
      </c>
      <c r="AB442" s="248" t="s">
        <v>43</v>
      </c>
      <c r="AC442" s="243" t="s">
        <v>43</v>
      </c>
      <c r="AD442" s="248" t="s">
        <v>43</v>
      </c>
      <c r="AE442" s="248" t="s">
        <v>141</v>
      </c>
      <c r="AF442" s="243" t="s">
        <v>43</v>
      </c>
      <c r="AG442" s="251">
        <v>0</v>
      </c>
      <c r="AH442" s="252">
        <v>0</v>
      </c>
      <c r="AI442" s="253">
        <v>0</v>
      </c>
      <c r="AJ442" s="253">
        <v>0</v>
      </c>
      <c r="AK442" s="253">
        <v>0</v>
      </c>
      <c r="AL442" s="253">
        <v>0</v>
      </c>
      <c r="AM442" s="254">
        <f>(((IF(L442=$L$101,1,IF(L442=$L$47,1,0))*(AH442*(1-AK442)))*AG442)*(1-AL442))</f>
        <v>0</v>
      </c>
      <c r="AN442" s="255">
        <f>IF(K442=$K$50,AM442,IF(K442=$K$53,AM442,IF(K442=$K$54,AM442,IF(K442=$K$55,AM442,IF(K442=$K$56,AM442,IF(K442=$K$57,AM442,IF(K442=$K$58,AM442,IF(K442=$K$65,AM442,IF(K442=$K$66,AM442,IF(K442=$K$67,AM442,IF(K442=$K$68,AM442,IF(K442=$K$69,AM442,(AM442*(1+AI442))))))))))))))</f>
        <v>0</v>
      </c>
      <c r="AO442" s="256">
        <v>1.4</v>
      </c>
      <c r="AP442" s="257">
        <f t="shared" si="117"/>
        <v>0</v>
      </c>
      <c r="AQ442" s="258">
        <f t="shared" si="125"/>
        <v>0</v>
      </c>
      <c r="AR442" s="257">
        <f t="shared" si="118"/>
        <v>0</v>
      </c>
      <c r="AS442" s="259">
        <f t="shared" si="119"/>
        <v>0</v>
      </c>
      <c r="AT442" s="260" t="str">
        <f>K442</f>
        <v>MOV</v>
      </c>
      <c r="AU442" s="261" t="str">
        <f>I442</f>
        <v>Mercadorias</v>
      </c>
      <c r="AV442" s="262"/>
      <c r="AW442" s="263">
        <f>IF(K442=$K$50,0,IF(K442=$K$53,0,IF(K442=$K$54,0,IF(K442=$K$55,0,IF(K442=$K$56,0,IF(K442=$K$57,0,IF(K442=$K$58,0,IF(K442=$K$65,0,IF(K442=$K$66,0,IF(K442=$K$67,0,IF(K442=$K$68,0,IF(K442=$K$69,0,1))))))))))))*AM442*AI442</f>
        <v>0</v>
      </c>
      <c r="AX442" s="264">
        <f>IF(K442=$K$50,0,IF(K442=$K$53,0,IF(K442=$K$54,0,IF(K442=$K$55,0,IF(K442=$K$56,0,IF(K442=$K$57,0,IF(K442=$K$58,0,IF(K442=$K$65,0,IF(K442=$K$66,0,IF(K442=$K$67,0,IF(K442=$K$68,0,IF(K442=$K$69,0,1))))))))))))*AM442*AJ442*$AX$94</f>
        <v>0</v>
      </c>
      <c r="AY442" s="264">
        <f>IF(K442=$K$53,0,IF(K442=$K$54,0,IF(K442=$K$55,0,IF(K442=$K$56,0,IF(K442=$K$58,0,IF(K442=$K$50,0,IF(K442=$K$65,0,IF(K442=$K$57,0,IF(K442=$K$51,0,AM442*$AY$102)))))))))</f>
        <v>0</v>
      </c>
      <c r="AZ442" s="264">
        <f>IF(K442=$K$53,0,IF(K442=$K$54,0,IF(K442=$K$55,0,IF(K442=$K$56,0,IF(K442=$K$58,0,IF(K442=$K$50,0,IF(K442=$K$65,0,IF(K442=$K$57,0,AM442*$AZ$102))))))))</f>
        <v>0</v>
      </c>
      <c r="BA442" s="264">
        <f t="shared" si="120"/>
        <v>0</v>
      </c>
      <c r="BB442" s="265">
        <f>IF($BA$97=1,AQ442*$BB$102,IF(K442=$K$50,0,IF(K442=$K$53,0,IF(K442=$K$54,0,IF(K442=$K$55,0,IF(K442=$K$56,0,IF(K442=$K$57,0,IF(K442=$K$58,0,IF(K442=$K$65,0,IF(K442=$K$66,0,IF(K442=$K$67,0,IF(K442=$K$68,0,IF(K442=$K$69,0,IF(K442=$K$51,0,1)))))))))))*AQ442*$BB$102)))</f>
        <v>0</v>
      </c>
      <c r="BC442" s="264">
        <f t="shared" si="121"/>
        <v>0</v>
      </c>
      <c r="BD442" s="264">
        <f t="shared" si="122"/>
        <v>0</v>
      </c>
      <c r="BE442" s="264">
        <f>IF($BE$95=I442,$BE$97,IF(I442=$BE$96,$BE$97,1))*($BE$102*AQ442)*$AZ$97</f>
        <v>0</v>
      </c>
      <c r="BF442" s="264">
        <f>IF('[1]Cockpit Retorno'!$C$65=Sim,Mestre!BA442,SUM(BB442:BE442)+(IF(K442=$K$56,AQ442*MOE_IRRF_LR,0)))</f>
        <v>0</v>
      </c>
      <c r="BG442" s="266">
        <f>IF(AA442&gt;0,0,IF(Z442=$Z$82,AG442*1,(IF(Z442=$Z$81,AG442*1,0))))</f>
        <v>0</v>
      </c>
      <c r="BH442" s="266">
        <f>IF(AA442&gt;0,0,IF(Z442=$Z$83,AG442*1,IF(Z442=$Z$81,AG442*1,0)))</f>
        <v>0</v>
      </c>
      <c r="BI442" s="266">
        <f>IF(AA442&gt;0,0,IF(Z442=$Z$84,AG442*1,IF(Z442=$Z$93,AG442*2,IF(Z442=$Z$100,AG442,IF(Z442=$Z$81,AG442*2,IF(Z442=$Z$80,AG442*1,IF(Z442=$Z$79,AG442*3,IF(Z442=$Z$78,AG442*2,0))))))))</f>
        <v>0</v>
      </c>
      <c r="BJ442" s="266">
        <f>IF(AA442&gt;0,0,IF(Z442=$Z$85,AG442,IF(Z442=$Z$93,AG442,IF(Z442=$Z$100,AG442,IF(Z442=$Z$81,AG442*1,IF(Z442=$Z$80,AG442*2,IF(Z442=$Z$79,AG442*2,IF(Z442=$Z$78,AG442*2,0))))))))</f>
        <v>0</v>
      </c>
      <c r="BK442" s="266">
        <f>IF(AA442&gt;0,0,IF(Z442=$Z$92,AG442,0))</f>
        <v>0</v>
      </c>
      <c r="BL442" s="266">
        <f>IF(AA442&gt;0,0,IF(Z442=$Z$91,AG442,0))</f>
        <v>0</v>
      </c>
      <c r="BM442" s="266">
        <f>IF(AA442&gt;0,0,IF(Z442=$Z$86,AG442,0))</f>
        <v>0</v>
      </c>
      <c r="BN442" s="266">
        <f>IF(AA442&gt;0,0,IF(Z442=$Z$87,AG442,0))</f>
        <v>0</v>
      </c>
      <c r="BO442" s="266">
        <f>IF(AA442&gt;0,0,IF(Z442=$Z$88,AG442,0))</f>
        <v>0</v>
      </c>
      <c r="BP442" s="266">
        <f>IF(AA442&gt;0,0,IF(Z442=$Z$89,AG442,0))</f>
        <v>0</v>
      </c>
      <c r="BQ442" s="266">
        <f>IF(AA442&gt;0,0,IF(Z442=$Z$90,AG442,0))</f>
        <v>0</v>
      </c>
      <c r="BR442" s="266">
        <f>IF(Z442=$Z$82,AA442*AG442,0)</f>
        <v>0</v>
      </c>
      <c r="BS442" s="266">
        <f>IF(Z442=$Z$83,AA442*AG442,0)</f>
        <v>0</v>
      </c>
      <c r="BT442" s="266">
        <f>IF(AA442&lt;1,0,IF(Z442=$Z$84,AA442*AG442,IF(Z442=$Z$93,"ERRO",IF(Z442=$Z$100,"ERRO",0))))</f>
        <v>0</v>
      </c>
      <c r="BU442" s="266">
        <f>IF(AA442&lt;1,0,IF(Z442=$Z$85,AA442*AG442,IF(Z442=$Z$93,"ERRO",IF(Z442=$Z$100,"ERRO",0))))</f>
        <v>0</v>
      </c>
      <c r="BV442" s="266">
        <f>IF(Z442=$Z$92,AA442*AG442,0)</f>
        <v>0</v>
      </c>
      <c r="BW442" s="266">
        <f>IF(Z442=$Z$91,AA442*AG442,0)</f>
        <v>0</v>
      </c>
      <c r="BX442" s="266">
        <f>IF(Z442=$Z$86,AA442*AG442,0)</f>
        <v>0</v>
      </c>
      <c r="BY442" s="266">
        <f>IF(Z442=$Z$87,AA442*AG442,0)</f>
        <v>0</v>
      </c>
      <c r="BZ442" s="266">
        <f>IF(Z442=$Z$88,AA442*AG442,0)</f>
        <v>0</v>
      </c>
      <c r="CA442" s="266">
        <f>IF(Z442=$Z$89,AA442*AG442,0)</f>
        <v>0</v>
      </c>
      <c r="CB442" s="266">
        <f>IF(Z442=$Z$90,AA442*AG442,0)</f>
        <v>0</v>
      </c>
      <c r="CC442" s="267">
        <f>IFERROR(IF(L442=$L$49,AG442*AH442*(1+AI442)*(1-AK442)*(1-AL442),0),0)</f>
        <v>0</v>
      </c>
      <c r="CD442" s="268">
        <f>IF(I442=$CD$97,1,IF(I442=$CD$100,2,IF(K442=$K$66,1,IF(K442=$K$69,1,3))))</f>
        <v>1</v>
      </c>
      <c r="CE442" s="268">
        <f t="shared" si="113"/>
        <v>1.07</v>
      </c>
      <c r="CF442" s="269">
        <f t="shared" si="96"/>
        <v>1.2353999999999998</v>
      </c>
      <c r="CG442" s="268">
        <f t="shared" si="114"/>
        <v>1.42</v>
      </c>
      <c r="CH442" s="269">
        <f t="shared" si="97"/>
        <v>1.5478000000000001</v>
      </c>
      <c r="CI442" s="268">
        <f t="shared" si="115"/>
        <v>1.7</v>
      </c>
      <c r="CJ442" s="269">
        <f t="shared" si="107"/>
        <v>1.0486</v>
      </c>
      <c r="CK442" s="269">
        <f t="shared" si="108"/>
        <v>1.148922</v>
      </c>
      <c r="CL442" s="269">
        <f t="shared" si="109"/>
        <v>1.3915999999999999</v>
      </c>
      <c r="CM442" s="269">
        <f t="shared" si="110"/>
        <v>1.501366</v>
      </c>
      <c r="CN442" s="268">
        <f t="shared" si="111"/>
        <v>1.6319999999999999</v>
      </c>
      <c r="CO442" s="269">
        <f t="shared" si="124"/>
        <v>1.006656</v>
      </c>
      <c r="CP442" s="272">
        <f t="shared" si="104"/>
        <v>0</v>
      </c>
      <c r="CQ442" s="273">
        <f t="shared" si="105"/>
        <v>0</v>
      </c>
      <c r="CR442" s="274">
        <f t="shared" si="123"/>
        <v>0</v>
      </c>
      <c r="CS442" s="277"/>
      <c r="CT442" s="277"/>
      <c r="CU442" s="277"/>
      <c r="CV442" s="277"/>
      <c r="CW442" s="277"/>
      <c r="CX442" s="277"/>
      <c r="CY442" s="277"/>
      <c r="CZ442" s="277"/>
      <c r="DA442" s="277"/>
      <c r="DB442" s="277"/>
      <c r="DC442" s="277"/>
      <c r="DD442" s="277"/>
      <c r="DE442" s="277"/>
      <c r="DF442" s="277"/>
      <c r="DG442" s="277"/>
      <c r="DH442" s="277"/>
      <c r="DI442" s="277"/>
      <c r="DJ442" s="277"/>
      <c r="DK442" s="277"/>
      <c r="DL442" s="277"/>
      <c r="DM442" s="277"/>
      <c r="DN442" s="277"/>
      <c r="DO442" s="277"/>
      <c r="DP442" s="277"/>
      <c r="DQ442" s="277"/>
      <c r="DR442" s="277"/>
      <c r="DS442" s="277"/>
      <c r="DT442" s="277"/>
      <c r="DU442" s="277"/>
      <c r="DV442" s="277"/>
      <c r="DW442" s="277"/>
      <c r="DX442" s="277"/>
      <c r="DY442" s="277"/>
      <c r="DZ442" s="277"/>
      <c r="EA442" s="277"/>
      <c r="EB442" s="277"/>
      <c r="EC442" s="277"/>
      <c r="ED442" s="277"/>
      <c r="EE442" s="277"/>
      <c r="EF442" s="277"/>
      <c r="EG442" s="277"/>
      <c r="EH442" s="277"/>
      <c r="EI442" s="277"/>
      <c r="EJ442" s="277"/>
      <c r="EK442" s="277"/>
      <c r="EL442" s="277"/>
      <c r="EM442" s="277"/>
      <c r="EN442" s="277"/>
      <c r="EO442" s="277"/>
      <c r="EP442" s="277"/>
      <c r="EQ442" s="277"/>
      <c r="ER442" s="277"/>
      <c r="ES442" s="277"/>
      <c r="ET442" s="277"/>
      <c r="EU442" s="277"/>
      <c r="EV442" s="277"/>
      <c r="EW442" s="277"/>
      <c r="EX442" s="277"/>
      <c r="EY442" s="277"/>
      <c r="EZ442" s="277"/>
      <c r="FA442" s="277"/>
    </row>
    <row r="443" spans="1:157" s="278" customFormat="1" ht="8.25" x14ac:dyDescent="0.25">
      <c r="A443" s="238">
        <f>IF(AND('[1]Cockpit Retorno'!$E$67=Sim,Mestre!M443=Mestre!$M$98),0,1)</f>
        <v>1</v>
      </c>
      <c r="B443" s="238">
        <f>IF(AND('[1]Cockpit Retorno'!$E$67=Sim,Mestre!L443=Mestre!$L$48),0,1)</f>
        <v>0</v>
      </c>
      <c r="C443" s="238">
        <f>IF(AND('[1]Cockpit Retorno'!$E$67=Sim,Mestre!M443=Mestre!$M$97),0,1)</f>
        <v>1</v>
      </c>
      <c r="D443" s="276" t="s">
        <v>577</v>
      </c>
      <c r="E443" s="240"/>
      <c r="F443" s="241"/>
      <c r="G443" s="242">
        <v>100013</v>
      </c>
      <c r="H443" s="243" t="s">
        <v>128</v>
      </c>
      <c r="I443" s="244" t="str">
        <f t="shared" si="116"/>
        <v>Mercadorias</v>
      </c>
      <c r="J443" s="243" t="s">
        <v>15</v>
      </c>
      <c r="K443" s="245" t="s">
        <v>79</v>
      </c>
      <c r="L443" s="246" t="s">
        <v>15</v>
      </c>
      <c r="M443" s="247"/>
      <c r="N443" s="248" t="s">
        <v>43</v>
      </c>
      <c r="O443" s="248" t="s">
        <v>43</v>
      </c>
      <c r="P443" s="248" t="s">
        <v>43</v>
      </c>
      <c r="Q443" s="248" t="s">
        <v>43</v>
      </c>
      <c r="R443" s="248" t="s">
        <v>43</v>
      </c>
      <c r="S443" s="249" t="s">
        <v>43</v>
      </c>
      <c r="T443" s="243" t="s">
        <v>43</v>
      </c>
      <c r="U443" s="243" t="s">
        <v>43</v>
      </c>
      <c r="V443" s="243" t="s">
        <v>43</v>
      </c>
      <c r="W443" s="243" t="s">
        <v>43</v>
      </c>
      <c r="X443" s="250" t="s">
        <v>593</v>
      </c>
      <c r="Y443" s="243" t="s">
        <v>43</v>
      </c>
      <c r="Z443" s="243" t="s">
        <v>43</v>
      </c>
      <c r="AA443" s="243">
        <v>0</v>
      </c>
      <c r="AB443" s="248" t="s">
        <v>43</v>
      </c>
      <c r="AC443" s="243" t="s">
        <v>43</v>
      </c>
      <c r="AD443" s="248" t="s">
        <v>43</v>
      </c>
      <c r="AE443" s="248" t="s">
        <v>141</v>
      </c>
      <c r="AF443" s="243" t="s">
        <v>43</v>
      </c>
      <c r="AG443" s="251">
        <v>0</v>
      </c>
      <c r="AH443" s="252">
        <v>0</v>
      </c>
      <c r="AI443" s="253">
        <v>0</v>
      </c>
      <c r="AJ443" s="253">
        <v>0</v>
      </c>
      <c r="AK443" s="253">
        <v>0</v>
      </c>
      <c r="AL443" s="253">
        <v>0</v>
      </c>
      <c r="AM443" s="254">
        <f>(((IF(L443=$L$101,1,IF(L443=$L$47,1,0))*(AH443*(1-AK443)))*AG443)*(1-AL443))</f>
        <v>0</v>
      </c>
      <c r="AN443" s="255">
        <f>IF(K443=$K$50,AM443,IF(K443=$K$53,AM443,IF(K443=$K$54,AM443,IF(K443=$K$55,AM443,IF(K443=$K$56,AM443,IF(K443=$K$57,AM443,IF(K443=$K$58,AM443,IF(K443=$K$65,AM443,IF(K443=$K$66,AM443,IF(K443=$K$67,AM443,IF(K443=$K$68,AM443,IF(K443=$K$69,AM443,(AM443*(1+AI443))))))))))))))</f>
        <v>0</v>
      </c>
      <c r="AO443" s="256">
        <v>1.4</v>
      </c>
      <c r="AP443" s="257">
        <f t="shared" si="117"/>
        <v>0</v>
      </c>
      <c r="AQ443" s="258">
        <f t="shared" si="125"/>
        <v>0</v>
      </c>
      <c r="AR443" s="257">
        <f t="shared" si="118"/>
        <v>0</v>
      </c>
      <c r="AS443" s="259">
        <f t="shared" si="119"/>
        <v>0</v>
      </c>
      <c r="AT443" s="260" t="str">
        <f>K443</f>
        <v>PLC_DCS</v>
      </c>
      <c r="AU443" s="261" t="str">
        <f>I443</f>
        <v>Mercadorias</v>
      </c>
      <c r="AV443" s="262"/>
      <c r="AW443" s="263">
        <f>IF(K443=$K$50,0,IF(K443=$K$53,0,IF(K443=$K$54,0,IF(K443=$K$55,0,IF(K443=$K$56,0,IF(K443=$K$57,0,IF(K443=$K$58,0,IF(K443=$K$65,0,IF(K443=$K$66,0,IF(K443=$K$67,0,IF(K443=$K$68,0,IF(K443=$K$69,0,1))))))))))))*AM443*AI443</f>
        <v>0</v>
      </c>
      <c r="AX443" s="264">
        <f>IF(K443=$K$50,0,IF(K443=$K$53,0,IF(K443=$K$54,0,IF(K443=$K$55,0,IF(K443=$K$56,0,IF(K443=$K$57,0,IF(K443=$K$58,0,IF(K443=$K$65,0,IF(K443=$K$66,0,IF(K443=$K$67,0,IF(K443=$K$68,0,IF(K443=$K$69,0,1))))))))))))*AM443*AJ443*$AX$94</f>
        <v>0</v>
      </c>
      <c r="AY443" s="264">
        <f>IF(K443=$K$53,0,IF(K443=$K$54,0,IF(K443=$K$55,0,IF(K443=$K$56,0,IF(K443=$K$58,0,IF(K443=$K$50,0,IF(K443=$K$65,0,IF(K443=$K$57,0,IF(K443=$K$51,0,AM443*$AY$102)))))))))</f>
        <v>0</v>
      </c>
      <c r="AZ443" s="264">
        <f>IF(K443=$K$53,0,IF(K443=$K$54,0,IF(K443=$K$55,0,IF(K443=$K$56,0,IF(K443=$K$58,0,IF(K443=$K$50,0,IF(K443=$K$65,0,IF(K443=$K$57,0,AM443*$AZ$102))))))))</f>
        <v>0</v>
      </c>
      <c r="BA443" s="264">
        <f t="shared" si="120"/>
        <v>0</v>
      </c>
      <c r="BB443" s="265">
        <f>IF($BA$97=1,AQ443*$BB$102,IF(K443=$K$50,0,IF(K443=$K$53,0,IF(K443=$K$54,0,IF(K443=$K$55,0,IF(K443=$K$56,0,IF(K443=$K$57,0,IF(K443=$K$58,0,IF(K443=$K$65,0,IF(K443=$K$66,0,IF(K443=$K$67,0,IF(K443=$K$68,0,IF(K443=$K$69,0,IF(K443=$K$51,0,1)))))))))))*AQ443*$BB$102)))</f>
        <v>0</v>
      </c>
      <c r="BC443" s="264">
        <f t="shared" si="121"/>
        <v>0</v>
      </c>
      <c r="BD443" s="264">
        <f t="shared" si="122"/>
        <v>0</v>
      </c>
      <c r="BE443" s="264">
        <f>IF($BE$95=I443,$BE$97,IF(I443=$BE$96,$BE$97,1))*($BE$102*AQ443)*$AZ$97</f>
        <v>0</v>
      </c>
      <c r="BF443" s="264">
        <f>IF('[1]Cockpit Retorno'!$C$65=Sim,Mestre!BA443,SUM(BB443:BE443)+(IF(K443=$K$56,AQ443*MOE_IRRF_LR,0)))</f>
        <v>0</v>
      </c>
      <c r="BG443" s="266">
        <f>IF(AA443&gt;0,0,IF(Z443=$Z$82,AG443*1,(IF(Z443=$Z$81,AG443*1,0))))</f>
        <v>0</v>
      </c>
      <c r="BH443" s="266">
        <f>IF(AA443&gt;0,0,IF(Z443=$Z$83,AG443*1,IF(Z443=$Z$81,AG443*1,0)))</f>
        <v>0</v>
      </c>
      <c r="BI443" s="266">
        <f>IF(AA443&gt;0,0,IF(Z443=$Z$84,AG443*1,IF(Z443=$Z$93,AG443*2,IF(Z443=$Z$100,AG443,IF(Z443=$Z$81,AG443*2,IF(Z443=$Z$80,AG443*1,IF(Z443=$Z$79,AG443*3,IF(Z443=$Z$78,AG443*2,0))))))))</f>
        <v>0</v>
      </c>
      <c r="BJ443" s="266">
        <f>IF(AA443&gt;0,0,IF(Z443=$Z$85,AG443,IF(Z443=$Z$93,AG443,IF(Z443=$Z$100,AG443,IF(Z443=$Z$81,AG443*1,IF(Z443=$Z$80,AG443*2,IF(Z443=$Z$79,AG443*2,IF(Z443=$Z$78,AG443*2,0))))))))</f>
        <v>0</v>
      </c>
      <c r="BK443" s="266">
        <f>IF(AA443&gt;0,0,IF(Z443=$Z$92,AG443,0))</f>
        <v>0</v>
      </c>
      <c r="BL443" s="266">
        <f>IF(AA443&gt;0,0,IF(Z443=$Z$91,AG443,0))</f>
        <v>0</v>
      </c>
      <c r="BM443" s="266">
        <f>IF(AA443&gt;0,0,IF(Z443=$Z$86,AG443,0))</f>
        <v>0</v>
      </c>
      <c r="BN443" s="266">
        <f>IF(AA443&gt;0,0,IF(Z443=$Z$87,AG443,0))</f>
        <v>0</v>
      </c>
      <c r="BO443" s="266">
        <f>IF(AA443&gt;0,0,IF(Z443=$Z$88,AG443,0))</f>
        <v>0</v>
      </c>
      <c r="BP443" s="266">
        <f>IF(AA443&gt;0,0,IF(Z443=$Z$89,AG443,0))</f>
        <v>0</v>
      </c>
      <c r="BQ443" s="266">
        <f>IF(AA443&gt;0,0,IF(Z443=$Z$90,AG443,0))</f>
        <v>0</v>
      </c>
      <c r="BR443" s="266">
        <f>IF(Z443=$Z$82,AA443*AG443,0)</f>
        <v>0</v>
      </c>
      <c r="BS443" s="266">
        <f>IF(Z443=$Z$83,AA443*AG443,0)</f>
        <v>0</v>
      </c>
      <c r="BT443" s="266">
        <f>IF(AA443&lt;1,0,IF(Z443=$Z$84,AA443*AG443,IF(Z443=$Z$93,"ERRO",IF(Z443=$Z$100,"ERRO",0))))</f>
        <v>0</v>
      </c>
      <c r="BU443" s="266">
        <f>IF(AA443&lt;1,0,IF(Z443=$Z$85,AA443*AG443,IF(Z443=$Z$93,"ERRO",IF(Z443=$Z$100,"ERRO",0))))</f>
        <v>0</v>
      </c>
      <c r="BV443" s="266">
        <f>IF(Z443=$Z$92,AA443*AG443,0)</f>
        <v>0</v>
      </c>
      <c r="BW443" s="266">
        <f>IF(Z443=$Z$91,AA443*AG443,0)</f>
        <v>0</v>
      </c>
      <c r="BX443" s="266">
        <f>IF(Z443=$Z$86,AA443*AG443,0)</f>
        <v>0</v>
      </c>
      <c r="BY443" s="266">
        <f>IF(Z443=$Z$87,AA443*AG443,0)</f>
        <v>0</v>
      </c>
      <c r="BZ443" s="266">
        <f>IF(Z443=$Z$88,AA443*AG443,0)</f>
        <v>0</v>
      </c>
      <c r="CA443" s="266">
        <f>IF(Z443=$Z$89,AA443*AG443,0)</f>
        <v>0</v>
      </c>
      <c r="CB443" s="266">
        <f>IF(Z443=$Z$90,AA443*AG443,0)</f>
        <v>0</v>
      </c>
      <c r="CC443" s="267">
        <f>IFERROR(IF(L443=$L$49,AG443*AH443*(1+AI443)*(1-AK443)*(1-AL443),0),0)</f>
        <v>0</v>
      </c>
      <c r="CD443" s="268">
        <f>IF(I443=$CD$97,1,IF(I443=$CD$100,2,IF(K443=$K$66,1,IF(K443=$K$69,1,3))))</f>
        <v>1</v>
      </c>
      <c r="CE443" s="268">
        <f t="shared" si="113"/>
        <v>1.07</v>
      </c>
      <c r="CF443" s="269">
        <f t="shared" si="96"/>
        <v>1.2353999999999998</v>
      </c>
      <c r="CG443" s="268">
        <f t="shared" si="114"/>
        <v>1.42</v>
      </c>
      <c r="CH443" s="269">
        <f t="shared" si="97"/>
        <v>1.5478000000000001</v>
      </c>
      <c r="CI443" s="268">
        <f t="shared" si="115"/>
        <v>1.7</v>
      </c>
      <c r="CJ443" s="269">
        <f t="shared" si="107"/>
        <v>1.0486</v>
      </c>
      <c r="CK443" s="269">
        <f t="shared" si="108"/>
        <v>1.148922</v>
      </c>
      <c r="CL443" s="269">
        <f t="shared" si="109"/>
        <v>1.3915999999999999</v>
      </c>
      <c r="CM443" s="269">
        <f t="shared" si="110"/>
        <v>1.501366</v>
      </c>
      <c r="CN443" s="268">
        <f t="shared" si="111"/>
        <v>1.6319999999999999</v>
      </c>
      <c r="CO443" s="269">
        <f t="shared" si="124"/>
        <v>1.006656</v>
      </c>
      <c r="CP443" s="272">
        <f t="shared" si="104"/>
        <v>0</v>
      </c>
      <c r="CQ443" s="273">
        <f t="shared" si="105"/>
        <v>0</v>
      </c>
      <c r="CR443" s="274">
        <f t="shared" si="123"/>
        <v>0</v>
      </c>
      <c r="CS443" s="277"/>
      <c r="CT443" s="277"/>
      <c r="CU443" s="277"/>
      <c r="CV443" s="277"/>
      <c r="CW443" s="277"/>
      <c r="CX443" s="277"/>
      <c r="CY443" s="277"/>
      <c r="CZ443" s="277"/>
      <c r="DA443" s="277"/>
      <c r="DB443" s="277"/>
      <c r="DC443" s="277"/>
      <c r="DD443" s="277"/>
      <c r="DE443" s="277"/>
      <c r="DF443" s="277"/>
      <c r="DG443" s="277"/>
      <c r="DH443" s="277"/>
      <c r="DI443" s="277"/>
      <c r="DJ443" s="277"/>
      <c r="DK443" s="277"/>
      <c r="DL443" s="277"/>
      <c r="DM443" s="277"/>
      <c r="DN443" s="277"/>
      <c r="DO443" s="277"/>
      <c r="DP443" s="277"/>
      <c r="DQ443" s="277"/>
      <c r="DR443" s="277"/>
      <c r="DS443" s="277"/>
      <c r="DT443" s="277"/>
      <c r="DU443" s="277"/>
      <c r="DV443" s="277"/>
      <c r="DW443" s="277"/>
      <c r="DX443" s="277"/>
      <c r="DY443" s="277"/>
      <c r="DZ443" s="277"/>
      <c r="EA443" s="277"/>
      <c r="EB443" s="277"/>
      <c r="EC443" s="277"/>
      <c r="ED443" s="277"/>
      <c r="EE443" s="277"/>
      <c r="EF443" s="277"/>
      <c r="EG443" s="277"/>
      <c r="EH443" s="277"/>
      <c r="EI443" s="277"/>
      <c r="EJ443" s="277"/>
      <c r="EK443" s="277"/>
      <c r="EL443" s="277"/>
      <c r="EM443" s="277"/>
      <c r="EN443" s="277"/>
      <c r="EO443" s="277"/>
      <c r="EP443" s="277"/>
      <c r="EQ443" s="277"/>
      <c r="ER443" s="277"/>
      <c r="ES443" s="277"/>
      <c r="ET443" s="277"/>
      <c r="EU443" s="277"/>
      <c r="EV443" s="277"/>
      <c r="EW443" s="277"/>
      <c r="EX443" s="277"/>
      <c r="EY443" s="277"/>
      <c r="EZ443" s="277"/>
      <c r="FA443" s="277"/>
    </row>
    <row r="444" spans="1:157" s="278" customFormat="1" ht="8.25" x14ac:dyDescent="0.25">
      <c r="A444" s="238">
        <f>IF(AND('[1]Cockpit Retorno'!$E$67=Sim,Mestre!M444=Mestre!$M$98),0,1)</f>
        <v>1</v>
      </c>
      <c r="B444" s="238">
        <f>IF(AND('[1]Cockpit Retorno'!$E$67=Sim,Mestre!L444=Mestre!$L$48),0,1)</f>
        <v>0</v>
      </c>
      <c r="C444" s="238">
        <f>IF(AND('[1]Cockpit Retorno'!$E$67=Sim,Mestre!M444=Mestre!$M$97),0,1)</f>
        <v>1</v>
      </c>
      <c r="D444" s="276" t="s">
        <v>84</v>
      </c>
      <c r="E444" s="240"/>
      <c r="F444" s="241"/>
      <c r="G444" s="242">
        <v>100014</v>
      </c>
      <c r="H444" s="243" t="s">
        <v>84</v>
      </c>
      <c r="I444" s="244" t="str">
        <f t="shared" si="116"/>
        <v>Mercadorias</v>
      </c>
      <c r="J444" s="243" t="s">
        <v>15</v>
      </c>
      <c r="K444" s="245" t="s">
        <v>84</v>
      </c>
      <c r="L444" s="246" t="s">
        <v>15</v>
      </c>
      <c r="M444" s="247"/>
      <c r="N444" s="248" t="s">
        <v>43</v>
      </c>
      <c r="O444" s="248" t="s">
        <v>43</v>
      </c>
      <c r="P444" s="248" t="s">
        <v>43</v>
      </c>
      <c r="Q444" s="248" t="s">
        <v>43</v>
      </c>
      <c r="R444" s="248" t="s">
        <v>43</v>
      </c>
      <c r="S444" s="249" t="s">
        <v>43</v>
      </c>
      <c r="T444" s="243" t="s">
        <v>43</v>
      </c>
      <c r="U444" s="243" t="s">
        <v>43</v>
      </c>
      <c r="V444" s="243" t="s">
        <v>43</v>
      </c>
      <c r="W444" s="243" t="s">
        <v>43</v>
      </c>
      <c r="X444" s="250" t="s">
        <v>579</v>
      </c>
      <c r="Y444" s="243" t="s">
        <v>43</v>
      </c>
      <c r="Z444" s="243" t="s">
        <v>43</v>
      </c>
      <c r="AA444" s="243">
        <v>0</v>
      </c>
      <c r="AB444" s="248" t="s">
        <v>43</v>
      </c>
      <c r="AC444" s="243" t="s">
        <v>43</v>
      </c>
      <c r="AD444" s="248" t="s">
        <v>43</v>
      </c>
      <c r="AE444" s="248" t="s">
        <v>141</v>
      </c>
      <c r="AF444" s="243" t="s">
        <v>43</v>
      </c>
      <c r="AG444" s="251">
        <v>0</v>
      </c>
      <c r="AH444" s="252">
        <v>0</v>
      </c>
      <c r="AI444" s="253">
        <v>0</v>
      </c>
      <c r="AJ444" s="253">
        <v>0</v>
      </c>
      <c r="AK444" s="253">
        <v>0</v>
      </c>
      <c r="AL444" s="253">
        <v>0</v>
      </c>
      <c r="AM444" s="254">
        <f>(((IF(L444=$L$101,1,IF(L444=$L$47,1,0))*(AH444*(1-AK444)))*AG444)*(1-AL444))</f>
        <v>0</v>
      </c>
      <c r="AN444" s="255">
        <f>IF(K444=$K$50,AM444,IF(K444=$K$53,AM444,IF(K444=$K$54,AM444,IF(K444=$K$55,AM444,IF(K444=$K$56,AM444,IF(K444=$K$57,AM444,IF(K444=$K$58,AM444,IF(K444=$K$65,AM444,IF(K444=$K$66,AM444,IF(K444=$K$67,AM444,IF(K444=$K$68,AM444,IF(K444=$K$69,AM444,(AM444*(1+AI444))))))))))))))</f>
        <v>0</v>
      </c>
      <c r="AO444" s="256">
        <v>1.4</v>
      </c>
      <c r="AP444" s="257">
        <f t="shared" si="117"/>
        <v>0</v>
      </c>
      <c r="AQ444" s="258">
        <f t="shared" si="125"/>
        <v>0</v>
      </c>
      <c r="AR444" s="257">
        <f t="shared" si="118"/>
        <v>0</v>
      </c>
      <c r="AS444" s="259">
        <f t="shared" si="119"/>
        <v>0</v>
      </c>
      <c r="AT444" s="260" t="str">
        <f>K444</f>
        <v>PNL</v>
      </c>
      <c r="AU444" s="261" t="str">
        <f>I444</f>
        <v>Mercadorias</v>
      </c>
      <c r="AV444" s="262"/>
      <c r="AW444" s="263">
        <f>IF(K444=$K$50,0,IF(K444=$K$53,0,IF(K444=$K$54,0,IF(K444=$K$55,0,IF(K444=$K$56,0,IF(K444=$K$57,0,IF(K444=$K$58,0,IF(K444=$K$65,0,IF(K444=$K$66,0,IF(K444=$K$67,0,IF(K444=$K$68,0,IF(K444=$K$69,0,1))))))))))))*AM444*AI444</f>
        <v>0</v>
      </c>
      <c r="AX444" s="264">
        <f>IF(K444=$K$50,0,IF(K444=$K$53,0,IF(K444=$K$54,0,IF(K444=$K$55,0,IF(K444=$K$56,0,IF(K444=$K$57,0,IF(K444=$K$58,0,IF(K444=$K$65,0,IF(K444=$K$66,0,IF(K444=$K$67,0,IF(K444=$K$68,0,IF(K444=$K$69,0,1))))))))))))*AM444*AJ444*$AX$94</f>
        <v>0</v>
      </c>
      <c r="AY444" s="264">
        <f>IF(K444=$K$53,0,IF(K444=$K$54,0,IF(K444=$K$55,0,IF(K444=$K$56,0,IF(K444=$K$58,0,IF(K444=$K$50,0,IF(K444=$K$65,0,IF(K444=$K$57,0,IF(K444=$K$51,0,AM444*$AY$102)))))))))</f>
        <v>0</v>
      </c>
      <c r="AZ444" s="264">
        <f>IF(K444=$K$53,0,IF(K444=$K$54,0,IF(K444=$K$55,0,IF(K444=$K$56,0,IF(K444=$K$58,0,IF(K444=$K$50,0,IF(K444=$K$65,0,IF(K444=$K$57,0,AM444*$AZ$102))))))))</f>
        <v>0</v>
      </c>
      <c r="BA444" s="264">
        <f t="shared" si="120"/>
        <v>0</v>
      </c>
      <c r="BB444" s="265">
        <f>IF($BA$97=1,AQ444*$BB$102,IF(K444=$K$50,0,IF(K444=$K$53,0,IF(K444=$K$54,0,IF(K444=$K$55,0,IF(K444=$K$56,0,IF(K444=$K$57,0,IF(K444=$K$58,0,IF(K444=$K$65,0,IF(K444=$K$66,0,IF(K444=$K$67,0,IF(K444=$K$68,0,IF(K444=$K$69,0,IF(K444=$K$51,0,1)))))))))))*AQ444*$BB$102)))</f>
        <v>0</v>
      </c>
      <c r="BC444" s="264">
        <f t="shared" si="121"/>
        <v>0</v>
      </c>
      <c r="BD444" s="264">
        <f t="shared" si="122"/>
        <v>0</v>
      </c>
      <c r="BE444" s="264">
        <f>IF($BE$95=I444,$BE$97,IF(I444=$BE$96,$BE$97,1))*($BE$102*AQ444)*$AZ$97</f>
        <v>0</v>
      </c>
      <c r="BF444" s="264">
        <f>IF('[1]Cockpit Retorno'!$C$65=Sim,Mestre!BA444,SUM(BB444:BE444)+(IF(K444=$K$56,AQ444*MOE_IRRF_LR,0)))</f>
        <v>0</v>
      </c>
      <c r="BG444" s="266">
        <f>IF(AA444&gt;0,0,IF(Z444=$Z$82,AG444*1,(IF(Z444=$Z$81,AG444*1,0))))</f>
        <v>0</v>
      </c>
      <c r="BH444" s="266">
        <f>IF(AA444&gt;0,0,IF(Z444=$Z$83,AG444*1,IF(Z444=$Z$81,AG444*1,0)))</f>
        <v>0</v>
      </c>
      <c r="BI444" s="266">
        <f>IF(AA444&gt;0,0,IF(Z444=$Z$84,AG444*1,IF(Z444=$Z$93,AG444*2,IF(Z444=$Z$100,AG444,IF(Z444=$Z$81,AG444*2,IF(Z444=$Z$80,AG444*1,IF(Z444=$Z$79,AG444*3,IF(Z444=$Z$78,AG444*2,0))))))))</f>
        <v>0</v>
      </c>
      <c r="BJ444" s="266">
        <f>IF(AA444&gt;0,0,IF(Z444=$Z$85,AG444,IF(Z444=$Z$93,AG444,IF(Z444=$Z$100,AG444,IF(Z444=$Z$81,AG444*1,IF(Z444=$Z$80,AG444*2,IF(Z444=$Z$79,AG444*2,IF(Z444=$Z$78,AG444*2,0))))))))</f>
        <v>0</v>
      </c>
      <c r="BK444" s="266">
        <f>IF(AA444&gt;0,0,IF(Z444=$Z$92,AG444,0))</f>
        <v>0</v>
      </c>
      <c r="BL444" s="266">
        <f>IF(AA444&gt;0,0,IF(Z444=$Z$91,AG444,0))</f>
        <v>0</v>
      </c>
      <c r="BM444" s="266">
        <f>IF(AA444&gt;0,0,IF(Z444=$Z$86,AG444,0))</f>
        <v>0</v>
      </c>
      <c r="BN444" s="266">
        <f>IF(AA444&gt;0,0,IF(Z444=$Z$87,AG444,0))</f>
        <v>0</v>
      </c>
      <c r="BO444" s="266">
        <f>IF(AA444&gt;0,0,IF(Z444=$Z$88,AG444,0))</f>
        <v>0</v>
      </c>
      <c r="BP444" s="266">
        <f>IF(AA444&gt;0,0,IF(Z444=$Z$89,AG444,0))</f>
        <v>0</v>
      </c>
      <c r="BQ444" s="266">
        <f>IF(AA444&gt;0,0,IF(Z444=$Z$90,AG444,0))</f>
        <v>0</v>
      </c>
      <c r="BR444" s="266">
        <f>IF(Z444=$Z$82,AA444*AG444,0)</f>
        <v>0</v>
      </c>
      <c r="BS444" s="266">
        <f>IF(Z444=$Z$83,AA444*AG444,0)</f>
        <v>0</v>
      </c>
      <c r="BT444" s="266">
        <f>IF(AA444&lt;1,0,IF(Z444=$Z$84,AA444*AG444,IF(Z444=$Z$93,"ERRO",IF(Z444=$Z$100,"ERRO",0))))</f>
        <v>0</v>
      </c>
      <c r="BU444" s="266">
        <f>IF(AA444&lt;1,0,IF(Z444=$Z$85,AA444*AG444,IF(Z444=$Z$93,"ERRO",IF(Z444=$Z$100,"ERRO",0))))</f>
        <v>0</v>
      </c>
      <c r="BV444" s="266">
        <f>IF(Z444=$Z$92,AA444*AG444,0)</f>
        <v>0</v>
      </c>
      <c r="BW444" s="266">
        <f>IF(Z444=$Z$91,AA444*AG444,0)</f>
        <v>0</v>
      </c>
      <c r="BX444" s="266">
        <f>IF(Z444=$Z$86,AA444*AG444,0)</f>
        <v>0</v>
      </c>
      <c r="BY444" s="266">
        <f>IF(Z444=$Z$87,AA444*AG444,0)</f>
        <v>0</v>
      </c>
      <c r="BZ444" s="266">
        <f>IF(Z444=$Z$88,AA444*AG444,0)</f>
        <v>0</v>
      </c>
      <c r="CA444" s="266">
        <f>IF(Z444=$Z$89,AA444*AG444,0)</f>
        <v>0</v>
      </c>
      <c r="CB444" s="266">
        <f>IF(Z444=$Z$90,AA444*AG444,0)</f>
        <v>0</v>
      </c>
      <c r="CC444" s="267">
        <f>IFERROR(IF(L444=$L$49,AG444*AH444*(1+AI444)*(1-AK444)*(1-AL444),0),0)</f>
        <v>0</v>
      </c>
      <c r="CD444" s="268">
        <f>IF(I444=$CD$97,1,IF(I444=$CD$100,2,IF(K444=$K$66,1,IF(K444=$K$69,1,3))))</f>
        <v>1</v>
      </c>
      <c r="CE444" s="268">
        <f t="shared" si="113"/>
        <v>1.07</v>
      </c>
      <c r="CF444" s="269">
        <f t="shared" si="96"/>
        <v>1.2353999999999998</v>
      </c>
      <c r="CG444" s="268">
        <f t="shared" si="114"/>
        <v>1.42</v>
      </c>
      <c r="CH444" s="269">
        <f t="shared" si="97"/>
        <v>1.5478000000000001</v>
      </c>
      <c r="CI444" s="268">
        <f t="shared" si="115"/>
        <v>1.7</v>
      </c>
      <c r="CJ444" s="269">
        <f t="shared" si="107"/>
        <v>1.0486</v>
      </c>
      <c r="CK444" s="269">
        <f t="shared" si="108"/>
        <v>1.148922</v>
      </c>
      <c r="CL444" s="269">
        <f t="shared" si="109"/>
        <v>1.3915999999999999</v>
      </c>
      <c r="CM444" s="269">
        <f t="shared" si="110"/>
        <v>1.501366</v>
      </c>
      <c r="CN444" s="268">
        <f t="shared" si="111"/>
        <v>1.6319999999999999</v>
      </c>
      <c r="CO444" s="269">
        <f t="shared" si="124"/>
        <v>1.006656</v>
      </c>
      <c r="CP444" s="272">
        <f t="shared" si="104"/>
        <v>0</v>
      </c>
      <c r="CQ444" s="273">
        <f t="shared" si="105"/>
        <v>0</v>
      </c>
      <c r="CR444" s="274">
        <f t="shared" si="123"/>
        <v>0</v>
      </c>
      <c r="CS444" s="277"/>
      <c r="CT444" s="277"/>
      <c r="CU444" s="277"/>
      <c r="CV444" s="277"/>
      <c r="CW444" s="277"/>
      <c r="CX444" s="277"/>
      <c r="CY444" s="277"/>
      <c r="CZ444" s="277"/>
      <c r="DA444" s="277"/>
      <c r="DB444" s="277"/>
      <c r="DC444" s="277"/>
      <c r="DD444" s="277"/>
      <c r="DE444" s="277"/>
      <c r="DF444" s="277"/>
      <c r="DG444" s="277"/>
      <c r="DH444" s="277"/>
      <c r="DI444" s="277"/>
      <c r="DJ444" s="277"/>
      <c r="DK444" s="277"/>
      <c r="DL444" s="277"/>
      <c r="DM444" s="277"/>
      <c r="DN444" s="277"/>
      <c r="DO444" s="277"/>
      <c r="DP444" s="277"/>
      <c r="DQ444" s="277"/>
      <c r="DR444" s="277"/>
      <c r="DS444" s="277"/>
      <c r="DT444" s="277"/>
      <c r="DU444" s="277"/>
      <c r="DV444" s="277"/>
      <c r="DW444" s="277"/>
      <c r="DX444" s="277"/>
      <c r="DY444" s="277"/>
      <c r="DZ444" s="277"/>
      <c r="EA444" s="277"/>
      <c r="EB444" s="277"/>
      <c r="EC444" s="277"/>
      <c r="ED444" s="277"/>
      <c r="EE444" s="277"/>
      <c r="EF444" s="277"/>
      <c r="EG444" s="277"/>
      <c r="EH444" s="277"/>
      <c r="EI444" s="277"/>
      <c r="EJ444" s="277"/>
      <c r="EK444" s="277"/>
      <c r="EL444" s="277"/>
      <c r="EM444" s="277"/>
      <c r="EN444" s="277"/>
      <c r="EO444" s="277"/>
      <c r="EP444" s="277"/>
      <c r="EQ444" s="277"/>
      <c r="ER444" s="277"/>
      <c r="ES444" s="277"/>
      <c r="ET444" s="277"/>
      <c r="EU444" s="277"/>
      <c r="EV444" s="277"/>
      <c r="EW444" s="277"/>
      <c r="EX444" s="277"/>
      <c r="EY444" s="277"/>
      <c r="EZ444" s="277"/>
      <c r="FA444" s="277"/>
    </row>
    <row r="445" spans="1:157" s="278" customFormat="1" ht="8.25" x14ac:dyDescent="0.25">
      <c r="A445" s="238">
        <f>IF(AND('[1]Cockpit Retorno'!$E$67=Sim,Mestre!M445=Mestre!$M$98),0,1)</f>
        <v>1</v>
      </c>
      <c r="B445" s="238">
        <f>IF(AND('[1]Cockpit Retorno'!$E$67=Sim,Mestre!L445=Mestre!$L$48),0,1)</f>
        <v>0</v>
      </c>
      <c r="C445" s="238">
        <f>IF(AND('[1]Cockpit Retorno'!$E$67=Sim,Mestre!M445=Mestre!$M$97),0,1)</f>
        <v>1</v>
      </c>
      <c r="D445" s="276" t="s">
        <v>578</v>
      </c>
      <c r="E445" s="240"/>
      <c r="F445" s="241"/>
      <c r="G445" s="242">
        <v>100015</v>
      </c>
      <c r="H445" s="243" t="s">
        <v>89</v>
      </c>
      <c r="I445" s="244" t="str">
        <f t="shared" si="116"/>
        <v>Mercadorias</v>
      </c>
      <c r="J445" s="243" t="s">
        <v>15</v>
      </c>
      <c r="K445" s="245" t="s">
        <v>89</v>
      </c>
      <c r="L445" s="246" t="s">
        <v>15</v>
      </c>
      <c r="M445" s="247"/>
      <c r="N445" s="248" t="s">
        <v>43</v>
      </c>
      <c r="O445" s="248" t="s">
        <v>43</v>
      </c>
      <c r="P445" s="248" t="s">
        <v>43</v>
      </c>
      <c r="Q445" s="248" t="s">
        <v>43</v>
      </c>
      <c r="R445" s="248" t="s">
        <v>43</v>
      </c>
      <c r="S445" s="249" t="s">
        <v>43</v>
      </c>
      <c r="T445" s="243" t="s">
        <v>43</v>
      </c>
      <c r="U445" s="243" t="s">
        <v>43</v>
      </c>
      <c r="V445" s="243" t="s">
        <v>43</v>
      </c>
      <c r="W445" s="243" t="s">
        <v>43</v>
      </c>
      <c r="X445" s="250" t="s">
        <v>594</v>
      </c>
      <c r="Y445" s="243" t="s">
        <v>43</v>
      </c>
      <c r="Z445" s="243" t="s">
        <v>43</v>
      </c>
      <c r="AA445" s="243">
        <v>0</v>
      </c>
      <c r="AB445" s="248" t="s">
        <v>43</v>
      </c>
      <c r="AC445" s="243" t="s">
        <v>43</v>
      </c>
      <c r="AD445" s="248" t="s">
        <v>43</v>
      </c>
      <c r="AE445" s="248" t="s">
        <v>141</v>
      </c>
      <c r="AF445" s="243" t="s">
        <v>43</v>
      </c>
      <c r="AG445" s="251">
        <v>0</v>
      </c>
      <c r="AH445" s="252">
        <v>0</v>
      </c>
      <c r="AI445" s="253">
        <v>0</v>
      </c>
      <c r="AJ445" s="253">
        <v>0</v>
      </c>
      <c r="AK445" s="253">
        <v>0</v>
      </c>
      <c r="AL445" s="253">
        <v>0</v>
      </c>
      <c r="AM445" s="254">
        <f>(((IF(L445=$L$101,1,IF(L445=$L$47,1,0))*(AH445*(1-AK445)))*AG445)*(1-AL445))</f>
        <v>0</v>
      </c>
      <c r="AN445" s="255">
        <f>IF(K445=$K$50,AM445,IF(K445=$K$53,AM445,IF(K445=$K$54,AM445,IF(K445=$K$55,AM445,IF(K445=$K$56,AM445,IF(K445=$K$57,AM445,IF(K445=$K$58,AM445,IF(K445=$K$65,AM445,IF(K445=$K$66,AM445,IF(K445=$K$67,AM445,IF(K445=$K$68,AM445,IF(K445=$K$69,AM445,(AM445*(1+AI445))))))))))))))</f>
        <v>0</v>
      </c>
      <c r="AO445" s="256">
        <v>1.4</v>
      </c>
      <c r="AP445" s="257">
        <f t="shared" si="117"/>
        <v>0</v>
      </c>
      <c r="AQ445" s="258">
        <f t="shared" si="125"/>
        <v>0</v>
      </c>
      <c r="AR445" s="257">
        <f t="shared" si="118"/>
        <v>0</v>
      </c>
      <c r="AS445" s="259">
        <f t="shared" si="119"/>
        <v>0</v>
      </c>
      <c r="AT445" s="260" t="str">
        <f>K445</f>
        <v>PROD</v>
      </c>
      <c r="AU445" s="261" t="str">
        <f>I445</f>
        <v>Mercadorias</v>
      </c>
      <c r="AV445" s="262"/>
      <c r="AW445" s="263">
        <f>IF(K445=$K$50,0,IF(K445=$K$53,0,IF(K445=$K$54,0,IF(K445=$K$55,0,IF(K445=$K$56,0,IF(K445=$K$57,0,IF(K445=$K$58,0,IF(K445=$K$65,0,IF(K445=$K$66,0,IF(K445=$K$67,0,IF(K445=$K$68,0,IF(K445=$K$69,0,1))))))))))))*AM445*AI445</f>
        <v>0</v>
      </c>
      <c r="AX445" s="264">
        <f>IF(K445=$K$50,0,IF(K445=$K$53,0,IF(K445=$K$54,0,IF(K445=$K$55,0,IF(K445=$K$56,0,IF(K445=$K$57,0,IF(K445=$K$58,0,IF(K445=$K$65,0,IF(K445=$K$66,0,IF(K445=$K$67,0,IF(K445=$K$68,0,IF(K445=$K$69,0,1))))))))))))*AM445*AJ445*$AX$94</f>
        <v>0</v>
      </c>
      <c r="AY445" s="264">
        <f>IF(K445=$K$53,0,IF(K445=$K$54,0,IF(K445=$K$55,0,IF(K445=$K$56,0,IF(K445=$K$58,0,IF(K445=$K$50,0,IF(K445=$K$65,0,IF(K445=$K$57,0,IF(K445=$K$51,0,AM445*$AY$102)))))))))</f>
        <v>0</v>
      </c>
      <c r="AZ445" s="264">
        <f>IF(K445=$K$53,0,IF(K445=$K$54,0,IF(K445=$K$55,0,IF(K445=$K$56,0,IF(K445=$K$58,0,IF(K445=$K$50,0,IF(K445=$K$65,0,IF(K445=$K$57,0,AM445*$AZ$102))))))))</f>
        <v>0</v>
      </c>
      <c r="BA445" s="264">
        <f t="shared" si="120"/>
        <v>0</v>
      </c>
      <c r="BB445" s="265">
        <f>IF($BA$97=1,AQ445*$BB$102,IF(K445=$K$50,0,IF(K445=$K$53,0,IF(K445=$K$54,0,IF(K445=$K$55,0,IF(K445=$K$56,0,IF(K445=$K$57,0,IF(K445=$K$58,0,IF(K445=$K$65,0,IF(K445=$K$66,0,IF(K445=$K$67,0,IF(K445=$K$68,0,IF(K445=$K$69,0,IF(K445=$K$51,0,1)))))))))))*AQ445*$BB$102)))</f>
        <v>0</v>
      </c>
      <c r="BC445" s="264">
        <f t="shared" si="121"/>
        <v>0</v>
      </c>
      <c r="BD445" s="264">
        <f t="shared" si="122"/>
        <v>0</v>
      </c>
      <c r="BE445" s="264">
        <f>IF($BE$95=I445,$BE$97,IF(I445=$BE$96,$BE$97,1))*($BE$102*AQ445)*$AZ$97</f>
        <v>0</v>
      </c>
      <c r="BF445" s="264">
        <f>IF('[1]Cockpit Retorno'!$C$65=Sim,Mestre!BA445,SUM(BB445:BE445)+(IF(K445=$K$56,AQ445*MOE_IRRF_LR,0)))</f>
        <v>0</v>
      </c>
      <c r="BG445" s="266">
        <f>IF(AA445&gt;0,0,IF(Z445=$Z$82,AG445*1,(IF(Z445=$Z$81,AG445*1,0))))</f>
        <v>0</v>
      </c>
      <c r="BH445" s="266">
        <f>IF(AA445&gt;0,0,IF(Z445=$Z$83,AG445*1,IF(Z445=$Z$81,AG445*1,0)))</f>
        <v>0</v>
      </c>
      <c r="BI445" s="266">
        <f>IF(AA445&gt;0,0,IF(Z445=$Z$84,AG445*1,IF(Z445=$Z$93,AG445*2,IF(Z445=$Z$100,AG445,IF(Z445=$Z$81,AG445*2,IF(Z445=$Z$80,AG445*1,IF(Z445=$Z$79,AG445*3,IF(Z445=$Z$78,AG445*2,0))))))))</f>
        <v>0</v>
      </c>
      <c r="BJ445" s="266">
        <f>IF(AA445&gt;0,0,IF(Z445=$Z$85,AG445,IF(Z445=$Z$93,AG445,IF(Z445=$Z$100,AG445,IF(Z445=$Z$81,AG445*1,IF(Z445=$Z$80,AG445*2,IF(Z445=$Z$79,AG445*2,IF(Z445=$Z$78,AG445*2,0))))))))</f>
        <v>0</v>
      </c>
      <c r="BK445" s="266">
        <f>IF(AA445&gt;0,0,IF(Z445=$Z$92,AG445,0))</f>
        <v>0</v>
      </c>
      <c r="BL445" s="266">
        <f>IF(AA445&gt;0,0,IF(Z445=$Z$91,AG445,0))</f>
        <v>0</v>
      </c>
      <c r="BM445" s="266">
        <f>IF(AA445&gt;0,0,IF(Z445=$Z$86,AG445,0))</f>
        <v>0</v>
      </c>
      <c r="BN445" s="266">
        <f>IF(AA445&gt;0,0,IF(Z445=$Z$87,AG445,0))</f>
        <v>0</v>
      </c>
      <c r="BO445" s="266">
        <f>IF(AA445&gt;0,0,IF(Z445=$Z$88,AG445,0))</f>
        <v>0</v>
      </c>
      <c r="BP445" s="266">
        <f>IF(AA445&gt;0,0,IF(Z445=$Z$89,AG445,0))</f>
        <v>0</v>
      </c>
      <c r="BQ445" s="266">
        <f>IF(AA445&gt;0,0,IF(Z445=$Z$90,AG445,0))</f>
        <v>0</v>
      </c>
      <c r="BR445" s="266">
        <f>IF(Z445=$Z$82,AA445*AG445,0)</f>
        <v>0</v>
      </c>
      <c r="BS445" s="266">
        <f>IF(Z445=$Z$83,AA445*AG445,0)</f>
        <v>0</v>
      </c>
      <c r="BT445" s="266">
        <f>IF(AA445&lt;1,0,IF(Z445=$Z$84,AA445*AG445,IF(Z445=$Z$93,"ERRO",IF(Z445=$Z$100,"ERRO",0))))</f>
        <v>0</v>
      </c>
      <c r="BU445" s="266">
        <f>IF(AA445&lt;1,0,IF(Z445=$Z$85,AA445*AG445,IF(Z445=$Z$93,"ERRO",IF(Z445=$Z$100,"ERRO",0))))</f>
        <v>0</v>
      </c>
      <c r="BV445" s="266">
        <f>IF(Z445=$Z$92,AA445*AG445,0)</f>
        <v>0</v>
      </c>
      <c r="BW445" s="266">
        <f>IF(Z445=$Z$91,AA445*AG445,0)</f>
        <v>0</v>
      </c>
      <c r="BX445" s="266">
        <f>IF(Z445=$Z$86,AA445*AG445,0)</f>
        <v>0</v>
      </c>
      <c r="BY445" s="266">
        <f>IF(Z445=$Z$87,AA445*AG445,0)</f>
        <v>0</v>
      </c>
      <c r="BZ445" s="266">
        <f>IF(Z445=$Z$88,AA445*AG445,0)</f>
        <v>0</v>
      </c>
      <c r="CA445" s="266">
        <f>IF(Z445=$Z$89,AA445*AG445,0)</f>
        <v>0</v>
      </c>
      <c r="CB445" s="266">
        <f>IF(Z445=$Z$90,AA445*AG445,0)</f>
        <v>0</v>
      </c>
      <c r="CC445" s="267">
        <f>IFERROR(IF(L445=$L$49,AG445*AH445*(1+AI445)*(1-AK445)*(1-AL445),0),0)</f>
        <v>0</v>
      </c>
      <c r="CD445" s="268">
        <f>IF(I445=$CD$97,1,IF(I445=$CD$100,2,IF(K445=$K$66,1,IF(K445=$K$69,1,3))))</f>
        <v>1</v>
      </c>
      <c r="CE445" s="268">
        <f t="shared" si="113"/>
        <v>1.07</v>
      </c>
      <c r="CF445" s="269">
        <f t="shared" si="96"/>
        <v>1.2353999999999998</v>
      </c>
      <c r="CG445" s="268">
        <f t="shared" si="114"/>
        <v>1.42</v>
      </c>
      <c r="CH445" s="269">
        <f t="shared" si="97"/>
        <v>1.5478000000000001</v>
      </c>
      <c r="CI445" s="268">
        <f t="shared" si="115"/>
        <v>1.7</v>
      </c>
      <c r="CJ445" s="269">
        <f t="shared" si="107"/>
        <v>1.0486</v>
      </c>
      <c r="CK445" s="269">
        <f t="shared" si="108"/>
        <v>1.148922</v>
      </c>
      <c r="CL445" s="269">
        <f t="shared" si="109"/>
        <v>1.3915999999999999</v>
      </c>
      <c r="CM445" s="269">
        <f t="shared" si="110"/>
        <v>1.501366</v>
      </c>
      <c r="CN445" s="268">
        <f t="shared" si="111"/>
        <v>1.6319999999999999</v>
      </c>
      <c r="CO445" s="269">
        <f t="shared" si="124"/>
        <v>1.006656</v>
      </c>
      <c r="CP445" s="272">
        <f t="shared" si="104"/>
        <v>0</v>
      </c>
      <c r="CQ445" s="273">
        <f t="shared" si="105"/>
        <v>0</v>
      </c>
      <c r="CR445" s="274">
        <f t="shared" si="123"/>
        <v>0</v>
      </c>
      <c r="CS445" s="277"/>
      <c r="CT445" s="277"/>
      <c r="CU445" s="277"/>
      <c r="CV445" s="277"/>
      <c r="CW445" s="277"/>
      <c r="CX445" s="277"/>
      <c r="CY445" s="277"/>
      <c r="CZ445" s="277"/>
      <c r="DA445" s="277"/>
      <c r="DB445" s="277"/>
      <c r="DC445" s="277"/>
      <c r="DD445" s="277"/>
      <c r="DE445" s="277"/>
      <c r="DF445" s="277"/>
      <c r="DG445" s="277"/>
      <c r="DH445" s="277"/>
      <c r="DI445" s="277"/>
      <c r="DJ445" s="277"/>
      <c r="DK445" s="277"/>
      <c r="DL445" s="277"/>
      <c r="DM445" s="277"/>
      <c r="DN445" s="277"/>
      <c r="DO445" s="277"/>
      <c r="DP445" s="277"/>
      <c r="DQ445" s="277"/>
      <c r="DR445" s="277"/>
      <c r="DS445" s="277"/>
      <c r="DT445" s="277"/>
      <c r="DU445" s="277"/>
      <c r="DV445" s="277"/>
      <c r="DW445" s="277"/>
      <c r="DX445" s="277"/>
      <c r="DY445" s="277"/>
      <c r="DZ445" s="277"/>
      <c r="EA445" s="277"/>
      <c r="EB445" s="277"/>
      <c r="EC445" s="277"/>
      <c r="ED445" s="277"/>
      <c r="EE445" s="277"/>
      <c r="EF445" s="277"/>
      <c r="EG445" s="277"/>
      <c r="EH445" s="277"/>
      <c r="EI445" s="277"/>
      <c r="EJ445" s="277"/>
      <c r="EK445" s="277"/>
      <c r="EL445" s="277"/>
      <c r="EM445" s="277"/>
      <c r="EN445" s="277"/>
      <c r="EO445" s="277"/>
      <c r="EP445" s="277"/>
      <c r="EQ445" s="277"/>
      <c r="ER445" s="277"/>
      <c r="ES445" s="277"/>
      <c r="ET445" s="277"/>
      <c r="EU445" s="277"/>
      <c r="EV445" s="277"/>
      <c r="EW445" s="277"/>
      <c r="EX445" s="277"/>
      <c r="EY445" s="277"/>
      <c r="EZ445" s="277"/>
      <c r="FA445" s="277"/>
    </row>
    <row r="446" spans="1:157" s="278" customFormat="1" ht="8.25" x14ac:dyDescent="0.25">
      <c r="A446" s="238">
        <f>IF(AND('[1]Cockpit Retorno'!$E$67=Sim,Mestre!M446=Mestre!$M$98),0,1)</f>
        <v>1</v>
      </c>
      <c r="B446" s="238">
        <f>IF(AND('[1]Cockpit Retorno'!$E$67=Sim,Mestre!L446=Mestre!$L$48),0,1)</f>
        <v>0</v>
      </c>
      <c r="C446" s="238">
        <f>IF(AND('[1]Cockpit Retorno'!$E$67=Sim,Mestre!M446=Mestre!$M$97),0,1)</f>
        <v>1</v>
      </c>
      <c r="D446" s="239" t="s">
        <v>289</v>
      </c>
      <c r="E446" s="240"/>
      <c r="F446" s="241"/>
      <c r="G446" s="242">
        <v>100016</v>
      </c>
      <c r="H446" s="243" t="s">
        <v>94</v>
      </c>
      <c r="I446" s="244" t="str">
        <f t="shared" si="116"/>
        <v>Mercadorias</v>
      </c>
      <c r="J446" s="243" t="s">
        <v>15</v>
      </c>
      <c r="K446" s="245" t="s">
        <v>94</v>
      </c>
      <c r="L446" s="246" t="s">
        <v>15</v>
      </c>
      <c r="M446" s="247"/>
      <c r="N446" s="248" t="s">
        <v>43</v>
      </c>
      <c r="O446" s="248" t="s">
        <v>43</v>
      </c>
      <c r="P446" s="248" t="s">
        <v>43</v>
      </c>
      <c r="Q446" s="248" t="s">
        <v>43</v>
      </c>
      <c r="R446" s="248" t="s">
        <v>43</v>
      </c>
      <c r="S446" s="249" t="s">
        <v>43</v>
      </c>
      <c r="T446" s="243" t="s">
        <v>43</v>
      </c>
      <c r="U446" s="243" t="s">
        <v>43</v>
      </c>
      <c r="V446" s="243" t="s">
        <v>43</v>
      </c>
      <c r="W446" s="243" t="s">
        <v>43</v>
      </c>
      <c r="X446" s="250" t="s">
        <v>595</v>
      </c>
      <c r="Y446" s="243" t="s">
        <v>43</v>
      </c>
      <c r="Z446" s="243" t="s">
        <v>43</v>
      </c>
      <c r="AA446" s="243">
        <v>0</v>
      </c>
      <c r="AB446" s="248" t="s">
        <v>43</v>
      </c>
      <c r="AC446" s="243" t="s">
        <v>43</v>
      </c>
      <c r="AD446" s="248" t="s">
        <v>43</v>
      </c>
      <c r="AE446" s="248" t="s">
        <v>141</v>
      </c>
      <c r="AF446" s="243" t="s">
        <v>43</v>
      </c>
      <c r="AG446" s="251">
        <v>0</v>
      </c>
      <c r="AH446" s="252">
        <v>0</v>
      </c>
      <c r="AI446" s="253">
        <v>0</v>
      </c>
      <c r="AJ446" s="253">
        <v>0</v>
      </c>
      <c r="AK446" s="253">
        <v>0</v>
      </c>
      <c r="AL446" s="253">
        <v>0</v>
      </c>
      <c r="AM446" s="254">
        <f>(((IF(L446=$L$101,1,IF(L446=$L$47,1,0))*(AH446*(1-AK446)))*AG446)*(1-AL446))</f>
        <v>0</v>
      </c>
      <c r="AN446" s="255">
        <f>IF(K446=$K$50,AM446,IF(K446=$K$53,AM446,IF(K446=$K$54,AM446,IF(K446=$K$55,AM446,IF(K446=$K$56,AM446,IF(K446=$K$57,AM446,IF(K446=$K$58,AM446,IF(K446=$K$65,AM446,IF(K446=$K$66,AM446,IF(K446=$K$67,AM446,IF(K446=$K$68,AM446,IF(K446=$K$69,AM446,(AM446*(1+AI446))))))))))))))</f>
        <v>0</v>
      </c>
      <c r="AO446" s="256">
        <v>1.4</v>
      </c>
      <c r="AP446" s="257">
        <f t="shared" si="117"/>
        <v>0</v>
      </c>
      <c r="AQ446" s="258">
        <f t="shared" si="125"/>
        <v>0</v>
      </c>
      <c r="AR446" s="257">
        <f t="shared" si="118"/>
        <v>0</v>
      </c>
      <c r="AS446" s="259">
        <f t="shared" si="119"/>
        <v>0</v>
      </c>
      <c r="AT446" s="260" t="str">
        <f>K446</f>
        <v>PROD REDE</v>
      </c>
      <c r="AU446" s="261" t="str">
        <f>I446</f>
        <v>Mercadorias</v>
      </c>
      <c r="AV446" s="262"/>
      <c r="AW446" s="263">
        <f>IF(K446=$K$50,0,IF(K446=$K$53,0,IF(K446=$K$54,0,IF(K446=$K$55,0,IF(K446=$K$56,0,IF(K446=$K$57,0,IF(K446=$K$58,0,IF(K446=$K$65,0,IF(K446=$K$66,0,IF(K446=$K$67,0,IF(K446=$K$68,0,IF(K446=$K$69,0,1))))))))))))*AM446*AI446</f>
        <v>0</v>
      </c>
      <c r="AX446" s="264">
        <f>IF(K446=$K$50,0,IF(K446=$K$53,0,IF(K446=$K$54,0,IF(K446=$K$55,0,IF(K446=$K$56,0,IF(K446=$K$57,0,IF(K446=$K$58,0,IF(K446=$K$65,0,IF(K446=$K$66,0,IF(K446=$K$67,0,IF(K446=$K$68,0,IF(K446=$K$69,0,1))))))))))))*AM446*AJ446*$AX$94</f>
        <v>0</v>
      </c>
      <c r="AY446" s="264">
        <f>IF(K446=$K$53,0,IF(K446=$K$54,0,IF(K446=$K$55,0,IF(K446=$K$56,0,IF(K446=$K$58,0,IF(K446=$K$50,0,IF(K446=$K$65,0,IF(K446=$K$57,0,IF(K446=$K$51,0,AM446*$AY$102)))))))))</f>
        <v>0</v>
      </c>
      <c r="AZ446" s="264">
        <f>IF(K446=$K$53,0,IF(K446=$K$54,0,IF(K446=$K$55,0,IF(K446=$K$56,0,IF(K446=$K$58,0,IF(K446=$K$50,0,IF(K446=$K$65,0,IF(K446=$K$57,0,AM446*$AZ$102))))))))</f>
        <v>0</v>
      </c>
      <c r="BA446" s="264">
        <f t="shared" si="120"/>
        <v>0</v>
      </c>
      <c r="BB446" s="265">
        <f>IF($BA$97=1,AQ446*$BB$102,IF(K446=$K$50,0,IF(K446=$K$53,0,IF(K446=$K$54,0,IF(K446=$K$55,0,IF(K446=$K$56,0,IF(K446=$K$57,0,IF(K446=$K$58,0,IF(K446=$K$65,0,IF(K446=$K$66,0,IF(K446=$K$67,0,IF(K446=$K$68,0,IF(K446=$K$69,0,IF(K446=$K$51,0,1)))))))))))*AQ446*$BB$102)))</f>
        <v>0</v>
      </c>
      <c r="BC446" s="264">
        <f t="shared" si="121"/>
        <v>0</v>
      </c>
      <c r="BD446" s="264">
        <f t="shared" si="122"/>
        <v>0</v>
      </c>
      <c r="BE446" s="264">
        <f>IF($BE$95=I446,$BE$97,IF(I446=$BE$96,$BE$97,1))*($BE$102*AQ446)*$AZ$97</f>
        <v>0</v>
      </c>
      <c r="BF446" s="264">
        <f>IF('[1]Cockpit Retorno'!$C$65=Sim,Mestre!BA446,SUM(BB446:BE446)+(IF(K446=$K$56,AQ446*MOE_IRRF_LR,0)))</f>
        <v>0</v>
      </c>
      <c r="BG446" s="266">
        <f>IF(AA446&gt;0,0,IF(Z446=$Z$82,AG446*1,(IF(Z446=$Z$81,AG446*1,0))))</f>
        <v>0</v>
      </c>
      <c r="BH446" s="266">
        <f>IF(AA446&gt;0,0,IF(Z446=$Z$83,AG446*1,IF(Z446=$Z$81,AG446*1,0)))</f>
        <v>0</v>
      </c>
      <c r="BI446" s="266">
        <f>IF(AA446&gt;0,0,IF(Z446=$Z$84,AG446*1,IF(Z446=$Z$93,AG446*2,IF(Z446=$Z$100,AG446,IF(Z446=$Z$81,AG446*2,IF(Z446=$Z$80,AG446*1,IF(Z446=$Z$79,AG446*3,IF(Z446=$Z$78,AG446*2,0))))))))</f>
        <v>0</v>
      </c>
      <c r="BJ446" s="266">
        <f>IF(AA446&gt;0,0,IF(Z446=$Z$85,AG446,IF(Z446=$Z$93,AG446,IF(Z446=$Z$100,AG446,IF(Z446=$Z$81,AG446*1,IF(Z446=$Z$80,AG446*2,IF(Z446=$Z$79,AG446*2,IF(Z446=$Z$78,AG446*2,0))))))))</f>
        <v>0</v>
      </c>
      <c r="BK446" s="266">
        <f>IF(AA446&gt;0,0,IF(Z446=$Z$92,AG446,0))</f>
        <v>0</v>
      </c>
      <c r="BL446" s="266">
        <f>IF(AA446&gt;0,0,IF(Z446=$Z$91,AG446,0))</f>
        <v>0</v>
      </c>
      <c r="BM446" s="266">
        <f>IF(AA446&gt;0,0,IF(Z446=$Z$86,AG446,0))</f>
        <v>0</v>
      </c>
      <c r="BN446" s="266">
        <f>IF(AA446&gt;0,0,IF(Z446=$Z$87,AG446,0))</f>
        <v>0</v>
      </c>
      <c r="BO446" s="266">
        <f>IF(AA446&gt;0,0,IF(Z446=$Z$88,AG446,0))</f>
        <v>0</v>
      </c>
      <c r="BP446" s="266">
        <f>IF(AA446&gt;0,0,IF(Z446=$Z$89,AG446,0))</f>
        <v>0</v>
      </c>
      <c r="BQ446" s="266">
        <f>IF(AA446&gt;0,0,IF(Z446=$Z$90,AG446,0))</f>
        <v>0</v>
      </c>
      <c r="BR446" s="266">
        <f>IF(Z446=$Z$82,AA446*AG446,0)</f>
        <v>0</v>
      </c>
      <c r="BS446" s="266">
        <f>IF(Z446=$Z$83,AA446*AG446,0)</f>
        <v>0</v>
      </c>
      <c r="BT446" s="266">
        <f>IF(AA446&lt;1,0,IF(Z446=$Z$84,AA446*AG446,IF(Z446=$Z$93,"ERRO",IF(Z446=$Z$100,"ERRO",0))))</f>
        <v>0</v>
      </c>
      <c r="BU446" s="266">
        <f>IF(AA446&lt;1,0,IF(Z446=$Z$85,AA446*AG446,IF(Z446=$Z$93,"ERRO",IF(Z446=$Z$100,"ERRO",0))))</f>
        <v>0</v>
      </c>
      <c r="BV446" s="266">
        <f>IF(Z446=$Z$92,AA446*AG446,0)</f>
        <v>0</v>
      </c>
      <c r="BW446" s="266">
        <f>IF(Z446=$Z$91,AA446*AG446,0)</f>
        <v>0</v>
      </c>
      <c r="BX446" s="266">
        <f>IF(Z446=$Z$86,AA446*AG446,0)</f>
        <v>0</v>
      </c>
      <c r="BY446" s="266">
        <f>IF(Z446=$Z$87,AA446*AG446,0)</f>
        <v>0</v>
      </c>
      <c r="BZ446" s="266">
        <f>IF(Z446=$Z$88,AA446*AG446,0)</f>
        <v>0</v>
      </c>
      <c r="CA446" s="266">
        <f>IF(Z446=$Z$89,AA446*AG446,0)</f>
        <v>0</v>
      </c>
      <c r="CB446" s="266">
        <f>IF(Z446=$Z$90,AA446*AG446,0)</f>
        <v>0</v>
      </c>
      <c r="CC446" s="267">
        <f>IFERROR(IF(L446=$L$49,AG446*AH446*(1+AI446)*(1-AK446)*(1-AL446),0),0)</f>
        <v>0</v>
      </c>
      <c r="CD446" s="268">
        <f>IF(I446=$CD$97,1,IF(I446=$CD$100,2,IF(K446=$K$66,1,IF(K446=$K$69,1,3))))</f>
        <v>1</v>
      </c>
      <c r="CE446" s="268">
        <f t="shared" si="113"/>
        <v>1.07</v>
      </c>
      <c r="CF446" s="269">
        <f t="shared" si="96"/>
        <v>1.2353999999999998</v>
      </c>
      <c r="CG446" s="268">
        <f t="shared" si="114"/>
        <v>1.42</v>
      </c>
      <c r="CH446" s="269">
        <f t="shared" si="97"/>
        <v>1.5478000000000001</v>
      </c>
      <c r="CI446" s="268">
        <f t="shared" si="115"/>
        <v>1.7</v>
      </c>
      <c r="CJ446" s="269">
        <f t="shared" si="107"/>
        <v>1.0486</v>
      </c>
      <c r="CK446" s="269">
        <f t="shared" si="108"/>
        <v>1.148922</v>
      </c>
      <c r="CL446" s="269">
        <f t="shared" si="109"/>
        <v>1.3915999999999999</v>
      </c>
      <c r="CM446" s="269">
        <f t="shared" si="110"/>
        <v>1.501366</v>
      </c>
      <c r="CN446" s="268">
        <f t="shared" si="111"/>
        <v>1.6319999999999999</v>
      </c>
      <c r="CO446" s="269">
        <f t="shared" si="124"/>
        <v>1.006656</v>
      </c>
      <c r="CP446" s="272">
        <f t="shared" si="104"/>
        <v>0</v>
      </c>
      <c r="CQ446" s="273">
        <f t="shared" si="105"/>
        <v>0</v>
      </c>
      <c r="CR446" s="274">
        <f t="shared" si="123"/>
        <v>0</v>
      </c>
      <c r="CS446" s="277"/>
      <c r="CT446" s="277"/>
      <c r="CU446" s="277"/>
      <c r="CV446" s="277"/>
      <c r="CW446" s="277"/>
      <c r="CX446" s="277"/>
      <c r="CY446" s="277"/>
      <c r="CZ446" s="277"/>
      <c r="DA446" s="277"/>
      <c r="DB446" s="277"/>
      <c r="DC446" s="277"/>
      <c r="DD446" s="277"/>
      <c r="DE446" s="277"/>
      <c r="DF446" s="277"/>
      <c r="DG446" s="277"/>
      <c r="DH446" s="277"/>
      <c r="DI446" s="277"/>
      <c r="DJ446" s="277"/>
      <c r="DK446" s="277"/>
      <c r="DL446" s="277"/>
      <c r="DM446" s="277"/>
      <c r="DN446" s="277"/>
      <c r="DO446" s="277"/>
      <c r="DP446" s="277"/>
      <c r="DQ446" s="277"/>
      <c r="DR446" s="277"/>
      <c r="DS446" s="277"/>
      <c r="DT446" s="277"/>
      <c r="DU446" s="277"/>
      <c r="DV446" s="277"/>
      <c r="DW446" s="277"/>
      <c r="DX446" s="277"/>
      <c r="DY446" s="277"/>
      <c r="DZ446" s="277"/>
      <c r="EA446" s="277"/>
      <c r="EB446" s="277"/>
      <c r="EC446" s="277"/>
      <c r="ED446" s="277"/>
      <c r="EE446" s="277"/>
      <c r="EF446" s="277"/>
      <c r="EG446" s="277"/>
      <c r="EH446" s="277"/>
      <c r="EI446" s="277"/>
      <c r="EJ446" s="277"/>
      <c r="EK446" s="277"/>
      <c r="EL446" s="277"/>
      <c r="EM446" s="277"/>
      <c r="EN446" s="277"/>
      <c r="EO446" s="277"/>
      <c r="EP446" s="277"/>
      <c r="EQ446" s="277"/>
      <c r="ER446" s="277"/>
      <c r="ES446" s="277"/>
      <c r="ET446" s="277"/>
      <c r="EU446" s="277"/>
      <c r="EV446" s="277"/>
      <c r="EW446" s="277"/>
      <c r="EX446" s="277"/>
      <c r="EY446" s="277"/>
      <c r="EZ446" s="277"/>
      <c r="FA446" s="277"/>
    </row>
    <row r="447" spans="1:157" s="278" customFormat="1" ht="8.25" x14ac:dyDescent="0.25">
      <c r="A447" s="238">
        <f>IF(AND('[1]Cockpit Retorno'!$E$67=Sim,Mestre!M447=Mestre!$M$98),0,1)</f>
        <v>1</v>
      </c>
      <c r="B447" s="238">
        <f>IF(AND('[1]Cockpit Retorno'!$E$67=Sim,Mestre!L447=Mestre!$L$48),0,1)</f>
        <v>0</v>
      </c>
      <c r="C447" s="238">
        <f>IF(AND('[1]Cockpit Retorno'!$E$67=Sim,Mestre!M447=Mestre!$M$97),0,1)</f>
        <v>1</v>
      </c>
      <c r="D447" s="239" t="s">
        <v>289</v>
      </c>
      <c r="E447" s="240"/>
      <c r="F447" s="241"/>
      <c r="G447" s="242">
        <v>100017</v>
      </c>
      <c r="H447" s="243" t="s">
        <v>99</v>
      </c>
      <c r="I447" s="244" t="str">
        <f t="shared" si="116"/>
        <v>Mercadorias</v>
      </c>
      <c r="J447" s="243" t="s">
        <v>15</v>
      </c>
      <c r="K447" s="245" t="s">
        <v>99</v>
      </c>
      <c r="L447" s="246" t="s">
        <v>15</v>
      </c>
      <c r="M447" s="247"/>
      <c r="N447" s="248" t="s">
        <v>43</v>
      </c>
      <c r="O447" s="248" t="s">
        <v>43</v>
      </c>
      <c r="P447" s="248" t="s">
        <v>43</v>
      </c>
      <c r="Q447" s="248" t="s">
        <v>43</v>
      </c>
      <c r="R447" s="248" t="s">
        <v>43</v>
      </c>
      <c r="S447" s="249" t="s">
        <v>43</v>
      </c>
      <c r="T447" s="243" t="s">
        <v>43</v>
      </c>
      <c r="U447" s="243" t="s">
        <v>43</v>
      </c>
      <c r="V447" s="243" t="s">
        <v>43</v>
      </c>
      <c r="W447" s="243" t="s">
        <v>43</v>
      </c>
      <c r="X447" s="250" t="s">
        <v>596</v>
      </c>
      <c r="Y447" s="243" t="s">
        <v>43</v>
      </c>
      <c r="Z447" s="243" t="s">
        <v>43</v>
      </c>
      <c r="AA447" s="243">
        <v>0</v>
      </c>
      <c r="AB447" s="248" t="s">
        <v>43</v>
      </c>
      <c r="AC447" s="243" t="s">
        <v>43</v>
      </c>
      <c r="AD447" s="248" t="s">
        <v>43</v>
      </c>
      <c r="AE447" s="248" t="s">
        <v>141</v>
      </c>
      <c r="AF447" s="243" t="s">
        <v>43</v>
      </c>
      <c r="AG447" s="251">
        <v>0</v>
      </c>
      <c r="AH447" s="252">
        <v>0</v>
      </c>
      <c r="AI447" s="253">
        <v>0</v>
      </c>
      <c r="AJ447" s="253">
        <v>0</v>
      </c>
      <c r="AK447" s="253">
        <v>0</v>
      </c>
      <c r="AL447" s="253">
        <v>0</v>
      </c>
      <c r="AM447" s="254">
        <f>(((IF(L447=$L$101,1,IF(L447=$L$47,1,0))*(AH447*(1-AK447)))*AG447)*(1-AL447))</f>
        <v>0</v>
      </c>
      <c r="AN447" s="255">
        <f>IF(K447=$K$50,AM447,IF(K447=$K$53,AM447,IF(K447=$K$54,AM447,IF(K447=$K$55,AM447,IF(K447=$K$56,AM447,IF(K447=$K$57,AM447,IF(K447=$K$58,AM447,IF(K447=$K$65,AM447,IF(K447=$K$66,AM447,IF(K447=$K$67,AM447,IF(K447=$K$68,AM447,IF(K447=$K$69,AM447,(AM447*(1+AI447))))))))))))))</f>
        <v>0</v>
      </c>
      <c r="AO447" s="256">
        <v>1.4</v>
      </c>
      <c r="AP447" s="257">
        <f t="shared" si="117"/>
        <v>0</v>
      </c>
      <c r="AQ447" s="258">
        <f t="shared" si="125"/>
        <v>0</v>
      </c>
      <c r="AR447" s="257">
        <f t="shared" si="118"/>
        <v>0</v>
      </c>
      <c r="AS447" s="259">
        <f t="shared" si="119"/>
        <v>0</v>
      </c>
      <c r="AT447" s="260" t="str">
        <f>K447</f>
        <v>PROD TI</v>
      </c>
      <c r="AU447" s="261" t="str">
        <f>I447</f>
        <v>Mercadorias</v>
      </c>
      <c r="AV447" s="262"/>
      <c r="AW447" s="263">
        <f>IF(K447=$K$50,0,IF(K447=$K$53,0,IF(K447=$K$54,0,IF(K447=$K$55,0,IF(K447=$K$56,0,IF(K447=$K$57,0,IF(K447=$K$58,0,IF(K447=$K$65,0,IF(K447=$K$66,0,IF(K447=$K$67,0,IF(K447=$K$68,0,IF(K447=$K$69,0,1))))))))))))*AM447*AI447</f>
        <v>0</v>
      </c>
      <c r="AX447" s="264">
        <f>IF(K447=$K$50,0,IF(K447=$K$53,0,IF(K447=$K$54,0,IF(K447=$K$55,0,IF(K447=$K$56,0,IF(K447=$K$57,0,IF(K447=$K$58,0,IF(K447=$K$65,0,IF(K447=$K$66,0,IF(K447=$K$67,0,IF(K447=$K$68,0,IF(K447=$K$69,0,1))))))))))))*AM447*AJ447*$AX$94</f>
        <v>0</v>
      </c>
      <c r="AY447" s="264">
        <f>IF(K447=$K$53,0,IF(K447=$K$54,0,IF(K447=$K$55,0,IF(K447=$K$56,0,IF(K447=$K$58,0,IF(K447=$K$50,0,IF(K447=$K$65,0,IF(K447=$K$57,0,IF(K447=$K$51,0,AM447*$AY$102)))))))))</f>
        <v>0</v>
      </c>
      <c r="AZ447" s="264">
        <f>IF(K447=$K$53,0,IF(K447=$K$54,0,IF(K447=$K$55,0,IF(K447=$K$56,0,IF(K447=$K$58,0,IF(K447=$K$50,0,IF(K447=$K$65,0,IF(K447=$K$57,0,AM447*$AZ$102))))))))</f>
        <v>0</v>
      </c>
      <c r="BA447" s="264">
        <f t="shared" si="120"/>
        <v>0</v>
      </c>
      <c r="BB447" s="265">
        <f>IF($BA$97=1,AQ447*$BB$102,IF(K447=$K$50,0,IF(K447=$K$53,0,IF(K447=$K$54,0,IF(K447=$K$55,0,IF(K447=$K$56,0,IF(K447=$K$57,0,IF(K447=$K$58,0,IF(K447=$K$65,0,IF(K447=$K$66,0,IF(K447=$K$67,0,IF(K447=$K$68,0,IF(K447=$K$69,0,IF(K447=$K$51,0,1)))))))))))*AQ447*$BB$102)))</f>
        <v>0</v>
      </c>
      <c r="BC447" s="264">
        <f t="shared" si="121"/>
        <v>0</v>
      </c>
      <c r="BD447" s="264">
        <f t="shared" si="122"/>
        <v>0</v>
      </c>
      <c r="BE447" s="264">
        <f>IF($BE$95=I447,$BE$97,IF(I447=$BE$96,$BE$97,1))*($BE$102*AQ447)*$AZ$97</f>
        <v>0</v>
      </c>
      <c r="BF447" s="264">
        <f>IF('[1]Cockpit Retorno'!$C$65=Sim,Mestre!BA447,SUM(BB447:BE447)+(IF(K447=$K$56,AQ447*MOE_IRRF_LR,0)))</f>
        <v>0</v>
      </c>
      <c r="BG447" s="266">
        <f>IF(AA447&gt;0,0,IF(Z447=$Z$82,AG447*1,(IF(Z447=$Z$81,AG447*1,0))))</f>
        <v>0</v>
      </c>
      <c r="BH447" s="266">
        <f>IF(AA447&gt;0,0,IF(Z447=$Z$83,AG447*1,IF(Z447=$Z$81,AG447*1,0)))</f>
        <v>0</v>
      </c>
      <c r="BI447" s="266">
        <f>IF(AA447&gt;0,0,IF(Z447=$Z$84,AG447*1,IF(Z447=$Z$93,AG447*2,IF(Z447=$Z$100,AG447,IF(Z447=$Z$81,AG447*2,IF(Z447=$Z$80,AG447*1,IF(Z447=$Z$79,AG447*3,IF(Z447=$Z$78,AG447*2,0))))))))</f>
        <v>0</v>
      </c>
      <c r="BJ447" s="266">
        <f>IF(AA447&gt;0,0,IF(Z447=$Z$85,AG447,IF(Z447=$Z$93,AG447,IF(Z447=$Z$100,AG447,IF(Z447=$Z$81,AG447*1,IF(Z447=$Z$80,AG447*2,IF(Z447=$Z$79,AG447*2,IF(Z447=$Z$78,AG447*2,0))))))))</f>
        <v>0</v>
      </c>
      <c r="BK447" s="266">
        <f>IF(AA447&gt;0,0,IF(Z447=$Z$92,AG447,0))</f>
        <v>0</v>
      </c>
      <c r="BL447" s="266">
        <f>IF(AA447&gt;0,0,IF(Z447=$Z$91,AG447,0))</f>
        <v>0</v>
      </c>
      <c r="BM447" s="266">
        <f>IF(AA447&gt;0,0,IF(Z447=$Z$86,AG447,0))</f>
        <v>0</v>
      </c>
      <c r="BN447" s="266">
        <f>IF(AA447&gt;0,0,IF(Z447=$Z$87,AG447,0))</f>
        <v>0</v>
      </c>
      <c r="BO447" s="266">
        <f>IF(AA447&gt;0,0,IF(Z447=$Z$88,AG447,0))</f>
        <v>0</v>
      </c>
      <c r="BP447" s="266">
        <f>IF(AA447&gt;0,0,IF(Z447=$Z$89,AG447,0))</f>
        <v>0</v>
      </c>
      <c r="BQ447" s="266">
        <f>IF(AA447&gt;0,0,IF(Z447=$Z$90,AG447,0))</f>
        <v>0</v>
      </c>
      <c r="BR447" s="266">
        <f>IF(Z447=$Z$82,AA447*AG447,0)</f>
        <v>0</v>
      </c>
      <c r="BS447" s="266">
        <f>IF(Z447=$Z$83,AA447*AG447,0)</f>
        <v>0</v>
      </c>
      <c r="BT447" s="266">
        <f>IF(AA447&lt;1,0,IF(Z447=$Z$84,AA447*AG447,IF(Z447=$Z$93,"ERRO",IF(Z447=$Z$100,"ERRO",0))))</f>
        <v>0</v>
      </c>
      <c r="BU447" s="266">
        <f>IF(AA447&lt;1,0,IF(Z447=$Z$85,AA447*AG447,IF(Z447=$Z$93,"ERRO",IF(Z447=$Z$100,"ERRO",0))))</f>
        <v>0</v>
      </c>
      <c r="BV447" s="266">
        <f>IF(Z447=$Z$92,AA447*AG447,0)</f>
        <v>0</v>
      </c>
      <c r="BW447" s="266">
        <f>IF(Z447=$Z$91,AA447*AG447,0)</f>
        <v>0</v>
      </c>
      <c r="BX447" s="266">
        <f>IF(Z447=$Z$86,AA447*AG447,0)</f>
        <v>0</v>
      </c>
      <c r="BY447" s="266">
        <f>IF(Z447=$Z$87,AA447*AG447,0)</f>
        <v>0</v>
      </c>
      <c r="BZ447" s="266">
        <f>IF(Z447=$Z$88,AA447*AG447,0)</f>
        <v>0</v>
      </c>
      <c r="CA447" s="266">
        <f>IF(Z447=$Z$89,AA447*AG447,0)</f>
        <v>0</v>
      </c>
      <c r="CB447" s="266">
        <f>IF(Z447=$Z$90,AA447*AG447,0)</f>
        <v>0</v>
      </c>
      <c r="CC447" s="267">
        <f>IFERROR(IF(L447=$L$49,AG447*AH447*(1+AI447)*(1-AK447)*(1-AL447),0),0)</f>
        <v>0</v>
      </c>
      <c r="CD447" s="268">
        <f>IF(I447=$CD$97,1,IF(I447=$CD$100,2,IF(K447=$K$66,1,IF(K447=$K$69,1,3))))</f>
        <v>1</v>
      </c>
      <c r="CE447" s="268">
        <f t="shared" si="113"/>
        <v>1.07</v>
      </c>
      <c r="CF447" s="269">
        <f t="shared" si="96"/>
        <v>1.2353999999999998</v>
      </c>
      <c r="CG447" s="268">
        <f t="shared" si="114"/>
        <v>1.42</v>
      </c>
      <c r="CH447" s="269">
        <f t="shared" si="97"/>
        <v>1.5478000000000001</v>
      </c>
      <c r="CI447" s="268">
        <f t="shared" si="115"/>
        <v>1.7</v>
      </c>
      <c r="CJ447" s="269">
        <f t="shared" si="107"/>
        <v>1.0486</v>
      </c>
      <c r="CK447" s="269">
        <f t="shared" si="108"/>
        <v>1.148922</v>
      </c>
      <c r="CL447" s="269">
        <f t="shared" si="109"/>
        <v>1.3915999999999999</v>
      </c>
      <c r="CM447" s="269">
        <f t="shared" si="110"/>
        <v>1.501366</v>
      </c>
      <c r="CN447" s="268">
        <f t="shared" si="111"/>
        <v>1.6319999999999999</v>
      </c>
      <c r="CO447" s="269">
        <f t="shared" si="124"/>
        <v>1.006656</v>
      </c>
      <c r="CP447" s="272">
        <f t="shared" si="104"/>
        <v>0</v>
      </c>
      <c r="CQ447" s="273">
        <f t="shared" si="105"/>
        <v>0</v>
      </c>
      <c r="CR447" s="274">
        <f t="shared" si="123"/>
        <v>0</v>
      </c>
      <c r="CS447" s="277"/>
      <c r="CT447" s="277"/>
      <c r="CU447" s="277"/>
      <c r="CV447" s="277"/>
      <c r="CW447" s="277"/>
      <c r="CX447" s="277"/>
      <c r="CY447" s="277"/>
      <c r="CZ447" s="277"/>
      <c r="DA447" s="277"/>
      <c r="DB447" s="277"/>
      <c r="DC447" s="277"/>
      <c r="DD447" s="277"/>
      <c r="DE447" s="277"/>
      <c r="DF447" s="277"/>
      <c r="DG447" s="277"/>
      <c r="DH447" s="277"/>
      <c r="DI447" s="277"/>
      <c r="DJ447" s="277"/>
      <c r="DK447" s="277"/>
      <c r="DL447" s="277"/>
      <c r="DM447" s="277"/>
      <c r="DN447" s="277"/>
      <c r="DO447" s="277"/>
      <c r="DP447" s="277"/>
      <c r="DQ447" s="277"/>
      <c r="DR447" s="277"/>
      <c r="DS447" s="277"/>
      <c r="DT447" s="277"/>
      <c r="DU447" s="277"/>
      <c r="DV447" s="277"/>
      <c r="DW447" s="277"/>
      <c r="DX447" s="277"/>
      <c r="DY447" s="277"/>
      <c r="DZ447" s="277"/>
      <c r="EA447" s="277"/>
      <c r="EB447" s="277"/>
      <c r="EC447" s="277"/>
      <c r="ED447" s="277"/>
      <c r="EE447" s="277"/>
      <c r="EF447" s="277"/>
      <c r="EG447" s="277"/>
      <c r="EH447" s="277"/>
      <c r="EI447" s="277"/>
      <c r="EJ447" s="277"/>
      <c r="EK447" s="277"/>
      <c r="EL447" s="277"/>
      <c r="EM447" s="277"/>
      <c r="EN447" s="277"/>
      <c r="EO447" s="277"/>
      <c r="EP447" s="277"/>
      <c r="EQ447" s="277"/>
      <c r="ER447" s="277"/>
      <c r="ES447" s="277"/>
      <c r="ET447" s="277"/>
      <c r="EU447" s="277"/>
      <c r="EV447" s="277"/>
      <c r="EW447" s="277"/>
      <c r="EX447" s="277"/>
      <c r="EY447" s="277"/>
      <c r="EZ447" s="277"/>
      <c r="FA447" s="277"/>
    </row>
    <row r="448" spans="1:157" s="278" customFormat="1" ht="8.25" x14ac:dyDescent="0.25">
      <c r="A448" s="238">
        <f>IF(AND('[1]Cockpit Retorno'!$E$67=Sim,Mestre!M448=Mestre!$M$98),0,1)</f>
        <v>1</v>
      </c>
      <c r="B448" s="238">
        <f>IF(AND('[1]Cockpit Retorno'!$E$67=Sim,Mestre!L448=Mestre!$L$48),0,1)</f>
        <v>0</v>
      </c>
      <c r="C448" s="238">
        <f>IF(AND('[1]Cockpit Retorno'!$E$67=Sim,Mestre!M448=Mestre!$M$97),0,1)</f>
        <v>1</v>
      </c>
      <c r="D448" s="276" t="s">
        <v>274</v>
      </c>
      <c r="E448" s="240"/>
      <c r="F448" s="241"/>
      <c r="G448" s="242">
        <v>100018</v>
      </c>
      <c r="H448" s="243" t="s">
        <v>103</v>
      </c>
      <c r="I448" s="244" t="str">
        <f t="shared" si="116"/>
        <v>Serviços</v>
      </c>
      <c r="J448" s="243" t="s">
        <v>12</v>
      </c>
      <c r="K448" s="245" t="s">
        <v>103</v>
      </c>
      <c r="L448" s="246" t="s">
        <v>15</v>
      </c>
      <c r="M448" s="247"/>
      <c r="N448" s="248" t="s">
        <v>43</v>
      </c>
      <c r="O448" s="248" t="s">
        <v>43</v>
      </c>
      <c r="P448" s="248" t="s">
        <v>43</v>
      </c>
      <c r="Q448" s="248" t="s">
        <v>43</v>
      </c>
      <c r="R448" s="248" t="s">
        <v>43</v>
      </c>
      <c r="S448" s="249" t="s">
        <v>43</v>
      </c>
      <c r="T448" s="243" t="s">
        <v>43</v>
      </c>
      <c r="U448" s="243" t="s">
        <v>43</v>
      </c>
      <c r="V448" s="243" t="s">
        <v>43</v>
      </c>
      <c r="W448" s="243" t="s">
        <v>43</v>
      </c>
      <c r="X448" s="250" t="s">
        <v>597</v>
      </c>
      <c r="Y448" s="243" t="s">
        <v>43</v>
      </c>
      <c r="Z448" s="243" t="s">
        <v>43</v>
      </c>
      <c r="AA448" s="243">
        <v>0</v>
      </c>
      <c r="AB448" s="248" t="s">
        <v>43</v>
      </c>
      <c r="AC448" s="243" t="s">
        <v>43</v>
      </c>
      <c r="AD448" s="248" t="s">
        <v>43</v>
      </c>
      <c r="AE448" s="248" t="s">
        <v>141</v>
      </c>
      <c r="AF448" s="243" t="s">
        <v>43</v>
      </c>
      <c r="AG448" s="251">
        <v>0</v>
      </c>
      <c r="AH448" s="252">
        <v>0</v>
      </c>
      <c r="AI448" s="253">
        <v>0</v>
      </c>
      <c r="AJ448" s="253">
        <v>0</v>
      </c>
      <c r="AK448" s="253">
        <v>0</v>
      </c>
      <c r="AL448" s="253">
        <v>0</v>
      </c>
      <c r="AM448" s="254">
        <f>(((IF(L448=$L$101,1,IF(L448=$L$47,1,0))*(AH448*(1-AK448)))*AG448)*(1-AL448))</f>
        <v>0</v>
      </c>
      <c r="AN448" s="255">
        <f>IF(K448=$K$50,AM448,IF(K448=$K$53,AM448,IF(K448=$K$54,AM448,IF(K448=$K$55,AM448,IF(K448=$K$56,AM448,IF(K448=$K$57,AM448,IF(K448=$K$58,AM448,IF(K448=$K$65,AM448,IF(K448=$K$66,AM448,IF(K448=$K$67,AM448,IF(K448=$K$68,AM448,IF(K448=$K$69,AM448,(AM448*(1+AI448))))))))))))))</f>
        <v>0</v>
      </c>
      <c r="AO448" s="256">
        <v>1.85</v>
      </c>
      <c r="AP448" s="257">
        <f t="shared" si="117"/>
        <v>0</v>
      </c>
      <c r="AQ448" s="258">
        <f t="shared" si="125"/>
        <v>0</v>
      </c>
      <c r="AR448" s="257">
        <f t="shared" si="118"/>
        <v>0</v>
      </c>
      <c r="AS448" s="259">
        <f t="shared" si="119"/>
        <v>0</v>
      </c>
      <c r="AT448" s="260" t="str">
        <f>K448</f>
        <v>SERV</v>
      </c>
      <c r="AU448" s="261" t="str">
        <f>I448</f>
        <v>Serviços</v>
      </c>
      <c r="AV448" s="262"/>
      <c r="AW448" s="263">
        <f>IF(K448=$K$50,0,IF(K448=$K$53,0,IF(K448=$K$54,0,IF(K448=$K$55,0,IF(K448=$K$56,0,IF(K448=$K$57,0,IF(K448=$K$58,0,IF(K448=$K$65,0,IF(K448=$K$66,0,IF(K448=$K$67,0,IF(K448=$K$68,0,IF(K448=$K$69,0,1))))))))))))*AM448*AI448</f>
        <v>0</v>
      </c>
      <c r="AX448" s="264">
        <f>IF(K448=$K$50,0,IF(K448=$K$53,0,IF(K448=$K$54,0,IF(K448=$K$55,0,IF(K448=$K$56,0,IF(K448=$K$57,0,IF(K448=$K$58,0,IF(K448=$K$65,0,IF(K448=$K$66,0,IF(K448=$K$67,0,IF(K448=$K$68,0,IF(K448=$K$69,0,1))))))))))))*AM448*AJ448*$AX$94</f>
        <v>0</v>
      </c>
      <c r="AY448" s="264">
        <f>IF(K448=$K$53,0,IF(K448=$K$54,0,IF(K448=$K$55,0,IF(K448=$K$56,0,IF(K448=$K$58,0,IF(K448=$K$50,0,IF(K448=$K$65,0,IF(K448=$K$57,0,IF(K448=$K$51,0,AM448*$AY$102)))))))))</f>
        <v>0</v>
      </c>
      <c r="AZ448" s="264">
        <f>IF(K448=$K$53,0,IF(K448=$K$54,0,IF(K448=$K$55,0,IF(K448=$K$56,0,IF(K448=$K$58,0,IF(K448=$K$50,0,IF(K448=$K$65,0,IF(K448=$K$57,0,AM448*$AZ$102))))))))</f>
        <v>0</v>
      </c>
      <c r="BA448" s="264">
        <f t="shared" si="120"/>
        <v>0</v>
      </c>
      <c r="BB448" s="265">
        <f>IF($BA$97=1,AQ448*$BB$102,IF(K448=$K$50,0,IF(K448=$K$53,0,IF(K448=$K$54,0,IF(K448=$K$55,0,IF(K448=$K$56,0,IF(K448=$K$57,0,IF(K448=$K$58,0,IF(K448=$K$65,0,IF(K448=$K$66,0,IF(K448=$K$67,0,IF(K448=$K$68,0,IF(K448=$K$69,0,IF(K448=$K$51,0,1)))))))))))*AQ448*$BB$102)))</f>
        <v>0</v>
      </c>
      <c r="BC448" s="264">
        <f t="shared" si="121"/>
        <v>0</v>
      </c>
      <c r="BD448" s="264">
        <f t="shared" si="122"/>
        <v>0</v>
      </c>
      <c r="BE448" s="264">
        <f>IF($BE$95=I448,$BE$97,IF(I448=$BE$96,$BE$97,1))*($BE$102*AQ448)*$AZ$97</f>
        <v>0</v>
      </c>
      <c r="BF448" s="264">
        <f>IF('[1]Cockpit Retorno'!$C$65=Sim,Mestre!BA448,SUM(BB448:BE448)+(IF(K448=$K$56,AQ448*MOE_IRRF_LR,0)))</f>
        <v>0</v>
      </c>
      <c r="BG448" s="266">
        <f>IF(AA448&gt;0,0,IF(Z448=$Z$82,AG448*1,(IF(Z448=$Z$81,AG448*1,0))))</f>
        <v>0</v>
      </c>
      <c r="BH448" s="266">
        <f>IF(AA448&gt;0,0,IF(Z448=$Z$83,AG448*1,IF(Z448=$Z$81,AG448*1,0)))</f>
        <v>0</v>
      </c>
      <c r="BI448" s="266">
        <f>IF(AA448&gt;0,0,IF(Z448=$Z$84,AG448*1,IF(Z448=$Z$93,AG448*2,IF(Z448=$Z$100,AG448,IF(Z448=$Z$81,AG448*2,IF(Z448=$Z$80,AG448*1,IF(Z448=$Z$79,AG448*3,IF(Z448=$Z$78,AG448*2,0))))))))</f>
        <v>0</v>
      </c>
      <c r="BJ448" s="266">
        <f>IF(AA448&gt;0,0,IF(Z448=$Z$85,AG448,IF(Z448=$Z$93,AG448,IF(Z448=$Z$100,AG448,IF(Z448=$Z$81,AG448*1,IF(Z448=$Z$80,AG448*2,IF(Z448=$Z$79,AG448*2,IF(Z448=$Z$78,AG448*2,0))))))))</f>
        <v>0</v>
      </c>
      <c r="BK448" s="266">
        <f>IF(AA448&gt;0,0,IF(Z448=$Z$92,AG448,0))</f>
        <v>0</v>
      </c>
      <c r="BL448" s="266">
        <f>IF(AA448&gt;0,0,IF(Z448=$Z$91,AG448,0))</f>
        <v>0</v>
      </c>
      <c r="BM448" s="266">
        <f>IF(AA448&gt;0,0,IF(Z448=$Z$86,AG448,0))</f>
        <v>0</v>
      </c>
      <c r="BN448" s="266">
        <f>IF(AA448&gt;0,0,IF(Z448=$Z$87,AG448,0))</f>
        <v>0</v>
      </c>
      <c r="BO448" s="266">
        <f>IF(AA448&gt;0,0,IF(Z448=$Z$88,AG448,0))</f>
        <v>0</v>
      </c>
      <c r="BP448" s="266">
        <f>IF(AA448&gt;0,0,IF(Z448=$Z$89,AG448,0))</f>
        <v>0</v>
      </c>
      <c r="BQ448" s="266">
        <f>IF(AA448&gt;0,0,IF(Z448=$Z$90,AG448,0))</f>
        <v>0</v>
      </c>
      <c r="BR448" s="266">
        <f>IF(Z448=$Z$82,AA448*AG448,0)</f>
        <v>0</v>
      </c>
      <c r="BS448" s="266">
        <f>IF(Z448=$Z$83,AA448*AG448,0)</f>
        <v>0</v>
      </c>
      <c r="BT448" s="266">
        <f>IF(AA448&lt;1,0,IF(Z448=$Z$84,AA448*AG448,IF(Z448=$Z$93,"ERRO",IF(Z448=$Z$100,"ERRO",0))))</f>
        <v>0</v>
      </c>
      <c r="BU448" s="266">
        <f>IF(AA448&lt;1,0,IF(Z448=$Z$85,AA448*AG448,IF(Z448=$Z$93,"ERRO",IF(Z448=$Z$100,"ERRO",0))))</f>
        <v>0</v>
      </c>
      <c r="BV448" s="266">
        <f>IF(Z448=$Z$92,AA448*AG448,0)</f>
        <v>0</v>
      </c>
      <c r="BW448" s="266">
        <f>IF(Z448=$Z$91,AA448*AG448,0)</f>
        <v>0</v>
      </c>
      <c r="BX448" s="266">
        <f>IF(Z448=$Z$86,AA448*AG448,0)</f>
        <v>0</v>
      </c>
      <c r="BY448" s="266">
        <f>IF(Z448=$Z$87,AA448*AG448,0)</f>
        <v>0</v>
      </c>
      <c r="BZ448" s="266">
        <f>IF(Z448=$Z$88,AA448*AG448,0)</f>
        <v>0</v>
      </c>
      <c r="CA448" s="266">
        <f>IF(Z448=$Z$89,AA448*AG448,0)</f>
        <v>0</v>
      </c>
      <c r="CB448" s="266">
        <f>IF(Z448=$Z$90,AA448*AG448,0)</f>
        <v>0</v>
      </c>
      <c r="CC448" s="267">
        <f>IFERROR(IF(L448=$L$49,AG448*AH448*(1+AI448)*(1-AK448)*(1-AL448),0),0)</f>
        <v>0</v>
      </c>
      <c r="CD448" s="268">
        <f>IF(I448=$CD$97,1,IF(I448=$CD$100,2,IF(K448=$K$66,1,IF(K448=$K$69,1,3))))</f>
        <v>3</v>
      </c>
      <c r="CE448" s="268">
        <f t="shared" si="113"/>
        <v>1.3</v>
      </c>
      <c r="CF448" s="269">
        <f t="shared" si="96"/>
        <v>1.74</v>
      </c>
      <c r="CG448" s="268">
        <f t="shared" si="114"/>
        <v>2</v>
      </c>
      <c r="CH448" s="269">
        <f t="shared" si="97"/>
        <v>2.1800000000000002</v>
      </c>
      <c r="CI448" s="268">
        <f t="shared" si="115"/>
        <v>2.4</v>
      </c>
      <c r="CJ448" s="269">
        <f t="shared" si="107"/>
        <v>1.274</v>
      </c>
      <c r="CK448" s="269">
        <f t="shared" si="108"/>
        <v>1.6182000000000001</v>
      </c>
      <c r="CL448" s="269">
        <f t="shared" si="109"/>
        <v>1.96</v>
      </c>
      <c r="CM448" s="269">
        <f t="shared" si="110"/>
        <v>2.1146000000000003</v>
      </c>
      <c r="CN448" s="268">
        <f t="shared" si="111"/>
        <v>2.3039999999999998</v>
      </c>
      <c r="CO448" s="269">
        <f t="shared" si="124"/>
        <v>1.2230399999999999</v>
      </c>
      <c r="CP448" s="272">
        <f t="shared" si="104"/>
        <v>0</v>
      </c>
      <c r="CQ448" s="273">
        <f t="shared" si="105"/>
        <v>0</v>
      </c>
      <c r="CR448" s="274">
        <f t="shared" si="123"/>
        <v>0</v>
      </c>
      <c r="CS448" s="277"/>
      <c r="CT448" s="277"/>
      <c r="CU448" s="277"/>
      <c r="CV448" s="277"/>
      <c r="CW448" s="277"/>
      <c r="CX448" s="277"/>
      <c r="CY448" s="277"/>
      <c r="CZ448" s="277"/>
      <c r="DA448" s="277"/>
      <c r="DB448" s="277"/>
      <c r="DC448" s="277"/>
      <c r="DD448" s="277"/>
      <c r="DE448" s="277"/>
      <c r="DF448" s="277"/>
      <c r="DG448" s="277"/>
      <c r="DH448" s="277"/>
      <c r="DI448" s="277"/>
      <c r="DJ448" s="277"/>
      <c r="DK448" s="277"/>
      <c r="DL448" s="277"/>
      <c r="DM448" s="277"/>
      <c r="DN448" s="277"/>
      <c r="DO448" s="277"/>
      <c r="DP448" s="277"/>
      <c r="DQ448" s="277"/>
      <c r="DR448" s="277"/>
      <c r="DS448" s="277"/>
      <c r="DT448" s="277"/>
      <c r="DU448" s="277"/>
      <c r="DV448" s="277"/>
      <c r="DW448" s="277"/>
      <c r="DX448" s="277"/>
      <c r="DY448" s="277"/>
      <c r="DZ448" s="277"/>
      <c r="EA448" s="277"/>
      <c r="EB448" s="277"/>
      <c r="EC448" s="277"/>
      <c r="ED448" s="277"/>
      <c r="EE448" s="277"/>
      <c r="EF448" s="277"/>
      <c r="EG448" s="277"/>
      <c r="EH448" s="277"/>
      <c r="EI448" s="277"/>
      <c r="EJ448" s="277"/>
      <c r="EK448" s="277"/>
      <c r="EL448" s="277"/>
      <c r="EM448" s="277"/>
      <c r="EN448" s="277"/>
      <c r="EO448" s="277"/>
      <c r="EP448" s="277"/>
      <c r="EQ448" s="277"/>
      <c r="ER448" s="277"/>
      <c r="ES448" s="277"/>
      <c r="ET448" s="277"/>
      <c r="EU448" s="277"/>
      <c r="EV448" s="277"/>
      <c r="EW448" s="277"/>
      <c r="EX448" s="277"/>
      <c r="EY448" s="277"/>
      <c r="EZ448" s="277"/>
      <c r="FA448" s="277"/>
    </row>
    <row r="449" spans="1:157" s="278" customFormat="1" ht="8.25" x14ac:dyDescent="0.25">
      <c r="A449" s="238">
        <f>IF(AND('[1]Cockpit Retorno'!$E$67=Sim,Mestre!M449=Mestre!$M$98),0,1)</f>
        <v>1</v>
      </c>
      <c r="B449" s="238">
        <f>IF(AND('[1]Cockpit Retorno'!$E$67=Sim,Mestre!L449=Mestre!$L$48),0,1)</f>
        <v>0</v>
      </c>
      <c r="C449" s="238">
        <f>IF(AND('[1]Cockpit Retorno'!$E$67=Sim,Mestre!M449=Mestre!$M$97),0,1)</f>
        <v>1</v>
      </c>
      <c r="D449" s="276" t="s">
        <v>577</v>
      </c>
      <c r="E449" s="240"/>
      <c r="F449" s="241"/>
      <c r="G449" s="242">
        <v>100019</v>
      </c>
      <c r="H449" s="243" t="s">
        <v>108</v>
      </c>
      <c r="I449" s="244" t="str">
        <f t="shared" si="116"/>
        <v>Mercadorias</v>
      </c>
      <c r="J449" s="243" t="s">
        <v>15</v>
      </c>
      <c r="K449" s="245" t="s">
        <v>108</v>
      </c>
      <c r="L449" s="246" t="s">
        <v>15</v>
      </c>
      <c r="M449" s="247"/>
      <c r="N449" s="248" t="s">
        <v>43</v>
      </c>
      <c r="O449" s="248" t="s">
        <v>43</v>
      </c>
      <c r="P449" s="248" t="s">
        <v>43</v>
      </c>
      <c r="Q449" s="248" t="s">
        <v>43</v>
      </c>
      <c r="R449" s="248" t="s">
        <v>43</v>
      </c>
      <c r="S449" s="249" t="s">
        <v>43</v>
      </c>
      <c r="T449" s="243" t="s">
        <v>43</v>
      </c>
      <c r="U449" s="243" t="s">
        <v>43</v>
      </c>
      <c r="V449" s="243" t="s">
        <v>43</v>
      </c>
      <c r="W449" s="243" t="s">
        <v>43</v>
      </c>
      <c r="X449" s="250" t="s">
        <v>598</v>
      </c>
      <c r="Y449" s="243" t="s">
        <v>43</v>
      </c>
      <c r="Z449" s="243" t="s">
        <v>43</v>
      </c>
      <c r="AA449" s="243">
        <v>0</v>
      </c>
      <c r="AB449" s="248" t="s">
        <v>43</v>
      </c>
      <c r="AC449" s="243" t="s">
        <v>43</v>
      </c>
      <c r="AD449" s="248" t="s">
        <v>43</v>
      </c>
      <c r="AE449" s="248" t="s">
        <v>141</v>
      </c>
      <c r="AF449" s="243" t="s">
        <v>43</v>
      </c>
      <c r="AG449" s="251">
        <v>0</v>
      </c>
      <c r="AH449" s="252">
        <v>0</v>
      </c>
      <c r="AI449" s="253">
        <v>0</v>
      </c>
      <c r="AJ449" s="253">
        <v>0</v>
      </c>
      <c r="AK449" s="253">
        <v>0</v>
      </c>
      <c r="AL449" s="253">
        <v>0</v>
      </c>
      <c r="AM449" s="254">
        <f>(((IF(L449=$L$101,1,IF(L449=$L$47,1,0))*(AH449*(1-AK449)))*AG449)*(1-AL449))</f>
        <v>0</v>
      </c>
      <c r="AN449" s="255">
        <f>IF(K449=$K$50,AM449,IF(K449=$K$53,AM449,IF(K449=$K$54,AM449,IF(K449=$K$55,AM449,IF(K449=$K$56,AM449,IF(K449=$K$57,AM449,IF(K449=$K$58,AM449,IF(K449=$K$65,AM449,IF(K449=$K$66,AM449,IF(K449=$K$67,AM449,IF(K449=$K$68,AM449,IF(K449=$K$69,AM449,(AM449*(1+AI449))))))))))))))</f>
        <v>0</v>
      </c>
      <c r="AO449" s="256">
        <v>1.4</v>
      </c>
      <c r="AP449" s="257">
        <f t="shared" si="117"/>
        <v>0</v>
      </c>
      <c r="AQ449" s="258">
        <f t="shared" si="125"/>
        <v>0</v>
      </c>
      <c r="AR449" s="257">
        <f t="shared" si="118"/>
        <v>0</v>
      </c>
      <c r="AS449" s="259">
        <f t="shared" si="119"/>
        <v>0</v>
      </c>
      <c r="AT449" s="260" t="str">
        <f>K449</f>
        <v>SOFT</v>
      </c>
      <c r="AU449" s="261" t="str">
        <f>I449</f>
        <v>Mercadorias</v>
      </c>
      <c r="AV449" s="262"/>
      <c r="AW449" s="263">
        <f>IF(K449=$K$50,0,IF(K449=$K$53,0,IF(K449=$K$54,0,IF(K449=$K$55,0,IF(K449=$K$56,0,IF(K449=$K$57,0,IF(K449=$K$58,0,IF(K449=$K$65,0,IF(K449=$K$66,0,IF(K449=$K$67,0,IF(K449=$K$68,0,IF(K449=$K$69,0,1))))))))))))*AM449*AI449</f>
        <v>0</v>
      </c>
      <c r="AX449" s="264">
        <f>IF(K449=$K$50,0,IF(K449=$K$53,0,IF(K449=$K$54,0,IF(K449=$K$55,0,IF(K449=$K$56,0,IF(K449=$K$57,0,IF(K449=$K$58,0,IF(K449=$K$65,0,IF(K449=$K$66,0,IF(K449=$K$67,0,IF(K449=$K$68,0,IF(K449=$K$69,0,1))))))))))))*AM449*AJ449*$AX$94</f>
        <v>0</v>
      </c>
      <c r="AY449" s="264">
        <f>IF(K449=$K$53,0,IF(K449=$K$54,0,IF(K449=$K$55,0,IF(K449=$K$56,0,IF(K449=$K$58,0,IF(K449=$K$50,0,IF(K449=$K$65,0,IF(K449=$K$57,0,IF(K449=$K$51,0,AM449*$AY$102)))))))))</f>
        <v>0</v>
      </c>
      <c r="AZ449" s="264">
        <f>IF(K449=$K$53,0,IF(K449=$K$54,0,IF(K449=$K$55,0,IF(K449=$K$56,0,IF(K449=$K$58,0,IF(K449=$K$50,0,IF(K449=$K$65,0,IF(K449=$K$57,0,AM449*$AZ$102))))))))</f>
        <v>0</v>
      </c>
      <c r="BA449" s="264">
        <f t="shared" si="120"/>
        <v>0</v>
      </c>
      <c r="BB449" s="265">
        <f>IF($BA$97=1,AQ449*$BB$102,IF(K449=$K$50,0,IF(K449=$K$53,0,IF(K449=$K$54,0,IF(K449=$K$55,0,IF(K449=$K$56,0,IF(K449=$K$57,0,IF(K449=$K$58,0,IF(K449=$K$65,0,IF(K449=$K$66,0,IF(K449=$K$67,0,IF(K449=$K$68,0,IF(K449=$K$69,0,IF(K449=$K$51,0,1)))))))))))*AQ449*$BB$102)))</f>
        <v>0</v>
      </c>
      <c r="BC449" s="264">
        <f t="shared" si="121"/>
        <v>0</v>
      </c>
      <c r="BD449" s="264">
        <f t="shared" si="122"/>
        <v>0</v>
      </c>
      <c r="BE449" s="264">
        <f>IF($BE$95=I449,$BE$97,IF(I449=$BE$96,$BE$97,1))*($BE$102*AQ449)*$AZ$97</f>
        <v>0</v>
      </c>
      <c r="BF449" s="264">
        <f>IF('[1]Cockpit Retorno'!$C$65=Sim,Mestre!BA449,SUM(BB449:BE449)+(IF(K449=$K$56,AQ449*MOE_IRRF_LR,0)))</f>
        <v>0</v>
      </c>
      <c r="BG449" s="266">
        <f>IF(AA449&gt;0,0,IF(Z449=$Z$82,AG449*1,(IF(Z449=$Z$81,AG449*1,0))))</f>
        <v>0</v>
      </c>
      <c r="BH449" s="266">
        <f>IF(AA449&gt;0,0,IF(Z449=$Z$83,AG449*1,IF(Z449=$Z$81,AG449*1,0)))</f>
        <v>0</v>
      </c>
      <c r="BI449" s="266">
        <f>IF(AA449&gt;0,0,IF(Z449=$Z$84,AG449*1,IF(Z449=$Z$93,AG449*2,IF(Z449=$Z$100,AG449,IF(Z449=$Z$81,AG449*2,IF(Z449=$Z$80,AG449*1,IF(Z449=$Z$79,AG449*3,IF(Z449=$Z$78,AG449*2,0))))))))</f>
        <v>0</v>
      </c>
      <c r="BJ449" s="266">
        <f>IF(AA449&gt;0,0,IF(Z449=$Z$85,AG449,IF(Z449=$Z$93,AG449,IF(Z449=$Z$100,AG449,IF(Z449=$Z$81,AG449*1,IF(Z449=$Z$80,AG449*2,IF(Z449=$Z$79,AG449*2,IF(Z449=$Z$78,AG449*2,0))))))))</f>
        <v>0</v>
      </c>
      <c r="BK449" s="266">
        <f>IF(AA449&gt;0,0,IF(Z449=$Z$92,AG449,0))</f>
        <v>0</v>
      </c>
      <c r="BL449" s="266">
        <f>IF(AA449&gt;0,0,IF(Z449=$Z$91,AG449,0))</f>
        <v>0</v>
      </c>
      <c r="BM449" s="266">
        <f>IF(AA449&gt;0,0,IF(Z449=$Z$86,AG449,0))</f>
        <v>0</v>
      </c>
      <c r="BN449" s="266">
        <f>IF(AA449&gt;0,0,IF(Z449=$Z$87,AG449,0))</f>
        <v>0</v>
      </c>
      <c r="BO449" s="266">
        <f>IF(AA449&gt;0,0,IF(Z449=$Z$88,AG449,0))</f>
        <v>0</v>
      </c>
      <c r="BP449" s="266">
        <f>IF(AA449&gt;0,0,IF(Z449=$Z$89,AG449,0))</f>
        <v>0</v>
      </c>
      <c r="BQ449" s="266">
        <f>IF(AA449&gt;0,0,IF(Z449=$Z$90,AG449,0))</f>
        <v>0</v>
      </c>
      <c r="BR449" s="266">
        <f>IF(Z449=$Z$82,AA449*AG449,0)</f>
        <v>0</v>
      </c>
      <c r="BS449" s="266">
        <f>IF(Z449=$Z$83,AA449*AG449,0)</f>
        <v>0</v>
      </c>
      <c r="BT449" s="266">
        <f>IF(AA449&lt;1,0,IF(Z449=$Z$84,AA449*AG449,IF(Z449=$Z$93,"ERRO",IF(Z449=$Z$100,"ERRO",0))))</f>
        <v>0</v>
      </c>
      <c r="BU449" s="266">
        <f>IF(AA449&lt;1,0,IF(Z449=$Z$85,AA449*AG449,IF(Z449=$Z$93,"ERRO",IF(Z449=$Z$100,"ERRO",0))))</f>
        <v>0</v>
      </c>
      <c r="BV449" s="266">
        <f>IF(Z449=$Z$92,AA449*AG449,0)</f>
        <v>0</v>
      </c>
      <c r="BW449" s="266">
        <f>IF(Z449=$Z$91,AA449*AG449,0)</f>
        <v>0</v>
      </c>
      <c r="BX449" s="266">
        <f>IF(Z449=$Z$86,AA449*AG449,0)</f>
        <v>0</v>
      </c>
      <c r="BY449" s="266">
        <f>IF(Z449=$Z$87,AA449*AG449,0)</f>
        <v>0</v>
      </c>
      <c r="BZ449" s="266">
        <f>IF(Z449=$Z$88,AA449*AG449,0)</f>
        <v>0</v>
      </c>
      <c r="CA449" s="266">
        <f>IF(Z449=$Z$89,AA449*AG449,0)</f>
        <v>0</v>
      </c>
      <c r="CB449" s="266">
        <f>IF(Z449=$Z$90,AA449*AG449,0)</f>
        <v>0</v>
      </c>
      <c r="CC449" s="267">
        <f>IFERROR(IF(L449=$L$49,AG449*AH449*(1+AI449)*(1-AK449)*(1-AL449),0),0)</f>
        <v>0</v>
      </c>
      <c r="CD449" s="268">
        <f>IF(I449=$CD$97,1,IF(I449=$CD$100,2,IF(K449=$K$66,1,IF(K449=$K$69,1,3))))</f>
        <v>1</v>
      </c>
      <c r="CE449" s="268">
        <f t="shared" si="113"/>
        <v>1.07</v>
      </c>
      <c r="CF449" s="269">
        <f t="shared" si="96"/>
        <v>1.2353999999999998</v>
      </c>
      <c r="CG449" s="268">
        <f t="shared" si="114"/>
        <v>1.42</v>
      </c>
      <c r="CH449" s="269">
        <f t="shared" si="97"/>
        <v>1.5478000000000001</v>
      </c>
      <c r="CI449" s="268">
        <f t="shared" si="115"/>
        <v>1.7</v>
      </c>
      <c r="CJ449" s="269">
        <f t="shared" si="107"/>
        <v>1.0486</v>
      </c>
      <c r="CK449" s="269">
        <f t="shared" si="108"/>
        <v>1.148922</v>
      </c>
      <c r="CL449" s="269">
        <f t="shared" si="109"/>
        <v>1.3915999999999999</v>
      </c>
      <c r="CM449" s="269">
        <f t="shared" si="110"/>
        <v>1.501366</v>
      </c>
      <c r="CN449" s="268">
        <f t="shared" si="111"/>
        <v>1.6319999999999999</v>
      </c>
      <c r="CO449" s="269">
        <f t="shared" si="124"/>
        <v>1.006656</v>
      </c>
      <c r="CP449" s="272">
        <f t="shared" si="104"/>
        <v>0</v>
      </c>
      <c r="CQ449" s="273">
        <f t="shared" si="105"/>
        <v>0</v>
      </c>
      <c r="CR449" s="274">
        <f t="shared" si="123"/>
        <v>0</v>
      </c>
      <c r="CS449" s="277"/>
      <c r="CT449" s="277"/>
      <c r="CU449" s="277"/>
      <c r="CV449" s="277"/>
      <c r="CW449" s="277"/>
      <c r="CX449" s="277"/>
      <c r="CY449" s="277"/>
      <c r="CZ449" s="277"/>
      <c r="DA449" s="277"/>
      <c r="DB449" s="277"/>
      <c r="DC449" s="277"/>
      <c r="DD449" s="277"/>
      <c r="DE449" s="277"/>
      <c r="DF449" s="277"/>
      <c r="DG449" s="277"/>
      <c r="DH449" s="277"/>
      <c r="DI449" s="277"/>
      <c r="DJ449" s="277"/>
      <c r="DK449" s="277"/>
      <c r="DL449" s="277"/>
      <c r="DM449" s="277"/>
      <c r="DN449" s="277"/>
      <c r="DO449" s="277"/>
      <c r="DP449" s="277"/>
      <c r="DQ449" s="277"/>
      <c r="DR449" s="277"/>
      <c r="DS449" s="277"/>
      <c r="DT449" s="277"/>
      <c r="DU449" s="277"/>
      <c r="DV449" s="277"/>
      <c r="DW449" s="277"/>
      <c r="DX449" s="277"/>
      <c r="DY449" s="277"/>
      <c r="DZ449" s="277"/>
      <c r="EA449" s="277"/>
      <c r="EB449" s="277"/>
      <c r="EC449" s="277"/>
      <c r="ED449" s="277"/>
      <c r="EE449" s="277"/>
      <c r="EF449" s="277"/>
      <c r="EG449" s="277"/>
      <c r="EH449" s="277"/>
      <c r="EI449" s="277"/>
      <c r="EJ449" s="277"/>
      <c r="EK449" s="277"/>
      <c r="EL449" s="277"/>
      <c r="EM449" s="277"/>
      <c r="EN449" s="277"/>
      <c r="EO449" s="277"/>
      <c r="EP449" s="277"/>
      <c r="EQ449" s="277"/>
      <c r="ER449" s="277"/>
      <c r="ES449" s="277"/>
      <c r="ET449" s="277"/>
      <c r="EU449" s="277"/>
      <c r="EV449" s="277"/>
      <c r="EW449" s="277"/>
      <c r="EX449" s="277"/>
      <c r="EY449" s="277"/>
      <c r="EZ449" s="277"/>
      <c r="FA449" s="277"/>
    </row>
    <row r="450" spans="1:157" s="278" customFormat="1" ht="8.25" x14ac:dyDescent="0.25">
      <c r="A450" s="238">
        <f>IF(AND('[1]Cockpit Retorno'!$E$67=Sim,Mestre!M450=Mestre!$M$98),0,1)</f>
        <v>1</v>
      </c>
      <c r="B450" s="238">
        <f>IF(AND('[1]Cockpit Retorno'!$E$67=Sim,Mestre!L450=Mestre!$L$48),0,1)</f>
        <v>0</v>
      </c>
      <c r="C450" s="238">
        <f>IF(AND('[1]Cockpit Retorno'!$E$67=Sim,Mestre!M450=Mestre!$M$97),0,1)</f>
        <v>1</v>
      </c>
      <c r="D450" s="239" t="s">
        <v>270</v>
      </c>
      <c r="E450" s="240"/>
      <c r="F450" s="241"/>
      <c r="G450" s="242">
        <v>100020</v>
      </c>
      <c r="H450" s="243" t="s">
        <v>112</v>
      </c>
      <c r="I450" s="244" t="str">
        <f t="shared" si="116"/>
        <v>Despesas</v>
      </c>
      <c r="J450" s="243" t="s">
        <v>12</v>
      </c>
      <c r="K450" s="245" t="s">
        <v>112</v>
      </c>
      <c r="L450" s="246" t="s">
        <v>15</v>
      </c>
      <c r="M450" s="247"/>
      <c r="N450" s="248" t="s">
        <v>43</v>
      </c>
      <c r="O450" s="248" t="s">
        <v>43</v>
      </c>
      <c r="P450" s="248" t="s">
        <v>43</v>
      </c>
      <c r="Q450" s="248" t="s">
        <v>43</v>
      </c>
      <c r="R450" s="248" t="s">
        <v>43</v>
      </c>
      <c r="S450" s="249" t="s">
        <v>43</v>
      </c>
      <c r="T450" s="243" t="s">
        <v>43</v>
      </c>
      <c r="U450" s="243" t="s">
        <v>43</v>
      </c>
      <c r="V450" s="243" t="s">
        <v>43</v>
      </c>
      <c r="W450" s="243" t="s">
        <v>43</v>
      </c>
      <c r="X450" s="250" t="s">
        <v>599</v>
      </c>
      <c r="Y450" s="243" t="s">
        <v>43</v>
      </c>
      <c r="Z450" s="243" t="s">
        <v>43</v>
      </c>
      <c r="AA450" s="243">
        <v>0</v>
      </c>
      <c r="AB450" s="248" t="s">
        <v>43</v>
      </c>
      <c r="AC450" s="243" t="s">
        <v>43</v>
      </c>
      <c r="AD450" s="248" t="s">
        <v>43</v>
      </c>
      <c r="AE450" s="248" t="s">
        <v>141</v>
      </c>
      <c r="AF450" s="243" t="s">
        <v>43</v>
      </c>
      <c r="AG450" s="251">
        <v>0</v>
      </c>
      <c r="AH450" s="252">
        <v>0</v>
      </c>
      <c r="AI450" s="253">
        <v>0</v>
      </c>
      <c r="AJ450" s="253">
        <v>0</v>
      </c>
      <c r="AK450" s="253">
        <v>0</v>
      </c>
      <c r="AL450" s="253">
        <v>0</v>
      </c>
      <c r="AM450" s="254">
        <f>(((IF(L450=$L$101,1,IF(L450=$L$47,1,0))*(AH450*(1-AK450)))*AG450)*(1-AL450))</f>
        <v>0</v>
      </c>
      <c r="AN450" s="255">
        <f>IF(K450=$K$50,AM450,IF(K450=$K$53,AM450,IF(K450=$K$54,AM450,IF(K450=$K$55,AM450,IF(K450=$K$56,AM450,IF(K450=$K$57,AM450,IF(K450=$K$58,AM450,IF(K450=$K$65,AM450,IF(K450=$K$66,AM450,IF(K450=$K$67,AM450,IF(K450=$K$68,AM450,IF(K450=$K$69,AM450,(AM450*(1+AI450))))))))))))))</f>
        <v>0</v>
      </c>
      <c r="AO450" s="256">
        <v>1.4</v>
      </c>
      <c r="AP450" s="257">
        <f t="shared" si="117"/>
        <v>0</v>
      </c>
      <c r="AQ450" s="258">
        <f t="shared" si="125"/>
        <v>0</v>
      </c>
      <c r="AR450" s="257">
        <f t="shared" si="118"/>
        <v>0</v>
      </c>
      <c r="AS450" s="259">
        <f t="shared" si="119"/>
        <v>0</v>
      </c>
      <c r="AT450" s="260" t="str">
        <f>K450</f>
        <v>SSMA</v>
      </c>
      <c r="AU450" s="261" t="str">
        <f>I450</f>
        <v>Despesas</v>
      </c>
      <c r="AV450" s="262"/>
      <c r="AW450" s="263">
        <f>IF(K450=$K$50,0,IF(K450=$K$53,0,IF(K450=$K$54,0,IF(K450=$K$55,0,IF(K450=$K$56,0,IF(K450=$K$57,0,IF(K450=$K$58,0,IF(K450=$K$65,0,IF(K450=$K$66,0,IF(K450=$K$67,0,IF(K450=$K$68,0,IF(K450=$K$69,0,1))))))))))))*AM450*AI450</f>
        <v>0</v>
      </c>
      <c r="AX450" s="264">
        <f>IF(K450=$K$50,0,IF(K450=$K$53,0,IF(K450=$K$54,0,IF(K450=$K$55,0,IF(K450=$K$56,0,IF(K450=$K$57,0,IF(K450=$K$58,0,IF(K450=$K$65,0,IF(K450=$K$66,0,IF(K450=$K$67,0,IF(K450=$K$68,0,IF(K450=$K$69,0,1))))))))))))*AM450*AJ450*$AX$94</f>
        <v>0</v>
      </c>
      <c r="AY450" s="264">
        <f>IF(K450=$K$53,0,IF(K450=$K$54,0,IF(K450=$K$55,0,IF(K450=$K$56,0,IF(K450=$K$58,0,IF(K450=$K$50,0,IF(K450=$K$65,0,IF(K450=$K$57,0,IF(K450=$K$51,0,AM450*$AY$102)))))))))</f>
        <v>0</v>
      </c>
      <c r="AZ450" s="264">
        <f>IF(K450=$K$53,0,IF(K450=$K$54,0,IF(K450=$K$55,0,IF(K450=$K$56,0,IF(K450=$K$58,0,IF(K450=$K$50,0,IF(K450=$K$65,0,IF(K450=$K$57,0,AM450*$AZ$102))))))))</f>
        <v>0</v>
      </c>
      <c r="BA450" s="264">
        <f t="shared" si="120"/>
        <v>0</v>
      </c>
      <c r="BB450" s="265">
        <f>IF($BA$97=1,AQ450*$BB$102,IF(K450=$K$50,0,IF(K450=$K$53,0,IF(K450=$K$54,0,IF(K450=$K$55,0,IF(K450=$K$56,0,IF(K450=$K$57,0,IF(K450=$K$58,0,IF(K450=$K$65,0,IF(K450=$K$66,0,IF(K450=$K$67,0,IF(K450=$K$68,0,IF(K450=$K$69,0,IF(K450=$K$51,0,1)))))))))))*AQ450*$BB$102)))</f>
        <v>0</v>
      </c>
      <c r="BC450" s="264">
        <f t="shared" si="121"/>
        <v>0</v>
      </c>
      <c r="BD450" s="264">
        <f t="shared" si="122"/>
        <v>0</v>
      </c>
      <c r="BE450" s="264">
        <f>IF($BE$95=I450,$BE$97,IF(I450=$BE$96,$BE$97,1))*($BE$102*AQ450)*$AZ$97</f>
        <v>0</v>
      </c>
      <c r="BF450" s="264">
        <f>IF('[1]Cockpit Retorno'!$C$65=Sim,Mestre!BA450,SUM(BB450:BE450)+(IF(K450=$K$56,AQ450*MOE_IRRF_LR,0)))</f>
        <v>0</v>
      </c>
      <c r="BG450" s="266">
        <f>IF(AA450&gt;0,0,IF(Z450=$Z$82,AG450*1,(IF(Z450=$Z$81,AG450*1,0))))</f>
        <v>0</v>
      </c>
      <c r="BH450" s="266">
        <f>IF(AA450&gt;0,0,IF(Z450=$Z$83,AG450*1,IF(Z450=$Z$81,AG450*1,0)))</f>
        <v>0</v>
      </c>
      <c r="BI450" s="266">
        <f>IF(AA450&gt;0,0,IF(Z450=$Z$84,AG450*1,IF(Z450=$Z$93,AG450*2,IF(Z450=$Z$100,AG450,IF(Z450=$Z$81,AG450*2,IF(Z450=$Z$80,AG450*1,IF(Z450=$Z$79,AG450*3,IF(Z450=$Z$78,AG450*2,0))))))))</f>
        <v>0</v>
      </c>
      <c r="BJ450" s="266">
        <f>IF(AA450&gt;0,0,IF(Z450=$Z$85,AG450,IF(Z450=$Z$93,AG450,IF(Z450=$Z$100,AG450,IF(Z450=$Z$81,AG450*1,IF(Z450=$Z$80,AG450*2,IF(Z450=$Z$79,AG450*2,IF(Z450=$Z$78,AG450*2,0))))))))</f>
        <v>0</v>
      </c>
      <c r="BK450" s="266">
        <f>IF(AA450&gt;0,0,IF(Z450=$Z$92,AG450,0))</f>
        <v>0</v>
      </c>
      <c r="BL450" s="266">
        <f>IF(AA450&gt;0,0,IF(Z450=$Z$91,AG450,0))</f>
        <v>0</v>
      </c>
      <c r="BM450" s="266">
        <f>IF(AA450&gt;0,0,IF(Z450=$Z$86,AG450,0))</f>
        <v>0</v>
      </c>
      <c r="BN450" s="266">
        <f>IF(AA450&gt;0,0,IF(Z450=$Z$87,AG450,0))</f>
        <v>0</v>
      </c>
      <c r="BO450" s="266">
        <f>IF(AA450&gt;0,0,IF(Z450=$Z$88,AG450,0))</f>
        <v>0</v>
      </c>
      <c r="BP450" s="266">
        <f>IF(AA450&gt;0,0,IF(Z450=$Z$89,AG450,0))</f>
        <v>0</v>
      </c>
      <c r="BQ450" s="266">
        <f>IF(AA450&gt;0,0,IF(Z450=$Z$90,AG450,0))</f>
        <v>0</v>
      </c>
      <c r="BR450" s="266">
        <f>IF(Z450=$Z$82,AA450*AG450,0)</f>
        <v>0</v>
      </c>
      <c r="BS450" s="266">
        <f>IF(Z450=$Z$83,AA450*AG450,0)</f>
        <v>0</v>
      </c>
      <c r="BT450" s="266">
        <f>IF(AA450&lt;1,0,IF(Z450=$Z$84,AA450*AG450,IF(Z450=$Z$93,"ERRO",IF(Z450=$Z$100,"ERRO",0))))</f>
        <v>0</v>
      </c>
      <c r="BU450" s="266">
        <f>IF(AA450&lt;1,0,IF(Z450=$Z$85,AA450*AG450,IF(Z450=$Z$93,"ERRO",IF(Z450=$Z$100,"ERRO",0))))</f>
        <v>0</v>
      </c>
      <c r="BV450" s="266">
        <f>IF(Z450=$Z$92,AA450*AG450,0)</f>
        <v>0</v>
      </c>
      <c r="BW450" s="266">
        <f>IF(Z450=$Z$91,AA450*AG450,0)</f>
        <v>0</v>
      </c>
      <c r="BX450" s="266">
        <f>IF(Z450=$Z$86,AA450*AG450,0)</f>
        <v>0</v>
      </c>
      <c r="BY450" s="266">
        <f>IF(Z450=$Z$87,AA450*AG450,0)</f>
        <v>0</v>
      </c>
      <c r="BZ450" s="266">
        <f>IF(Z450=$Z$88,AA450*AG450,0)</f>
        <v>0</v>
      </c>
      <c r="CA450" s="266">
        <f>IF(Z450=$Z$89,AA450*AG450,0)</f>
        <v>0</v>
      </c>
      <c r="CB450" s="266">
        <f>IF(Z450=$Z$90,AA450*AG450,0)</f>
        <v>0</v>
      </c>
      <c r="CC450" s="267">
        <f>IFERROR(IF(L450=$L$49,AG450*AH450*(1+AI450)*(1-AK450)*(1-AL450),0),0)</f>
        <v>0</v>
      </c>
      <c r="CD450" s="268">
        <f>IF(I450=$CD$97,1,IF(I450=$CD$100,2,IF(K450=$K$66,1,IF(K450=$K$69,1,3))))</f>
        <v>2</v>
      </c>
      <c r="CE450" s="268">
        <f t="shared" si="113"/>
        <v>1.07</v>
      </c>
      <c r="CF450" s="269">
        <f t="shared" si="96"/>
        <v>1.2788999999999999</v>
      </c>
      <c r="CG450" s="268">
        <f t="shared" si="114"/>
        <v>1.47</v>
      </c>
      <c r="CH450" s="269">
        <f t="shared" si="97"/>
        <v>1.6023000000000001</v>
      </c>
      <c r="CI450" s="268">
        <f t="shared" si="115"/>
        <v>1.7</v>
      </c>
      <c r="CJ450" s="269">
        <f t="shared" si="107"/>
        <v>1.0486</v>
      </c>
      <c r="CK450" s="269">
        <f t="shared" si="108"/>
        <v>1.1893769999999999</v>
      </c>
      <c r="CL450" s="269">
        <f t="shared" si="109"/>
        <v>1.4405999999999999</v>
      </c>
      <c r="CM450" s="269">
        <f t="shared" si="110"/>
        <v>1.5542309999999999</v>
      </c>
      <c r="CN450" s="268">
        <f t="shared" si="111"/>
        <v>1.6319999999999999</v>
      </c>
      <c r="CO450" s="269">
        <f t="shared" si="124"/>
        <v>1.006656</v>
      </c>
      <c r="CP450" s="272">
        <f t="shared" si="104"/>
        <v>0</v>
      </c>
      <c r="CQ450" s="273">
        <f t="shared" si="105"/>
        <v>0</v>
      </c>
      <c r="CR450" s="274">
        <f t="shared" si="123"/>
        <v>0</v>
      </c>
      <c r="CS450" s="277"/>
      <c r="CT450" s="277"/>
      <c r="CU450" s="277"/>
      <c r="CV450" s="277"/>
      <c r="CW450" s="277"/>
      <c r="CX450" s="277"/>
      <c r="CY450" s="277"/>
      <c r="CZ450" s="277"/>
      <c r="DA450" s="277"/>
      <c r="DB450" s="277"/>
      <c r="DC450" s="277"/>
      <c r="DD450" s="277"/>
      <c r="DE450" s="277"/>
      <c r="DF450" s="277"/>
      <c r="DG450" s="277"/>
      <c r="DH450" s="277"/>
      <c r="DI450" s="277"/>
      <c r="DJ450" s="277"/>
      <c r="DK450" s="277"/>
      <c r="DL450" s="277"/>
      <c r="DM450" s="277"/>
      <c r="DN450" s="277"/>
      <c r="DO450" s="277"/>
      <c r="DP450" s="277"/>
      <c r="DQ450" s="277"/>
      <c r="DR450" s="277"/>
      <c r="DS450" s="277"/>
      <c r="DT450" s="277"/>
      <c r="DU450" s="277"/>
      <c r="DV450" s="277"/>
      <c r="DW450" s="277"/>
      <c r="DX450" s="277"/>
      <c r="DY450" s="277"/>
      <c r="DZ450" s="277"/>
      <c r="EA450" s="277"/>
      <c r="EB450" s="277"/>
      <c r="EC450" s="277"/>
      <c r="ED450" s="277"/>
      <c r="EE450" s="277"/>
      <c r="EF450" s="277"/>
      <c r="EG450" s="277"/>
      <c r="EH450" s="277"/>
      <c r="EI450" s="277"/>
      <c r="EJ450" s="277"/>
      <c r="EK450" s="277"/>
      <c r="EL450" s="277"/>
      <c r="EM450" s="277"/>
      <c r="EN450" s="277"/>
      <c r="EO450" s="277"/>
      <c r="EP450" s="277"/>
      <c r="EQ450" s="277"/>
      <c r="ER450" s="277"/>
      <c r="ES450" s="277"/>
      <c r="ET450" s="277"/>
      <c r="EU450" s="277"/>
      <c r="EV450" s="277"/>
      <c r="EW450" s="277"/>
      <c r="EX450" s="277"/>
      <c r="EY450" s="277"/>
      <c r="EZ450" s="277"/>
      <c r="FA450" s="277"/>
    </row>
    <row r="451" spans="1:157" s="278" customFormat="1" ht="12.75" customHeight="1" x14ac:dyDescent="0.25">
      <c r="A451" s="238">
        <f>IF(AND('[1]Cockpit Retorno'!$E$67=Sim,Mestre!M451=Mestre!$M$98),0,1)</f>
        <v>1</v>
      </c>
      <c r="B451" s="238">
        <f>IF(AND('[1]Cockpit Retorno'!$E$67=Sim,Mestre!L451=Mestre!$L$48),0,1)</f>
        <v>0</v>
      </c>
      <c r="C451" s="238">
        <f>IF(AND('[1]Cockpit Retorno'!$E$67=Sim,Mestre!M451=Mestre!$M$97),0,1)</f>
        <v>1</v>
      </c>
      <c r="D451" s="239" t="s">
        <v>259</v>
      </c>
      <c r="E451" s="240"/>
      <c r="F451" s="241"/>
      <c r="G451" s="242">
        <v>100021</v>
      </c>
      <c r="H451" s="243" t="s">
        <v>116</v>
      </c>
      <c r="I451" s="244" t="str">
        <f t="shared" si="116"/>
        <v>Despesas</v>
      </c>
      <c r="J451" s="243" t="s">
        <v>12</v>
      </c>
      <c r="K451" s="245" t="s">
        <v>116</v>
      </c>
      <c r="L451" s="246" t="s">
        <v>15</v>
      </c>
      <c r="M451" s="247"/>
      <c r="N451" s="248" t="s">
        <v>43</v>
      </c>
      <c r="O451" s="248" t="s">
        <v>43</v>
      </c>
      <c r="P451" s="248" t="s">
        <v>43</v>
      </c>
      <c r="Q451" s="248" t="s">
        <v>43</v>
      </c>
      <c r="R451" s="248" t="s">
        <v>43</v>
      </c>
      <c r="S451" s="249" t="s">
        <v>43</v>
      </c>
      <c r="T451" s="243" t="s">
        <v>43</v>
      </c>
      <c r="U451" s="243" t="s">
        <v>43</v>
      </c>
      <c r="V451" s="243" t="s">
        <v>43</v>
      </c>
      <c r="W451" s="243" t="s">
        <v>43</v>
      </c>
      <c r="X451" s="250" t="s">
        <v>600</v>
      </c>
      <c r="Y451" s="243" t="s">
        <v>43</v>
      </c>
      <c r="Z451" s="243" t="s">
        <v>43</v>
      </c>
      <c r="AA451" s="243">
        <v>0</v>
      </c>
      <c r="AB451" s="248" t="s">
        <v>43</v>
      </c>
      <c r="AC451" s="243" t="s">
        <v>43</v>
      </c>
      <c r="AD451" s="248" t="s">
        <v>43</v>
      </c>
      <c r="AE451" s="248" t="s">
        <v>141</v>
      </c>
      <c r="AF451" s="243" t="s">
        <v>43</v>
      </c>
      <c r="AG451" s="251">
        <v>0</v>
      </c>
      <c r="AH451" s="252">
        <v>0</v>
      </c>
      <c r="AI451" s="253">
        <v>0</v>
      </c>
      <c r="AJ451" s="253">
        <v>0</v>
      </c>
      <c r="AK451" s="253">
        <v>0</v>
      </c>
      <c r="AL451" s="253">
        <v>0</v>
      </c>
      <c r="AM451" s="254">
        <f>(((IF(L451=$L$101,1,IF(L451=$L$47,1,0))*(AH451*(1-AK451)))*AG451)*(1-AL451))</f>
        <v>0</v>
      </c>
      <c r="AN451" s="255">
        <f>IF(K451=$K$50,AM451,IF(K451=$K$53,AM451,IF(K451=$K$54,AM451,IF(K451=$K$55,AM451,IF(K451=$K$56,AM451,IF(K451=$K$57,AM451,IF(K451=$K$58,AM451,IF(K451=$K$65,AM451,IF(K451=$K$66,AM451,IF(K451=$K$67,AM451,IF(K451=$K$68,AM451,IF(K451=$K$69,AM451,(AM451*(1+AI451))))))))))))))</f>
        <v>0</v>
      </c>
      <c r="AO451" s="256">
        <v>1.4</v>
      </c>
      <c r="AP451" s="257">
        <f t="shared" si="117"/>
        <v>0</v>
      </c>
      <c r="AQ451" s="258">
        <f t="shared" si="125"/>
        <v>0</v>
      </c>
      <c r="AR451" s="257">
        <f t="shared" si="118"/>
        <v>0</v>
      </c>
      <c r="AS451" s="259">
        <f t="shared" si="119"/>
        <v>0</v>
      </c>
      <c r="AT451" s="260" t="str">
        <f>K451</f>
        <v>TRS</v>
      </c>
      <c r="AU451" s="261" t="str">
        <f>I451</f>
        <v>Despesas</v>
      </c>
      <c r="AV451" s="262"/>
      <c r="AW451" s="263">
        <f>IF(K451=$K$50,0,IF(K451=$K$53,0,IF(K451=$K$54,0,IF(K451=$K$55,0,IF(K451=$K$56,0,IF(K451=$K$57,0,IF(K451=$K$58,0,IF(K451=$K$65,0,IF(K451=$K$66,0,IF(K451=$K$67,0,IF(K451=$K$68,0,IF(K451=$K$69,0,1))))))))))))*AM451*AI451</f>
        <v>0</v>
      </c>
      <c r="AX451" s="264">
        <f>IF(K451=$K$50,0,IF(K451=$K$53,0,IF(K451=$K$54,0,IF(K451=$K$55,0,IF(K451=$K$56,0,IF(K451=$K$57,0,IF(K451=$K$58,0,IF(K451=$K$65,0,IF(K451=$K$66,0,IF(K451=$K$67,0,IF(K451=$K$68,0,IF(K451=$K$69,0,1))))))))))))*AM451*AJ451*$AX$94</f>
        <v>0</v>
      </c>
      <c r="AY451" s="264">
        <f>IF(K451=$K$53,0,IF(K451=$K$54,0,IF(K451=$K$55,0,IF(K451=$K$56,0,IF(K451=$K$58,0,IF(K451=$K$50,0,IF(K451=$K$65,0,IF(K451=$K$57,0,IF(K451=$K$51,0,AM451*$AY$102)))))))))</f>
        <v>0</v>
      </c>
      <c r="AZ451" s="264">
        <f>IF(K451=$K$53,0,IF(K451=$K$54,0,IF(K451=$K$55,0,IF(K451=$K$56,0,IF(K451=$K$58,0,IF(K451=$K$50,0,IF(K451=$K$65,0,IF(K451=$K$57,0,AM451*$AZ$102))))))))</f>
        <v>0</v>
      </c>
      <c r="BA451" s="264">
        <f t="shared" si="120"/>
        <v>0</v>
      </c>
      <c r="BB451" s="265">
        <f>IF($BA$97=1,AQ451*$BB$102,IF(K451=$K$50,0,IF(K451=$K$53,0,IF(K451=$K$54,0,IF(K451=$K$55,0,IF(K451=$K$56,0,IF(K451=$K$57,0,IF(K451=$K$58,0,IF(K451=$K$65,0,IF(K451=$K$66,0,IF(K451=$K$67,0,IF(K451=$K$68,0,IF(K451=$K$69,0,IF(K451=$K$51,0,1)))))))))))*AQ451*$BB$102)))</f>
        <v>0</v>
      </c>
      <c r="BC451" s="264">
        <f t="shared" si="121"/>
        <v>0</v>
      </c>
      <c r="BD451" s="264">
        <f t="shared" si="122"/>
        <v>0</v>
      </c>
      <c r="BE451" s="264">
        <f>IF($BE$95=I451,$BE$97,IF(I451=$BE$96,$BE$97,1))*($BE$102*AQ451)*$AZ$97</f>
        <v>0</v>
      </c>
      <c r="BF451" s="264">
        <f>IF('[1]Cockpit Retorno'!$C$65=Sim,Mestre!BA451,SUM(BB451:BE451)+(IF(K451=$K$56,AQ451*MOE_IRRF_LR,0)))</f>
        <v>0</v>
      </c>
      <c r="BG451" s="266">
        <f>IF(AA451&gt;0,0,IF(Z451=$Z$82,AG451*1,(IF(Z451=$Z$81,AG451*1,0))))</f>
        <v>0</v>
      </c>
      <c r="BH451" s="266">
        <f>IF(AA451&gt;0,0,IF(Z451=$Z$83,AG451*1,IF(Z451=$Z$81,AG451*1,0)))</f>
        <v>0</v>
      </c>
      <c r="BI451" s="266">
        <f>IF(AA451&gt;0,0,IF(Z451=$Z$84,AG451*1,IF(Z451=$Z$93,AG451*2,IF(Z451=$Z$100,AG451,IF(Z451=$Z$81,AG451*2,IF(Z451=$Z$80,AG451*1,IF(Z451=$Z$79,AG451*3,IF(Z451=$Z$78,AG451*2,0))))))))</f>
        <v>0</v>
      </c>
      <c r="BJ451" s="266">
        <f>IF(AA451&gt;0,0,IF(Z451=$Z$85,AG451,IF(Z451=$Z$93,AG451,IF(Z451=$Z$100,AG451,IF(Z451=$Z$81,AG451*1,IF(Z451=$Z$80,AG451*2,IF(Z451=$Z$79,AG451*2,IF(Z451=$Z$78,AG451*2,0))))))))</f>
        <v>0</v>
      </c>
      <c r="BK451" s="266">
        <f>IF(AA451&gt;0,0,IF(Z451=$Z$92,AG451,0))</f>
        <v>0</v>
      </c>
      <c r="BL451" s="266">
        <f>IF(AA451&gt;0,0,IF(Z451=$Z$91,AG451,0))</f>
        <v>0</v>
      </c>
      <c r="BM451" s="266">
        <f>IF(AA451&gt;0,0,IF(Z451=$Z$86,AG451,0))</f>
        <v>0</v>
      </c>
      <c r="BN451" s="266">
        <f>IF(AA451&gt;0,0,IF(Z451=$Z$87,AG451,0))</f>
        <v>0</v>
      </c>
      <c r="BO451" s="266">
        <f>IF(AA451&gt;0,0,IF(Z451=$Z$88,AG451,0))</f>
        <v>0</v>
      </c>
      <c r="BP451" s="266">
        <f>IF(AA451&gt;0,0,IF(Z451=$Z$89,AG451,0))</f>
        <v>0</v>
      </c>
      <c r="BQ451" s="266">
        <f>IF(AA451&gt;0,0,IF(Z451=$Z$90,AG451,0))</f>
        <v>0</v>
      </c>
      <c r="BR451" s="266">
        <f>IF(Z451=$Z$82,AA451*AG451,0)</f>
        <v>0</v>
      </c>
      <c r="BS451" s="266">
        <f>IF(Z451=$Z$83,AA451*AG451,0)</f>
        <v>0</v>
      </c>
      <c r="BT451" s="266">
        <f>IF(AA451&lt;1,0,IF(Z451=$Z$84,AA451*AG451,IF(Z451=$Z$93,"ERRO",IF(Z451=$Z$100,"ERRO",0))))</f>
        <v>0</v>
      </c>
      <c r="BU451" s="266">
        <f>IF(AA451&lt;1,0,IF(Z451=$Z$85,AA451*AG451,IF(Z451=$Z$93,"ERRO",IF(Z451=$Z$100,"ERRO",0))))</f>
        <v>0</v>
      </c>
      <c r="BV451" s="266">
        <f>IF(Z451=$Z$92,AA451*AG451,0)</f>
        <v>0</v>
      </c>
      <c r="BW451" s="266">
        <f>IF(Z451=$Z$91,AA451*AG451,0)</f>
        <v>0</v>
      </c>
      <c r="BX451" s="266">
        <f>IF(Z451=$Z$86,AA451*AG451,0)</f>
        <v>0</v>
      </c>
      <c r="BY451" s="266">
        <f>IF(Z451=$Z$87,AA451*AG451,0)</f>
        <v>0</v>
      </c>
      <c r="BZ451" s="266">
        <f>IF(Z451=$Z$88,AA451*AG451,0)</f>
        <v>0</v>
      </c>
      <c r="CA451" s="266">
        <f>IF(Z451=$Z$89,AA451*AG451,0)</f>
        <v>0</v>
      </c>
      <c r="CB451" s="266">
        <f>IF(Z451=$Z$90,AA451*AG451,0)</f>
        <v>0</v>
      </c>
      <c r="CC451" s="267">
        <f>IFERROR(IF(L451=$L$49,AG451*AH451*(1+AI451)*(1-AK451)*(1-AL451),0),0)</f>
        <v>0</v>
      </c>
      <c r="CD451" s="268">
        <f>IF(I451=$CD$97,1,IF(I451=$CD$100,2,IF(K451=$K$66,1,IF(K451=$K$69,1,3))))</f>
        <v>2</v>
      </c>
      <c r="CE451" s="268">
        <f t="shared" si="113"/>
        <v>1.07</v>
      </c>
      <c r="CF451" s="269">
        <f t="shared" si="96"/>
        <v>1.2788999999999999</v>
      </c>
      <c r="CG451" s="268">
        <f t="shared" si="114"/>
        <v>1.47</v>
      </c>
      <c r="CH451" s="269">
        <f t="shared" si="97"/>
        <v>1.6023000000000001</v>
      </c>
      <c r="CI451" s="268">
        <f t="shared" si="115"/>
        <v>1.7</v>
      </c>
      <c r="CJ451" s="269">
        <f t="shared" si="107"/>
        <v>1.0486</v>
      </c>
      <c r="CK451" s="269">
        <f t="shared" si="108"/>
        <v>1.1893769999999999</v>
      </c>
      <c r="CL451" s="269">
        <f t="shared" si="109"/>
        <v>1.4405999999999999</v>
      </c>
      <c r="CM451" s="269">
        <f t="shared" si="110"/>
        <v>1.5542309999999999</v>
      </c>
      <c r="CN451" s="268">
        <f t="shared" si="111"/>
        <v>1.6319999999999999</v>
      </c>
      <c r="CO451" s="269">
        <f t="shared" si="124"/>
        <v>1.006656</v>
      </c>
      <c r="CP451" s="272">
        <f t="shared" si="104"/>
        <v>0</v>
      </c>
      <c r="CQ451" s="273">
        <f t="shared" si="105"/>
        <v>0</v>
      </c>
      <c r="CR451" s="274">
        <f t="shared" si="123"/>
        <v>0</v>
      </c>
      <c r="CS451" s="277"/>
      <c r="CT451" s="277"/>
      <c r="CU451" s="277"/>
      <c r="CV451" s="277"/>
      <c r="CW451" s="277"/>
      <c r="CX451" s="277"/>
      <c r="CY451" s="277"/>
      <c r="CZ451" s="277"/>
      <c r="DA451" s="277"/>
      <c r="DB451" s="277"/>
      <c r="DC451" s="277"/>
      <c r="DD451" s="277"/>
      <c r="DE451" s="277"/>
      <c r="DF451" s="277"/>
      <c r="DG451" s="277"/>
      <c r="DH451" s="277"/>
      <c r="DI451" s="277"/>
      <c r="DJ451" s="277"/>
      <c r="DK451" s="277"/>
      <c r="DL451" s="277"/>
      <c r="DM451" s="277"/>
      <c r="DN451" s="277"/>
      <c r="DO451" s="277"/>
      <c r="DP451" s="277"/>
      <c r="DQ451" s="277"/>
      <c r="DR451" s="277"/>
      <c r="DS451" s="277"/>
      <c r="DT451" s="277"/>
      <c r="DU451" s="277"/>
      <c r="DV451" s="277"/>
      <c r="DW451" s="277"/>
      <c r="DX451" s="277"/>
      <c r="DY451" s="277"/>
      <c r="DZ451" s="277"/>
      <c r="EA451" s="277"/>
      <c r="EB451" s="277"/>
      <c r="EC451" s="277"/>
      <c r="ED451" s="277"/>
      <c r="EE451" s="277"/>
      <c r="EF451" s="277"/>
      <c r="EG451" s="277"/>
      <c r="EH451" s="277"/>
      <c r="EI451" s="277"/>
      <c r="EJ451" s="277"/>
      <c r="EK451" s="277"/>
      <c r="EL451" s="277"/>
      <c r="EM451" s="277"/>
      <c r="EN451" s="277"/>
      <c r="EO451" s="277"/>
      <c r="EP451" s="277"/>
      <c r="EQ451" s="277"/>
      <c r="ER451" s="277"/>
      <c r="ES451" s="277"/>
      <c r="ET451" s="277"/>
      <c r="EU451" s="277"/>
      <c r="EV451" s="277"/>
      <c r="EW451" s="277"/>
      <c r="EX451" s="277"/>
      <c r="EY451" s="277"/>
      <c r="EZ451" s="277"/>
      <c r="FA451" s="277"/>
    </row>
    <row r="452" spans="1:157" s="280" customFormat="1" x14ac:dyDescent="0.25">
      <c r="A452" s="280">
        <f>IF(AND('[1]Cockpit Retorno'!$E$67=Sim,Mestre!M452=Mestre!$M$98),0,1)</f>
        <v>1</v>
      </c>
      <c r="B452" s="280">
        <f>IF(AND('[1]Cockpit Retorno'!$E$67=Sim,Mestre!L452=Mestre!$L$48),0,1)</f>
        <v>0</v>
      </c>
      <c r="C452" s="280">
        <f>IF(AND('[1]Cockpit Retorno'!$E$67=Sim,Mestre!M452=Mestre!$M$97),0,1)</f>
        <v>1</v>
      </c>
      <c r="D452" s="281" t="s">
        <v>270</v>
      </c>
      <c r="E452" s="282"/>
      <c r="F452" s="283" t="s">
        <v>107</v>
      </c>
      <c r="G452" s="284">
        <v>100022</v>
      </c>
      <c r="H452" s="285" t="s">
        <v>50</v>
      </c>
      <c r="I452" s="286" t="str">
        <f>VLOOKUP(K452,$N$74:$O$95,2)</f>
        <v>Despesas</v>
      </c>
      <c r="J452" s="287" t="s">
        <v>12</v>
      </c>
      <c r="K452" s="288" t="s">
        <v>50</v>
      </c>
      <c r="L452" s="285" t="s">
        <v>15</v>
      </c>
      <c r="M452" s="289" t="s">
        <v>12</v>
      </c>
      <c r="N452" s="290" t="s">
        <v>601</v>
      </c>
      <c r="O452" s="290" t="s">
        <v>261</v>
      </c>
      <c r="P452" s="290" t="s">
        <v>43</v>
      </c>
      <c r="Q452" s="290" t="s">
        <v>43</v>
      </c>
      <c r="R452" s="290" t="s">
        <v>43</v>
      </c>
      <c r="S452" s="291" t="s">
        <v>43</v>
      </c>
      <c r="T452" s="291" t="s">
        <v>43</v>
      </c>
      <c r="U452" s="287" t="s">
        <v>43</v>
      </c>
      <c r="V452" s="287" t="s">
        <v>43</v>
      </c>
      <c r="W452" s="287" t="s">
        <v>43</v>
      </c>
      <c r="X452" s="292" t="s">
        <v>602</v>
      </c>
      <c r="Y452" s="287" t="s">
        <v>43</v>
      </c>
      <c r="Z452" s="287" t="s">
        <v>43</v>
      </c>
      <c r="AA452" s="287">
        <v>0</v>
      </c>
      <c r="AB452" s="290" t="s">
        <v>43</v>
      </c>
      <c r="AC452" s="287" t="s">
        <v>43</v>
      </c>
      <c r="AD452" s="290" t="s">
        <v>43</v>
      </c>
      <c r="AE452" s="290"/>
      <c r="AF452" s="287" t="s">
        <v>43</v>
      </c>
      <c r="AG452" s="293">
        <v>1</v>
      </c>
      <c r="AH452" s="294">
        <v>0</v>
      </c>
      <c r="AI452" s="295">
        <v>0</v>
      </c>
      <c r="AJ452" s="295">
        <v>0</v>
      </c>
      <c r="AK452" s="296">
        <v>0</v>
      </c>
      <c r="AL452" s="297">
        <v>0</v>
      </c>
      <c r="AM452" s="298">
        <f>(((IF(L452=$L$101,1,IF(L452=$L$47,1,0))*(AH452*(1-AK452)))*AG452)*(1-AL452))</f>
        <v>0</v>
      </c>
      <c r="AN452" s="299">
        <f>IF(K452=$K$50,AM452,IF(K452=$K$53,AM452,IF(K452=$K$54,AM452,IF(K452=$K$55,AM452,IF(K452=$K$56,AM452,IF(K452=$K$57,AM452,IF(K452=$K$58,AM452,IF(K452=$K$65,AM452,IF(K452=$K$66,AM452,IF(K452=$K$67,AM452,IF(K452=$K$68,AM452,IF(K452=$K$69,AM452,IF(K452=$K$51,AM452,(AM452*(1+AI452)))))))))))))))</f>
        <v>0</v>
      </c>
      <c r="AO452" s="300">
        <v>1.4</v>
      </c>
      <c r="AP452" s="294">
        <f>AM452*AO452</f>
        <v>0</v>
      </c>
      <c r="AQ452" s="301">
        <f>AP452*Fator_Venda</f>
        <v>0</v>
      </c>
      <c r="AR452" s="294">
        <f>AO452*AN452</f>
        <v>0</v>
      </c>
      <c r="AS452" s="302">
        <f>IFERROR(IF($AX$94=0,(CQ452/AN452),CQ452/AM452),0)</f>
        <v>0</v>
      </c>
      <c r="AT452" s="303" t="str">
        <f>K452</f>
        <v>MOB</v>
      </c>
      <c r="AU452" s="304" t="str">
        <f>I452</f>
        <v>Despesas</v>
      </c>
      <c r="AV452" s="305"/>
      <c r="AW452" s="306">
        <f>IF(K452=$K$50,0,IF(K452=$K$53,0,IF(K452=$K$54,0,IF(K452=$K$55,0,IF(K452=$K$56,0,IF(K452=$K$57,0,IF(K452=$K$58,0,IF(K452=$K$65,0,IF(K452=$K$66,0,IF(K452=$K$67,0,IF(K452=$K$68,0,IF(K452=$K$69,0,IF(K452=$K$51,0,1))))))))))))*AM452*AI452)</f>
        <v>0</v>
      </c>
      <c r="AX452" s="307">
        <f>IF(K452=$K$50,0,IF(K452=$K$53,0,IF(K452=$K$54,0,IF(K452=$K$55,0,IF(K452=$K$56,0,IF(K452=$K$57,0,IF(K452=$K$58,0,IF(K452=$K$65,0,IF(K452=$K$66,0,IF(K452=$K$67,0,IF(K452=$K$68,0,IF(K452=$K$69,0,IF(K452=$K$51,0,1))))))))))))*AM452*AJ452*$AX$94)</f>
        <v>0</v>
      </c>
      <c r="AY452" s="307">
        <f>IF(K452=$K$53,0,IF(K452=$K$54,0,IF(K452=$K$55,0,IF(K452=$K$56,0,IF(K452=$K$58,0,IF(K452=$K$50,0,IF(K452=$K$65,0,IF(K452=$K$57,0,IF(K452=$K$51,0,AM452*$AY$102)))))))))</f>
        <v>0</v>
      </c>
      <c r="AZ452" s="307">
        <f>IF(K452=$K$53,0,IF(K452=$K$54,0,IF(K452=$K$55,0,IF(K452=$K$56,0,IF(K452=$K$58,0,IF(K452=$K$50,0,IF(K452=$K$65,0,IF(K452=$K$57,0,IF(K452=$K$51,0,AM452*$AZ$102)))))))))</f>
        <v>0</v>
      </c>
      <c r="BA452" s="307">
        <f>AZ452+AY452+AX452</f>
        <v>0</v>
      </c>
      <c r="BB452" s="308">
        <f>IF($BA$97=1,AQ452*$BB$102,IF(K452=$K$50,0,IF(K452=$K$53,0,IF(K452=$K$54,0,IF(K452=$K$55,0,IF(K452=$K$56,0,IF(K452=$K$57,0,IF(K452=$K$58,0,IF(K452=$K$65,0,IF(K452=$K$66,0,IF(K452=$K$67,0,IF(K452=$K$68,0,IF(K452=$K$69,0,IF(K452=$K$51,0,1)))))))))))*AQ452*$BB$102)))</f>
        <v>0</v>
      </c>
      <c r="BC452" s="307">
        <f>AQ452*$BC$102</f>
        <v>0</v>
      </c>
      <c r="BD452" s="307">
        <f>$BD$102*AQ452</f>
        <v>0</v>
      </c>
      <c r="BE452" s="307">
        <f>IF($BE$95=I452,$BE$97,IF(I452=$BE$96,$BE$97,1))*($BE$102*AQ452)*$AZ$97</f>
        <v>0</v>
      </c>
      <c r="BF452" s="307">
        <f>IF('[1]Cockpit Retorno'!$C$65=Sim,Mestre!BA452,SUM(BB452:BE452)+(IF(K452=$K$56,AQ452*MOE_IRRF_LR,0)))</f>
        <v>0</v>
      </c>
      <c r="BG452" s="309">
        <f>IF(AA452&gt;0,0,IF(Z452=$Z$82,AG452*1,(IF(Z452=$Z$81,AG452*1,0))))</f>
        <v>0</v>
      </c>
      <c r="BH452" s="309">
        <f>IF(AA452&gt;0,0,IF(Z452=$Z$83,AG452*1,IF(Z452=$Z$81,AG452*1,0)))</f>
        <v>0</v>
      </c>
      <c r="BI452" s="309">
        <f>IF(AA452&gt;0,0,IF(Z452=$Z$84,AG452*1,IF(Z452=$Z$93,AG452*2,IF(Z452=$Z$100,AG452,IF(Z452=$Z$81,AG452*2,IF(Z452=$Z$80,AG452*1,IF(Z452=$Z$79,AG452*3,IF(Z452=$Z$78,AG452*2,0))))))))</f>
        <v>0</v>
      </c>
      <c r="BJ452" s="309">
        <f>IF(AA452&gt;0,0,IF(Z452=$Z$85,AG452,IF(Z452=$Z$93,AG452,IF(Z452=$Z$100,AG452,IF(Z452=$Z$81,AG452*1,IF(Z452=$Z$80,AG452*2,IF(Z452=$Z$79,AG452*2,IF(Z452=$Z$78,AG452*2,0))))))))</f>
        <v>0</v>
      </c>
      <c r="BK452" s="309">
        <f>IF(AA452&gt;0,0,IF(Z452=$Z$92,AG452,0))</f>
        <v>0</v>
      </c>
      <c r="BL452" s="309">
        <f>IF(AA452&gt;0,0,IF(Z452=$Z$91,AG452,0))</f>
        <v>0</v>
      </c>
      <c r="BM452" s="309">
        <f>IF(AA452&gt;0,0,IF(Z452=$Z$86,AG452,0))</f>
        <v>0</v>
      </c>
      <c r="BN452" s="309">
        <f>IF(AA452&gt;0,0,IF(Z452=$Z$87,AG452,0))</f>
        <v>0</v>
      </c>
      <c r="BO452" s="309">
        <f>IF(AA452&gt;0,0,IF(Z452=$Z$88,AG452,0))</f>
        <v>0</v>
      </c>
      <c r="BP452" s="309">
        <f>IF(AA452&gt;0,0,IF(Z452=$Z$89,AG452,0))</f>
        <v>0</v>
      </c>
      <c r="BQ452" s="309">
        <f>IF(AA452&gt;0,0,IF(Z452=$Z$90,AG452,0))</f>
        <v>0</v>
      </c>
      <c r="BR452" s="309">
        <f>IF(Z452=$Z$82,AA452*AG452,0)</f>
        <v>0</v>
      </c>
      <c r="BS452" s="309">
        <f>IF(Z452=$Z$83,AA452*AG452,0)</f>
        <v>0</v>
      </c>
      <c r="BT452" s="309">
        <f>IF(AA452&lt;1,0,IF(Z452=$Z$84,AA452*AG452,IF(Z452=$Z$93,"ERRO",IF(Z452=$Z$100,"ERRO",0))))</f>
        <v>0</v>
      </c>
      <c r="BU452" s="309">
        <f>IF(AA452&lt;1,0,IF(Z452=$Z$85,AA452*AG452,IF(Z452=$Z$93,"ERRO",IF(Z452=$Z$100,"ERRO",0))))</f>
        <v>0</v>
      </c>
      <c r="BV452" s="309">
        <f>IF(Z452=$Z$92,AA452*AG452,0)</f>
        <v>0</v>
      </c>
      <c r="BW452" s="309">
        <f>IF(Z452=$Z$91,AA452*AG452,0)</f>
        <v>0</v>
      </c>
      <c r="BX452" s="309">
        <f>IF(Z452=$Z$86,AA452*AG452,0)</f>
        <v>0</v>
      </c>
      <c r="BY452" s="309">
        <f>IF(Z452=$Z$87,AA452*AG452,0)</f>
        <v>0</v>
      </c>
      <c r="BZ452" s="309">
        <f>IF(Z452=$Z$88,AA452*AG452,0)</f>
        <v>0</v>
      </c>
      <c r="CA452" s="309">
        <f>IF(Z452=$Z$89,AA452*AG452,0)</f>
        <v>0</v>
      </c>
      <c r="CB452" s="309">
        <f>IF(Z452=$Z$90,AA452*AG452,0)</f>
        <v>0</v>
      </c>
      <c r="CC452" s="310">
        <f>IFERROR(IF(L452=$L$49,AG452*AH452*(1+AI452)*(1-AK452)*(1-AL452),0),0)</f>
        <v>0</v>
      </c>
      <c r="CD452" s="311">
        <f>IF(I452=$CD$97,1,IF(I452=$CD$100,2,IF(K452=$K$66,1,IF(K452=$K$69,1,3))))</f>
        <v>2</v>
      </c>
      <c r="CE452" s="311">
        <f t="shared" si="113"/>
        <v>1.07</v>
      </c>
      <c r="CF452" s="312">
        <f>CG452*0.87</f>
        <v>1.2788999999999999</v>
      </c>
      <c r="CG452" s="311">
        <f t="shared" si="114"/>
        <v>1.47</v>
      </c>
      <c r="CH452" s="312">
        <f>CG452*1.09</f>
        <v>1.6023000000000001</v>
      </c>
      <c r="CI452" s="311">
        <f t="shared" si="115"/>
        <v>1.7</v>
      </c>
      <c r="CJ452" s="313">
        <f>CE452*$CJ$102</f>
        <v>1.0486</v>
      </c>
      <c r="CK452" s="313">
        <f>CF452*$CK$102</f>
        <v>1.1893769999999999</v>
      </c>
      <c r="CL452" s="313">
        <f>CG452*$CL$102</f>
        <v>1.4405999999999999</v>
      </c>
      <c r="CM452" s="313">
        <f>CH452*$CM$102</f>
        <v>1.5542309999999999</v>
      </c>
      <c r="CN452" s="314">
        <f>CI452*$CN$102</f>
        <v>1.6319999999999999</v>
      </c>
      <c r="CO452" s="315">
        <f t="shared" si="124"/>
        <v>1.006656</v>
      </c>
      <c r="CP452" s="316">
        <f>BF452-BA452</f>
        <v>0</v>
      </c>
      <c r="CQ452" s="317">
        <f>AQ452-CP452</f>
        <v>0</v>
      </c>
      <c r="CR452" s="318">
        <f>BC452+BD452</f>
        <v>0</v>
      </c>
      <c r="CS452" s="319"/>
      <c r="CT452" s="319"/>
      <c r="CU452" s="319"/>
      <c r="CV452" s="319"/>
      <c r="CW452" s="319"/>
      <c r="CX452" s="319"/>
      <c r="CY452" s="319"/>
      <c r="CZ452" s="319"/>
      <c r="DA452" s="319"/>
      <c r="DB452" s="319"/>
      <c r="DC452" s="319"/>
      <c r="DD452" s="319"/>
      <c r="DE452" s="319"/>
      <c r="DF452" s="319"/>
      <c r="DG452" s="319"/>
      <c r="DH452" s="319"/>
      <c r="DI452" s="319"/>
      <c r="DJ452" s="319"/>
      <c r="DK452" s="319"/>
      <c r="DL452" s="319"/>
      <c r="DM452" s="319"/>
      <c r="DN452" s="319"/>
      <c r="DO452" s="319"/>
      <c r="DP452" s="319"/>
      <c r="DQ452" s="319"/>
      <c r="DR452" s="319"/>
      <c r="DS452" s="319"/>
      <c r="DT452" s="319"/>
      <c r="DU452" s="319"/>
      <c r="DV452" s="319"/>
      <c r="DW452" s="319"/>
      <c r="DX452" s="319"/>
      <c r="DY452" s="319"/>
      <c r="DZ452" s="319"/>
      <c r="EA452" s="319"/>
      <c r="EB452" s="319"/>
      <c r="EC452" s="319"/>
      <c r="ED452" s="319"/>
      <c r="EE452" s="319"/>
      <c r="EF452" s="319"/>
      <c r="EG452" s="319"/>
      <c r="EH452" s="319"/>
      <c r="EI452" s="319"/>
      <c r="EJ452" s="319"/>
      <c r="EK452" s="319"/>
      <c r="EL452" s="319"/>
      <c r="EM452" s="319"/>
      <c r="EN452" s="319"/>
      <c r="EO452" s="319"/>
      <c r="EP452" s="319"/>
      <c r="EQ452" s="319"/>
      <c r="ER452" s="319"/>
      <c r="ES452" s="319"/>
      <c r="ET452" s="319"/>
      <c r="EU452" s="319"/>
      <c r="EV452" s="319"/>
      <c r="EW452" s="319"/>
      <c r="EX452" s="319"/>
      <c r="EY452" s="319"/>
      <c r="EZ452" s="319"/>
      <c r="FA452" s="319"/>
    </row>
    <row r="453" spans="1:157" s="280" customFormat="1" x14ac:dyDescent="0.25">
      <c r="A453" s="280">
        <f>IF(AND('[1]Cockpit Retorno'!$E$67=Sim,Mestre!M453=Mestre!$M$98),0,1)</f>
        <v>1</v>
      </c>
      <c r="B453" s="280">
        <f>IF(AND('[1]Cockpit Retorno'!$E$67=Sim,Mestre!L453=Mestre!$L$48),0,1)</f>
        <v>0</v>
      </c>
      <c r="C453" s="280">
        <f>IF(AND('[1]Cockpit Retorno'!$E$67=Sim,Mestre!M453=Mestre!$M$97),0,1)</f>
        <v>1</v>
      </c>
      <c r="D453" s="281" t="s">
        <v>270</v>
      </c>
      <c r="E453" s="282"/>
      <c r="F453" s="283" t="s">
        <v>107</v>
      </c>
      <c r="G453" s="284">
        <v>100022</v>
      </c>
      <c r="H453" s="285" t="s">
        <v>50</v>
      </c>
      <c r="I453" s="286" t="str">
        <f t="shared" si="116"/>
        <v>Despesas</v>
      </c>
      <c r="J453" s="287" t="s">
        <v>12</v>
      </c>
      <c r="K453" s="288" t="s">
        <v>50</v>
      </c>
      <c r="L453" s="285" t="s">
        <v>15</v>
      </c>
      <c r="M453" s="289" t="s">
        <v>12</v>
      </c>
      <c r="N453" s="290" t="s">
        <v>601</v>
      </c>
      <c r="O453" s="290" t="s">
        <v>261</v>
      </c>
      <c r="P453" s="290" t="s">
        <v>43</v>
      </c>
      <c r="Q453" s="290" t="s">
        <v>43</v>
      </c>
      <c r="R453" s="290" t="s">
        <v>43</v>
      </c>
      <c r="S453" s="291" t="s">
        <v>43</v>
      </c>
      <c r="T453" s="291" t="s">
        <v>43</v>
      </c>
      <c r="U453" s="287" t="s">
        <v>43</v>
      </c>
      <c r="V453" s="287" t="s">
        <v>43</v>
      </c>
      <c r="W453" s="287" t="s">
        <v>43</v>
      </c>
      <c r="X453" s="292" t="s">
        <v>603</v>
      </c>
      <c r="Y453" s="287" t="s">
        <v>43</v>
      </c>
      <c r="Z453" s="287" t="s">
        <v>43</v>
      </c>
      <c r="AA453" s="287">
        <v>0</v>
      </c>
      <c r="AB453" s="290" t="s">
        <v>43</v>
      </c>
      <c r="AC453" s="287" t="s">
        <v>43</v>
      </c>
      <c r="AD453" s="290" t="s">
        <v>43</v>
      </c>
      <c r="AE453" s="290"/>
      <c r="AF453" s="287" t="s">
        <v>43</v>
      </c>
      <c r="AG453" s="293">
        <v>1</v>
      </c>
      <c r="AH453" s="294">
        <f>Cesta_Básica_Total/(0.9*AO453)</f>
        <v>44603.174603174601</v>
      </c>
      <c r="AI453" s="295">
        <v>0</v>
      </c>
      <c r="AJ453" s="295">
        <v>0</v>
      </c>
      <c r="AK453" s="296">
        <v>0</v>
      </c>
      <c r="AL453" s="297">
        <v>0</v>
      </c>
      <c r="AM453" s="298">
        <f>(((IF(L453=$L$101,1,IF(L453=$L$47,1,0))*(AH453*(1-AK453)))*AG453)*(1-AL453))</f>
        <v>44603.174603174601</v>
      </c>
      <c r="AN453" s="299">
        <f>IF(K453=$K$50,AM453,IF(K453=$K$53,AM453,IF(K453=$K$54,AM453,IF(K453=$K$55,AM453,IF(K453=$K$56,AM453,IF(K453=$K$57,AM453,IF(K453=$K$58,AM453,IF(K453=$K$65,AM453,IF(K453=$K$66,AM453,IF(K453=$K$67,AM453,IF(K453=$K$68,AM453,IF(K453=$K$69,AM453,IF(K453=$K$51,AM453,(AM453*(1+AI453)))))))))))))))</f>
        <v>44603.174603174601</v>
      </c>
      <c r="AO453" s="300">
        <v>1.4</v>
      </c>
      <c r="AP453" s="294">
        <f t="shared" si="117"/>
        <v>62444.444444444438</v>
      </c>
      <c r="AQ453" s="301">
        <f t="shared" si="125"/>
        <v>54105.945245581323</v>
      </c>
      <c r="AR453" s="294">
        <f t="shared" si="118"/>
        <v>62444.444444444438</v>
      </c>
      <c r="AS453" s="302">
        <f t="shared" si="119"/>
        <v>1.1687750638360888</v>
      </c>
      <c r="AT453" s="303" t="str">
        <f>K453</f>
        <v>MOB</v>
      </c>
      <c r="AU453" s="304" t="str">
        <f>I453</f>
        <v>Despesas</v>
      </c>
      <c r="AV453" s="305"/>
      <c r="AW453" s="306">
        <f>IF(K453=$K$50,0,IF(K453=$K$53,0,IF(K453=$K$54,0,IF(K453=$K$55,0,IF(K453=$K$56,0,IF(K453=$K$57,0,IF(K453=$K$58,0,IF(K453=$K$65,0,IF(K453=$K$66,0,IF(K453=$K$67,0,IF(K453=$K$68,0,IF(K453=$K$69,0,IF(K453=$K$51,0,1))))))))))))*AM453*AI453)</f>
        <v>0</v>
      </c>
      <c r="AX453" s="307">
        <f>IF(K453=$K$50,0,IF(K453=$K$53,0,IF(K453=$K$54,0,IF(K453=$K$55,0,IF(K453=$K$56,0,IF(K453=$K$57,0,IF(K453=$K$58,0,IF(K453=$K$65,0,IF(K453=$K$66,0,IF(K453=$K$67,0,IF(K453=$K$68,0,IF(K453=$K$69,0,IF(K453=$K$51,0,1))))))))))))*AM453*AJ453*$AX$94)</f>
        <v>0</v>
      </c>
      <c r="AY453" s="307">
        <f>IF(K453=$K$53,0,IF(K453=$K$54,0,IF(K453=$K$55,0,IF(K453=$K$56,0,IF(K453=$K$58,0,IF(K453=$K$50,0,IF(K453=$K$65,0,IF(K453=$K$57,0,IF(K453=$K$51,0,AM453*$AY$102)))))))))</f>
        <v>0</v>
      </c>
      <c r="AZ453" s="307">
        <f>IF(K453=$K$53,0,IF(K453=$K$54,0,IF(K453=$K$55,0,IF(K453=$K$56,0,IF(K453=$K$58,0,IF(K453=$K$50,0,IF(K453=$K$65,0,IF(K453=$K$57,0,IF(K453=$K$51,0,AM453*$AZ$102)))))))))</f>
        <v>0</v>
      </c>
      <c r="BA453" s="307">
        <f t="shared" si="120"/>
        <v>0</v>
      </c>
      <c r="BB453" s="308">
        <f>IF($BA$97=1,AQ453*$BB$102,IF(K453=$K$50,0,IF(K453=$K$53,0,IF(K453=$K$54,0,IF(K453=$K$55,0,IF(K453=$K$56,0,IF(K453=$K$57,0,IF(K453=$K$58,0,IF(K453=$K$65,0,IF(K453=$K$66,0,IF(K453=$K$67,0,IF(K453=$K$68,0,IF(K453=$K$69,0,IF(K453=$K$51,0,1)))))))))))*AQ453*$BB$102)))</f>
        <v>0</v>
      </c>
      <c r="BC453" s="307">
        <f t="shared" si="121"/>
        <v>351.68864409627861</v>
      </c>
      <c r="BD453" s="307">
        <f t="shared" si="122"/>
        <v>1623.1783573674395</v>
      </c>
      <c r="BE453" s="307">
        <f>IF($BE$95=I453,$BE$97,IF(I453=$BE$96,$BE$97,1))*($BE$102*AQ453)*$AZ$97</f>
        <v>0</v>
      </c>
      <c r="BF453" s="307">
        <f>IF('[1]Cockpit Retorno'!$C$65=Sim,Mestre!BA453,SUM(BB453:BE453)+(IF(K453=$K$56,AQ453*MOE_IRRF_LR,0)))</f>
        <v>1974.8670014637182</v>
      </c>
      <c r="BG453" s="309">
        <f>IF(AA453&gt;0,0,IF(Z453=$Z$82,AG453*1,(IF(Z453=$Z$81,AG453*1,0))))</f>
        <v>0</v>
      </c>
      <c r="BH453" s="309">
        <f>IF(AA453&gt;0,0,IF(Z453=$Z$83,AG453*1,IF(Z453=$Z$81,AG453*1,0)))</f>
        <v>0</v>
      </c>
      <c r="BI453" s="309">
        <f>IF(AA453&gt;0,0,IF(Z453=$Z$84,AG453*1,IF(Z453=$Z$93,AG453*2,IF(Z453=$Z$100,AG453,IF(Z453=$Z$81,AG453*2,IF(Z453=$Z$80,AG453*1,IF(Z453=$Z$79,AG453*3,IF(Z453=$Z$78,AG453*2,0))))))))</f>
        <v>0</v>
      </c>
      <c r="BJ453" s="309">
        <f>IF(AA453&gt;0,0,IF(Z453=$Z$85,AG453,IF(Z453=$Z$93,AG453,IF(Z453=$Z$100,AG453,IF(Z453=$Z$81,AG453*1,IF(Z453=$Z$80,AG453*2,IF(Z453=$Z$79,AG453*2,IF(Z453=$Z$78,AG453*2,0))))))))</f>
        <v>0</v>
      </c>
      <c r="BK453" s="309">
        <f>IF(AA453&gt;0,0,IF(Z453=$Z$92,AG453,0))</f>
        <v>0</v>
      </c>
      <c r="BL453" s="309">
        <f>IF(AA453&gt;0,0,IF(Z453=$Z$91,AG453,0))</f>
        <v>0</v>
      </c>
      <c r="BM453" s="309">
        <f>IF(AA453&gt;0,0,IF(Z453=$Z$86,AG453,0))</f>
        <v>0</v>
      </c>
      <c r="BN453" s="309">
        <f>IF(AA453&gt;0,0,IF(Z453=$Z$87,AG453,0))</f>
        <v>0</v>
      </c>
      <c r="BO453" s="309">
        <f>IF(AA453&gt;0,0,IF(Z453=$Z$88,AG453,0))</f>
        <v>0</v>
      </c>
      <c r="BP453" s="309">
        <f>IF(AA453&gt;0,0,IF(Z453=$Z$89,AG453,0))</f>
        <v>0</v>
      </c>
      <c r="BQ453" s="309">
        <f>IF(AA453&gt;0,0,IF(Z453=$Z$90,AG453,0))</f>
        <v>0</v>
      </c>
      <c r="BR453" s="309">
        <f>IF(Z453=$Z$82,AA453*AG453,0)</f>
        <v>0</v>
      </c>
      <c r="BS453" s="309">
        <f>IF(Z453=$Z$83,AA453*AG453,0)</f>
        <v>0</v>
      </c>
      <c r="BT453" s="309">
        <f>IF(AA453&lt;1,0,IF(Z453=$Z$84,AA453*AG453,IF(Z453=$Z$93,"ERRO",IF(Z453=$Z$100,"ERRO",0))))</f>
        <v>0</v>
      </c>
      <c r="BU453" s="309">
        <f>IF(AA453&lt;1,0,IF(Z453=$Z$85,AA453*AG453,IF(Z453=$Z$93,"ERRO",IF(Z453=$Z$100,"ERRO",0))))</f>
        <v>0</v>
      </c>
      <c r="BV453" s="309">
        <f>IF(Z453=$Z$92,AA453*AG453,0)</f>
        <v>0</v>
      </c>
      <c r="BW453" s="309">
        <f>IF(Z453=$Z$91,AA453*AG453,0)</f>
        <v>0</v>
      </c>
      <c r="BX453" s="309">
        <f>IF(Z453=$Z$86,AA453*AG453,0)</f>
        <v>0</v>
      </c>
      <c r="BY453" s="309">
        <f>IF(Z453=$Z$87,AA453*AG453,0)</f>
        <v>0</v>
      </c>
      <c r="BZ453" s="309">
        <f>IF(Z453=$Z$88,AA453*AG453,0)</f>
        <v>0</v>
      </c>
      <c r="CA453" s="309">
        <f>IF(Z453=$Z$89,AA453*AG453,0)</f>
        <v>0</v>
      </c>
      <c r="CB453" s="309">
        <f>IF(Z453=$Z$90,AA453*AG453,0)</f>
        <v>0</v>
      </c>
      <c r="CC453" s="310">
        <f>IFERROR(IF(L453=$L$49,AG453*AH453*(1+AI453)*(1-AK453)*(1-AL453),0),0)</f>
        <v>0</v>
      </c>
      <c r="CD453" s="311">
        <f>IF(I453=$CD$97,1,IF(I453=$CD$100,2,IF(K453=$K$66,1,IF(K453=$K$69,1,3))))</f>
        <v>2</v>
      </c>
      <c r="CE453" s="311">
        <f t="shared" si="113"/>
        <v>1.07</v>
      </c>
      <c r="CF453" s="312">
        <f t="shared" si="96"/>
        <v>1.2788999999999999</v>
      </c>
      <c r="CG453" s="311">
        <f t="shared" si="114"/>
        <v>1.47</v>
      </c>
      <c r="CH453" s="312">
        <f t="shared" si="97"/>
        <v>1.6023000000000001</v>
      </c>
      <c r="CI453" s="311">
        <f t="shared" si="115"/>
        <v>1.7</v>
      </c>
      <c r="CJ453" s="313">
        <f>CE453*$CJ$102</f>
        <v>1.0486</v>
      </c>
      <c r="CK453" s="313">
        <f>CF453*$CK$102</f>
        <v>1.1893769999999999</v>
      </c>
      <c r="CL453" s="313">
        <f>CG453*$CL$102</f>
        <v>1.4405999999999999</v>
      </c>
      <c r="CM453" s="313">
        <f>CH453*$CM$102</f>
        <v>1.5542309999999999</v>
      </c>
      <c r="CN453" s="314">
        <f>CI453*$CN$102</f>
        <v>1.6319999999999999</v>
      </c>
      <c r="CO453" s="315">
        <f t="shared" si="124"/>
        <v>1.006656</v>
      </c>
      <c r="CP453" s="316">
        <f t="shared" si="104"/>
        <v>1974.8670014637182</v>
      </c>
      <c r="CQ453" s="317">
        <f t="shared" si="105"/>
        <v>52131.078244117605</v>
      </c>
      <c r="CR453" s="318">
        <f t="shared" si="123"/>
        <v>1974.8670014637182</v>
      </c>
      <c r="CS453" s="319"/>
      <c r="CT453" s="319"/>
      <c r="CU453" s="319"/>
      <c r="CV453" s="319"/>
      <c r="CW453" s="319"/>
      <c r="CX453" s="319"/>
      <c r="CY453" s="319"/>
      <c r="CZ453" s="319"/>
      <c r="DA453" s="319"/>
      <c r="DB453" s="319"/>
      <c r="DC453" s="319"/>
      <c r="DD453" s="319"/>
      <c r="DE453" s="319"/>
      <c r="DF453" s="319"/>
      <c r="DG453" s="319"/>
      <c r="DH453" s="319"/>
      <c r="DI453" s="319"/>
      <c r="DJ453" s="319"/>
      <c r="DK453" s="319"/>
      <c r="DL453" s="319"/>
      <c r="DM453" s="319"/>
      <c r="DN453" s="319"/>
      <c r="DO453" s="319"/>
      <c r="DP453" s="319"/>
      <c r="DQ453" s="319"/>
      <c r="DR453" s="319"/>
      <c r="DS453" s="319"/>
      <c r="DT453" s="319"/>
      <c r="DU453" s="319"/>
      <c r="DV453" s="319"/>
      <c r="DW453" s="319"/>
      <c r="DX453" s="319"/>
      <c r="DY453" s="319"/>
      <c r="DZ453" s="319"/>
      <c r="EA453" s="319"/>
      <c r="EB453" s="319"/>
      <c r="EC453" s="319"/>
      <c r="ED453" s="319"/>
      <c r="EE453" s="319"/>
      <c r="EF453" s="319"/>
      <c r="EG453" s="319"/>
      <c r="EH453" s="319"/>
      <c r="EI453" s="319"/>
      <c r="EJ453" s="319"/>
      <c r="EK453" s="319"/>
      <c r="EL453" s="319"/>
      <c r="EM453" s="319"/>
      <c r="EN453" s="319"/>
      <c r="EO453" s="319"/>
      <c r="EP453" s="319"/>
      <c r="EQ453" s="319"/>
      <c r="ER453" s="319"/>
      <c r="ES453" s="319"/>
      <c r="ET453" s="319"/>
      <c r="EU453" s="319"/>
      <c r="EV453" s="319"/>
      <c r="EW453" s="319"/>
      <c r="EX453" s="319"/>
      <c r="EY453" s="319"/>
      <c r="EZ453" s="319"/>
      <c r="FA453" s="319"/>
    </row>
    <row r="454" spans="1:157" s="349" customFormat="1" ht="13.5" thickBot="1" x14ac:dyDescent="0.3">
      <c r="A454" s="320">
        <f>IF(AND('[1]Cockpit Retorno'!$E$67=Sim,Mestre!M454=Mestre!$M$98),0,1)</f>
        <v>1</v>
      </c>
      <c r="B454" s="320">
        <f>IF(AND('[1]Cockpit Retorno'!$E$67=Sim,Mestre!L454=Mestre!$L$48),0,1)</f>
        <v>0</v>
      </c>
      <c r="C454" s="320">
        <f>IF(AND('[1]Cockpit Retorno'!$E$67=Sim,Mestre!M454=Mestre!$M$97),0,1)</f>
        <v>1</v>
      </c>
      <c r="D454" s="321" t="s">
        <v>604</v>
      </c>
      <c r="E454" s="322" t="s">
        <v>605</v>
      </c>
      <c r="F454" s="323"/>
      <c r="G454" s="284">
        <v>100023</v>
      </c>
      <c r="H454" s="324"/>
      <c r="I454" s="325" t="str">
        <f t="shared" si="116"/>
        <v>Despesas</v>
      </c>
      <c r="J454" s="324"/>
      <c r="K454" s="326" t="s">
        <v>123</v>
      </c>
      <c r="L454" s="327" t="s">
        <v>15</v>
      </c>
      <c r="M454" s="327" t="s">
        <v>12</v>
      </c>
      <c r="N454" s="327" t="s">
        <v>601</v>
      </c>
      <c r="O454" s="327" t="s">
        <v>43</v>
      </c>
      <c r="P454" s="327" t="s">
        <v>43</v>
      </c>
      <c r="Q454" s="327" t="s">
        <v>43</v>
      </c>
      <c r="R454" s="327" t="s">
        <v>43</v>
      </c>
      <c r="S454" s="328" t="s">
        <v>43</v>
      </c>
      <c r="T454" s="324" t="s">
        <v>43</v>
      </c>
      <c r="U454" s="324" t="s">
        <v>43</v>
      </c>
      <c r="V454" s="324" t="s">
        <v>43</v>
      </c>
      <c r="W454" s="324" t="s">
        <v>43</v>
      </c>
      <c r="X454" s="292" t="s">
        <v>606</v>
      </c>
      <c r="Y454" s="324" t="s">
        <v>43</v>
      </c>
      <c r="Z454" s="324" t="s">
        <v>43</v>
      </c>
      <c r="AA454" s="324">
        <v>1</v>
      </c>
      <c r="AB454" s="327" t="s">
        <v>43</v>
      </c>
      <c r="AC454" s="324" t="s">
        <v>43</v>
      </c>
      <c r="AD454" s="327" t="s">
        <v>43</v>
      </c>
      <c r="AE454" s="327" t="s">
        <v>141</v>
      </c>
      <c r="AF454" s="324" t="s">
        <v>43</v>
      </c>
      <c r="AG454" s="329">
        <v>1</v>
      </c>
      <c r="AH454" s="330">
        <f>IFERROR('[1]Cockpit Retorno'!C101,0)</f>
        <v>1758603.3959395217</v>
      </c>
      <c r="AI454" s="331">
        <v>0</v>
      </c>
      <c r="AJ454" s="331">
        <v>0</v>
      </c>
      <c r="AK454" s="331">
        <v>0</v>
      </c>
      <c r="AL454" s="331">
        <v>0</v>
      </c>
      <c r="AM454" s="332">
        <f>(((IF(L454=$L$101,1,IF(L454=$L$47,1,0))*(AH454*(1-AK454)))*AG454)*(1-AL454))</f>
        <v>1758603.3959395217</v>
      </c>
      <c r="AN454" s="333">
        <f>AM454</f>
        <v>1758603.3959395217</v>
      </c>
      <c r="AO454" s="334">
        <v>1</v>
      </c>
      <c r="AP454" s="335">
        <f t="shared" si="117"/>
        <v>1758603.3959395217</v>
      </c>
      <c r="AQ454" s="335">
        <f t="shared" si="125"/>
        <v>1523768.845986787</v>
      </c>
      <c r="AR454" s="335">
        <f t="shared" si="118"/>
        <v>1758603.3959395217</v>
      </c>
      <c r="AS454" s="336"/>
      <c r="AT454" s="337" t="str">
        <f>K454</f>
        <v>TXATM</v>
      </c>
      <c r="AU454" s="325" t="str">
        <f>I454</f>
        <v>Despesas</v>
      </c>
      <c r="AV454" s="338"/>
      <c r="AW454" s="339"/>
      <c r="AX454" s="340"/>
      <c r="AY454" s="340"/>
      <c r="AZ454" s="340"/>
      <c r="BA454" s="340"/>
      <c r="BB454" s="340"/>
      <c r="BC454" s="341"/>
      <c r="BD454" s="341"/>
      <c r="BE454" s="341"/>
      <c r="BF454" s="341">
        <f>IF('[1]Cockpit Retorno'!$C$65=Sim,Mestre!BA454,SUM(BB454:BE454)+(IF(K454=$K$56,AQ454*MOE_IRRF_LR,0)))</f>
        <v>0</v>
      </c>
      <c r="BG454" s="342"/>
      <c r="BH454" s="342"/>
      <c r="BI454" s="342"/>
      <c r="BJ454" s="342"/>
      <c r="BK454" s="342"/>
      <c r="BL454" s="342"/>
      <c r="BM454" s="342"/>
      <c r="BN454" s="342"/>
      <c r="BO454" s="342"/>
      <c r="BP454" s="342"/>
      <c r="BQ454" s="342"/>
      <c r="BR454" s="342"/>
      <c r="BS454" s="342"/>
      <c r="BT454" s="342"/>
      <c r="BU454" s="342"/>
      <c r="BV454" s="342"/>
      <c r="BW454" s="342"/>
      <c r="BX454" s="342"/>
      <c r="BY454" s="342"/>
      <c r="BZ454" s="342"/>
      <c r="CA454" s="342"/>
      <c r="CB454" s="342"/>
      <c r="CC454" s="342">
        <f>IFERROR(IF(L454=$L$49,AG454*AH454*(1+AI454)*(1-AK454)*(1-AL454),0),0)</f>
        <v>0</v>
      </c>
      <c r="CD454" s="343">
        <f>IF(I454=$CD$97,1,IF(I454=$CD$100,2,IF(K454=$K$66,1,IF(K454=$K$69,1,3))))</f>
        <v>2</v>
      </c>
      <c r="CE454" s="343">
        <f t="shared" si="113"/>
        <v>1.07</v>
      </c>
      <c r="CF454" s="344">
        <f t="shared" si="96"/>
        <v>1.2788999999999999</v>
      </c>
      <c r="CG454" s="343">
        <f t="shared" si="114"/>
        <v>1.47</v>
      </c>
      <c r="CH454" s="344">
        <f t="shared" si="97"/>
        <v>1.6023000000000001</v>
      </c>
      <c r="CI454" s="343">
        <f t="shared" si="115"/>
        <v>1.7</v>
      </c>
      <c r="CJ454" s="344">
        <f t="shared" si="107"/>
        <v>1.0486</v>
      </c>
      <c r="CK454" s="344">
        <f t="shared" si="108"/>
        <v>1.1893769999999999</v>
      </c>
      <c r="CL454" s="344">
        <f t="shared" si="109"/>
        <v>1.4405999999999999</v>
      </c>
      <c r="CM454" s="344">
        <f t="shared" si="110"/>
        <v>1.5542309999999999</v>
      </c>
      <c r="CN454" s="343">
        <f t="shared" si="111"/>
        <v>1.6319999999999999</v>
      </c>
      <c r="CO454" s="344">
        <f t="shared" si="124"/>
        <v>1.006656</v>
      </c>
      <c r="CP454" s="345">
        <f t="shared" si="104"/>
        <v>0</v>
      </c>
      <c r="CQ454" s="346">
        <f t="shared" si="105"/>
        <v>1523768.845986787</v>
      </c>
      <c r="CR454" s="347">
        <f t="shared" si="123"/>
        <v>0</v>
      </c>
      <c r="CS454" s="348"/>
      <c r="CT454" s="348"/>
      <c r="CU454" s="348"/>
      <c r="CV454" s="348"/>
      <c r="CW454" s="348"/>
      <c r="CX454" s="348"/>
      <c r="CY454" s="348"/>
      <c r="CZ454" s="348"/>
      <c r="DA454" s="348"/>
      <c r="DB454" s="348"/>
      <c r="DC454" s="348"/>
      <c r="DD454" s="348"/>
      <c r="DE454" s="348"/>
      <c r="DF454" s="348"/>
      <c r="DG454" s="348"/>
      <c r="DH454" s="348"/>
      <c r="DI454" s="348"/>
      <c r="DJ454" s="348"/>
      <c r="DK454" s="348"/>
      <c r="DL454" s="348"/>
      <c r="DM454" s="348"/>
      <c r="DN454" s="348"/>
      <c r="DO454" s="348"/>
      <c r="DP454" s="348"/>
      <c r="DQ454" s="348"/>
      <c r="DR454" s="348"/>
      <c r="DS454" s="348"/>
      <c r="DT454" s="348"/>
      <c r="DU454" s="348"/>
      <c r="DV454" s="348"/>
      <c r="DW454" s="348"/>
      <c r="DX454" s="348"/>
      <c r="DY454" s="348"/>
      <c r="DZ454" s="348"/>
      <c r="EA454" s="348"/>
      <c r="EB454" s="348"/>
      <c r="EC454" s="348"/>
      <c r="ED454" s="348"/>
      <c r="EE454" s="348"/>
      <c r="EF454" s="348"/>
      <c r="EG454" s="348"/>
      <c r="EH454" s="348"/>
      <c r="EI454" s="348"/>
      <c r="EJ454" s="348"/>
      <c r="EK454" s="348"/>
      <c r="EL454" s="348"/>
      <c r="EM454" s="348"/>
      <c r="EN454" s="348"/>
      <c r="EO454" s="348"/>
      <c r="EP454" s="348"/>
      <c r="EQ454" s="348"/>
      <c r="ER454" s="348"/>
      <c r="ES454" s="348"/>
      <c r="ET454" s="348"/>
      <c r="EU454" s="348"/>
      <c r="EV454" s="348"/>
      <c r="EW454" s="348"/>
      <c r="EX454" s="348"/>
      <c r="EY454" s="348"/>
      <c r="EZ454" s="348"/>
      <c r="FA454" s="348"/>
    </row>
    <row r="455" spans="1:157" s="350" customFormat="1" ht="27.6" customHeight="1" thickTop="1" thickBot="1" x14ac:dyDescent="0.3">
      <c r="E455" s="351"/>
      <c r="F455" s="352"/>
      <c r="G455" s="353">
        <v>100023</v>
      </c>
      <c r="H455" s="353"/>
      <c r="I455" s="353"/>
      <c r="J455" s="354"/>
      <c r="K455" s="354"/>
      <c r="L455" s="354"/>
      <c r="M455" s="354"/>
      <c r="N455" s="354"/>
      <c r="O455" s="354"/>
      <c r="P455" s="354"/>
      <c r="Q455" s="354"/>
      <c r="R455" s="354"/>
      <c r="S455" s="354"/>
      <c r="T455" s="354"/>
      <c r="U455" s="354"/>
      <c r="V455" s="354"/>
      <c r="W455" s="354"/>
      <c r="X455" s="355"/>
      <c r="Y455" s="354"/>
      <c r="Z455" s="354"/>
      <c r="AA455" s="354"/>
      <c r="AB455" s="354"/>
      <c r="AC455" s="354"/>
      <c r="AD455" s="354"/>
      <c r="AE455" s="354" t="s">
        <v>607</v>
      </c>
      <c r="AF455" s="354"/>
      <c r="AG455" s="356">
        <f>SUBTOTAL(9,AG103:AG454)</f>
        <v>455965.41</v>
      </c>
      <c r="AH455" s="357"/>
      <c r="AI455" s="358"/>
      <c r="AJ455" s="358"/>
      <c r="AK455" s="358"/>
      <c r="AL455" s="358"/>
      <c r="AM455" s="359">
        <f>SUBTOTAL(9,AM102:AM454)</f>
        <v>7448662.7371698683</v>
      </c>
      <c r="AN455" s="360">
        <f>SUBTOTAL(9,AN102:AN454)</f>
        <v>7448694.3571698675</v>
      </c>
      <c r="AO455" s="361"/>
      <c r="AP455" s="359">
        <f>SUBTOTAL(9,AP102:AP454)</f>
        <v>11642266.880101088</v>
      </c>
      <c r="AQ455" s="359">
        <f>SUBTOTAL(9,AQ103:AQ454)</f>
        <v>10087620.443314511</v>
      </c>
      <c r="AR455" s="359">
        <f>SUBTOTAL(9,AR102:AR454)</f>
        <v>11642311.14810109</v>
      </c>
      <c r="AS455" s="358">
        <f>IFERROR(IF($AX$94=0,(CQ455/AN455),CQ455/AM455),0)</f>
        <v>1.3186492808327137</v>
      </c>
      <c r="AT455" s="362">
        <f>SUBTOTAL(9,AT102:AT454)</f>
        <v>0</v>
      </c>
      <c r="AU455" s="362">
        <f>SUBTOTAL(9,AU102:AU454)</f>
        <v>0</v>
      </c>
      <c r="AV455" s="362">
        <f t="shared" ref="AV455:BF455" si="126">SUBTOTAL(9,AV103:AV454)</f>
        <v>0</v>
      </c>
      <c r="AW455" s="363">
        <f t="shared" si="126"/>
        <v>31.62</v>
      </c>
      <c r="AX455" s="363">
        <f t="shared" si="126"/>
        <v>0</v>
      </c>
      <c r="AY455" s="363">
        <f t="shared" si="126"/>
        <v>9808.5747872077463</v>
      </c>
      <c r="AZ455" s="363">
        <f t="shared" si="126"/>
        <v>45178.889928956931</v>
      </c>
      <c r="BA455" s="363">
        <f t="shared" si="126"/>
        <v>54987.464716164657</v>
      </c>
      <c r="BB455" s="363">
        <f t="shared" si="126"/>
        <v>0</v>
      </c>
      <c r="BC455" s="363">
        <f t="shared" si="126"/>
        <v>55665.035382630209</v>
      </c>
      <c r="BD455" s="363">
        <f t="shared" si="126"/>
        <v>256915.54791983176</v>
      </c>
      <c r="BE455" s="363">
        <f t="shared" si="126"/>
        <v>0</v>
      </c>
      <c r="BF455" s="363">
        <f t="shared" si="126"/>
        <v>312932.26105835894</v>
      </c>
      <c r="BG455" s="351"/>
      <c r="BH455" s="351"/>
      <c r="BI455" s="351"/>
      <c r="BJ455" s="351"/>
      <c r="BK455" s="351"/>
      <c r="BL455" s="351"/>
      <c r="BM455" s="351"/>
      <c r="BN455" s="351"/>
      <c r="BO455" s="351"/>
      <c r="BP455" s="351"/>
      <c r="BQ455" s="351"/>
      <c r="BR455" s="351"/>
      <c r="BS455" s="351"/>
      <c r="BT455" s="351"/>
      <c r="BU455" s="351"/>
      <c r="BV455" s="351"/>
      <c r="BW455" s="351"/>
      <c r="BX455" s="351"/>
      <c r="BY455" s="351"/>
      <c r="BZ455" s="351"/>
      <c r="CA455" s="351"/>
      <c r="CB455" s="351"/>
      <c r="CC455" s="351">
        <f>SUBTOTAL(9,CC103:CC454)</f>
        <v>6144707.7533400021</v>
      </c>
      <c r="CD455" s="364"/>
      <c r="CE455" s="364"/>
      <c r="CF455" s="364"/>
      <c r="CG455" s="364"/>
      <c r="CH455" s="364"/>
      <c r="CI455" s="364"/>
      <c r="CJ455" s="364"/>
      <c r="CK455" s="364"/>
      <c r="CL455" s="364"/>
      <c r="CM455" s="364"/>
      <c r="CN455" s="364"/>
      <c r="CO455" s="364"/>
      <c r="CP455" s="364"/>
      <c r="CQ455" s="365">
        <f>SUBTOTAL(9,CQ103:CQ454)</f>
        <v>9822215.4572247379</v>
      </c>
      <c r="CR455" s="365">
        <f>SUBTOTAL(9,CR103:CR454)</f>
        <v>312318.69738415739</v>
      </c>
      <c r="CS455" s="366"/>
      <c r="CT455" s="366"/>
      <c r="CU455" s="366"/>
      <c r="CV455" s="366"/>
      <c r="CW455" s="366"/>
      <c r="CX455" s="366"/>
      <c r="CY455" s="366"/>
      <c r="CZ455" s="366"/>
      <c r="DA455" s="366"/>
      <c r="DB455" s="366"/>
      <c r="DC455" s="366"/>
      <c r="DD455" s="366"/>
      <c r="DE455" s="366"/>
      <c r="DF455" s="366"/>
      <c r="DG455" s="366"/>
      <c r="DH455" s="366"/>
      <c r="DI455" s="366"/>
      <c r="DJ455" s="366"/>
      <c r="DK455" s="366"/>
      <c r="DL455" s="366"/>
      <c r="DM455" s="366"/>
      <c r="DN455" s="366"/>
      <c r="DO455" s="366"/>
      <c r="DP455" s="366"/>
      <c r="DQ455" s="366"/>
      <c r="DR455" s="366"/>
      <c r="DS455" s="366"/>
      <c r="DT455" s="366"/>
      <c r="DU455" s="366"/>
      <c r="DV455" s="366"/>
      <c r="DW455" s="366"/>
      <c r="DX455" s="366"/>
      <c r="DY455" s="366"/>
      <c r="DZ455" s="366"/>
      <c r="EA455" s="366"/>
      <c r="EB455" s="366"/>
      <c r="EC455" s="366"/>
      <c r="ED455" s="366"/>
      <c r="EE455" s="366"/>
      <c r="EF455" s="366"/>
      <c r="EG455" s="366"/>
      <c r="EH455" s="366"/>
      <c r="EI455" s="366"/>
      <c r="EJ455" s="366"/>
      <c r="EK455" s="366"/>
      <c r="EL455" s="366"/>
      <c r="EM455" s="366"/>
      <c r="EN455" s="366"/>
      <c r="EO455" s="366"/>
      <c r="EP455" s="366"/>
      <c r="EQ455" s="366"/>
      <c r="ER455" s="366"/>
      <c r="ES455" s="366"/>
      <c r="ET455" s="366"/>
      <c r="EU455" s="366"/>
      <c r="EV455" s="366"/>
      <c r="EW455" s="366"/>
      <c r="EX455" s="366"/>
      <c r="EY455" s="366"/>
      <c r="EZ455" s="366"/>
      <c r="FA455" s="366"/>
    </row>
    <row r="456" spans="1:157" ht="13.5" thickTop="1" x14ac:dyDescent="0.25"/>
    <row r="457" spans="1:157" x14ac:dyDescent="0.25">
      <c r="AQ457" s="367"/>
      <c r="AR457" s="368"/>
      <c r="AS457" s="368"/>
      <c r="AT457" s="369">
        <v>0</v>
      </c>
    </row>
  </sheetData>
  <sheetProtection formatCells="0" formatColumns="0" formatRows="0" insertColumns="0" insertRows="0" insertHyperlinks="0" deleteColumns="0" deleteRows="0" sort="0" autoFilter="0" pivotTables="0"/>
  <protectedRanges>
    <protectedRange algorithmName="SHA-512" hashValue="XY3pXaSnIVb05j7ctBYW4+UCbw2gJhr92UstaLQxBvEEyckqv+stWf2kjNQF6629vaEQeYMUKb7vEqJrqqpoNw==" saltValue="RTONzoDyjGlLsCnBEE6mZA==" spinCount="100000" sqref="CD102:XFD102 D102:CB102" name="Titulos"/>
    <protectedRange algorithmName="SHA-512" hashValue="kGfoW/jLI12fXdXrr7Q2FiNqiWQpR9L1o1JXr6a+ZKaoE2XIsL7KUnnaB2dsjiEOSm2in6ptebJDbjOg2VGz5Q==" saltValue="2hckc8Tv2HVNxuXh0U2/LA==" spinCount="100000" sqref="I95:J95 J96:J99 O74:O95 D434:D435 AP431:AX431 AO451 AO443:AO449 AO436 AO431:AO433 CC430:CC451 D103 D418:D422 D125 Y431:Y451 AZ430:CB431 AY430:AY451 M431:X431 M420:AF420 CC454 F453 AY454 L454 G453:G455 D452:D453 F452:AG452 AI115:AN117 AI113:AN113 AI420:AN420 AI429:AN429 CD430:XFD431 Y115:AF117 L410:L451 F410:F431 H410:K431 G410:G451 D127 D129 D131 Y133:AG133 N122:W123 N133:W133 M410:AG419 AI133:XFD133 AO425:XFD429 AO105:XFD119 AO297:XFD422 D134:D135 F104:W121 AI120:XFD123 D115:D123 F135:AG409 F122:M134 Z431:AN431 AH430:AX430 AH103:XFD104 AH105:AN112 AH423:XFD424 AH425:AN428 AH421:AN422 AH134:XFD296 AH297:AN419 Y118:AG123 Y104:AG114 F103:AG103 H453:AG453 N134:AG134 M421:AG430 AH118:AN119 AH114:AN114 N124:XFD132 AH452:XFD453" name="Mestre Libera"/>
    <protectedRange algorithmName="SHA-512" hashValue="kGfoW/jLI12fXdXrr7Q2FiNqiWQpR9L1o1JXr6a+ZKaoE2XIsL7KUnnaB2dsjiEOSm2in6ptebJDbjOg2VGz5Q==" saltValue="2hckc8Tv2HVNxuXh0U2/LA==" spinCount="100000" sqref="AH429" name="Mestre Libera_3"/>
    <protectedRange algorithmName="SHA-512" hashValue="kGfoW/jLI12fXdXrr7Q2FiNqiWQpR9L1o1JXr6a+ZKaoE2XIsL7KUnnaB2dsjiEOSm2in6ptebJDbjOg2VGz5Q==" saltValue="2hckc8Tv2HVNxuXh0U2/LA==" spinCount="100000" sqref="AG420 AG115:AG117" name="Mestre Libera_1"/>
    <protectedRange algorithmName="SHA-512" hashValue="kGfoW/jLI12fXdXrr7Q2FiNqiWQpR9L1o1JXr6a+ZKaoE2XIsL7KUnnaB2dsjiEOSm2in6ptebJDbjOg2VGz5Q==" saltValue="2hckc8Tv2HVNxuXh0U2/LA==" spinCount="100000" sqref="AH420 AH115:AH117" name="Mestre Libera_3_2"/>
    <protectedRange algorithmName="SHA-512" hashValue="XY3pXaSnIVb05j7ctBYW4+UCbw2gJhr92UstaLQxBvEEyckqv+stWf2kjNQF6629vaEQeYMUKb7vEqJrqqpoNw==" saltValue="RTONzoDyjGlLsCnBEE6mZA==" spinCount="100000" sqref="CC102" name="Titulos_1"/>
    <protectedRange algorithmName="SHA-512" hashValue="kGfoW/jLI12fXdXrr7Q2FiNqiWQpR9L1o1JXr6a+ZKaoE2XIsL7KUnnaB2dsjiEOSm2in6ptebJDbjOg2VGz5Q==" saltValue="2hckc8Tv2HVNxuXh0U2/LA==" spinCount="100000" sqref="X120:X123" name="Mestre Libera_2"/>
    <protectedRange algorithmName="SHA-512" hashValue="kGfoW/jLI12fXdXrr7Q2FiNqiWQpR9L1o1JXr6a+ZKaoE2XIsL7KUnnaB2dsjiEOSm2in6ptebJDbjOg2VGz5Q==" saltValue="2hckc8Tv2HVNxuXh0U2/LA==" spinCount="100000" sqref="AH113 AH133" name="Mestre Libera_5"/>
    <protectedRange algorithmName="SHA-512" hashValue="kGfoW/jLI12fXdXrr7Q2FiNqiWQpR9L1o1JXr6a+ZKaoE2XIsL7KUnnaB2dsjiEOSm2in6ptebJDbjOg2VGz5Q==" saltValue="2hckc8Tv2HVNxuXh0U2/LA==" spinCount="100000" sqref="AH120:AH123" name="Mestre Libera_4_1_1"/>
    <protectedRange algorithmName="SHA-512" hashValue="kGfoW/jLI12fXdXrr7Q2FiNqiWQpR9L1o1JXr6a+ZKaoE2XIsL7KUnnaB2dsjiEOSm2in6ptebJDbjOg2VGz5Q==" saltValue="2hckc8Tv2HVNxuXh0U2/LA==" spinCount="100000" sqref="X111:X119 X133" name="Mestre Libera_2_1"/>
  </protectedRanges>
  <autoFilter ref="G102:CC454" xr:uid="{00000000-0001-0000-0600-000000000000}"/>
  <dataConsolidate/>
  <mergeCells count="3">
    <mergeCell ref="AW93:AY93"/>
    <mergeCell ref="AZ96:BA96"/>
    <mergeCell ref="H101:J101"/>
  </mergeCells>
  <conditionalFormatting sqref="E103:E453">
    <cfRule type="containsText" dxfId="1" priority="2" operator="containsText" text="C">
      <formula>NOT(ISERROR(SEARCH("C",E103)))</formula>
    </cfRule>
  </conditionalFormatting>
  <conditionalFormatting sqref="A103:CC454">
    <cfRule type="expression" dxfId="0" priority="1">
      <formula>MOD(ROW(),2)=0</formula>
    </cfRule>
  </conditionalFormatting>
  <dataValidations count="24">
    <dataValidation type="list" allowBlank="1" showInputMessage="1" showErrorMessage="1" sqref="J103:J454" xr:uid="{B99D63A1-FFFB-48EE-B140-8FE1851C96B7}">
      <formula1>$J$93:$J$94</formula1>
    </dataValidation>
    <dataValidation type="list" allowBlank="1" showInputMessage="1" showErrorMessage="1" sqref="H103:H453" xr:uid="{4ED5D524-B143-4D1F-9B7C-9E144BBB5D86}">
      <formula1>$H$39:$H$84</formula1>
    </dataValidation>
    <dataValidation type="list" allowBlank="1" showInputMessage="1" showErrorMessage="1" sqref="E98:E99 E103:E453" xr:uid="{962D6533-642C-49F0-B934-F422E6953692}">
      <formula1>$E$98:$E$99</formula1>
    </dataValidation>
    <dataValidation allowBlank="1" showInputMessage="1" showErrorMessage="1" promptTitle="Buyout" prompt="Valor estimado e calibrado de possível desconto. Ou seja no fechamento da proposta, analisa se o espaço que se tem para se obter desconto do fornecedor." sqref="AL102" xr:uid="{13B75C51-057A-495A-996E-BF11D2602CED}"/>
    <dataValidation allowBlank="1" showInputMessage="1" showErrorMessage="1" promptTitle="Multiplicadores Sugerido:" prompt="LOG_MOB_SSMA_TRS = 1,32_x000a_Limites: 1,2 a 1,5_x000a_Mercadoria: = 1,32_x000a_Limites: 1,2 a 1,5_x000a_MOC_MOE_SERV  =  1,9_x000a_Limites:  1,5 a 2,2" sqref="AO102" xr:uid="{C75AC2E9-2475-461D-B814-2E9BF1076018}"/>
    <dataValidation type="list" allowBlank="1" showInputMessage="1" showErrorMessage="1" sqref="H454" xr:uid="{707EF465-8816-4464-8C19-2B5439022B11}">
      <formula1>$H$39:$H$81</formula1>
    </dataValidation>
    <dataValidation type="list" allowBlank="1" showInputMessage="1" showErrorMessage="1" sqref="K48 I48 H39 K446 N88" xr:uid="{E3F70687-2E49-4A14-8C54-82F83F3C1FB7}">
      <formula1>$K$48:$K$70</formula1>
    </dataValidation>
    <dataValidation type="list" allowBlank="1" showInputMessage="1" showErrorMessage="1" sqref="I85:I87 CD97:CD101" xr:uid="{BD068CDC-B13F-442F-9482-FA0F0F69A01D}">
      <formula1>$I$85:$I$87</formula1>
    </dataValidation>
    <dataValidation type="list" allowBlank="1" showInputMessage="1" showErrorMessage="1" sqref="Z49:Z60" xr:uid="{8723C30B-7EA2-4A5E-A7E2-BA3FF9E0E8DC}">
      <formula1>$Z$48:$Z$60</formula1>
    </dataValidation>
    <dataValidation type="list" allowBlank="1" showInputMessage="1" showErrorMessage="1" sqref="AC49:AC61" xr:uid="{265FF4CE-BA7A-432D-A3A7-10BA67C57C49}">
      <formula1>$AC$48:$AC$62</formula1>
    </dataValidation>
    <dataValidation type="list" allowBlank="1" showInputMessage="1" showErrorMessage="1" sqref="AF49:AF51" xr:uid="{7E4D0193-03A2-40EB-A730-FD4B368F4331}">
      <formula1>$AF$48:$AF$51</formula1>
    </dataValidation>
    <dataValidation type="list" allowBlank="1" showInputMessage="1" showErrorMessage="1" sqref="AF80:AF91 AE49:AE78" xr:uid="{EC82C15C-5C11-4961-AE0F-D59CD5D76220}">
      <formula1>$AE$48:$AE$78</formula1>
    </dataValidation>
    <dataValidation type="list" allowBlank="1" showInputMessage="1" showErrorMessage="1" sqref="AI49:AI52" xr:uid="{EC551BDB-8687-4EA0-A465-8900B776C00F}">
      <formula1>$AI$48:$AI$52</formula1>
    </dataValidation>
    <dataValidation type="list" allowBlank="1" showInputMessage="1" showErrorMessage="1" sqref="AK48:AL48" xr:uid="{0BDDE591-30F4-436A-B67D-272206874D11}">
      <formula1>$AK$48:$AK$90</formula1>
    </dataValidation>
    <dataValidation type="list" allowBlank="1" showInputMessage="1" showErrorMessage="1" sqref="AI48" xr:uid="{096E20D7-D1B7-4114-8E24-F980A2DDA822}">
      <formula1>$AI$48:$AI$54</formula1>
    </dataValidation>
    <dataValidation type="list" allowBlank="1" showInputMessage="1" showErrorMessage="1" sqref="AJ48:AJ51" xr:uid="{49780049-86F8-4D6F-8EEA-5073AA901AFA}">
      <formula1>$AJ$48:$AJ$53</formula1>
    </dataValidation>
    <dataValidation errorStyle="warning" allowBlank="1" showErrorMessage="1" errorTitle="IPI" error="Check IPI" sqref="AI434 AI452:AI453 AI428:AI432 AI133:AI424 AI103:AI131" xr:uid="{C08449CC-B2AA-40E8-91F1-CEFE6C4955B6}"/>
    <dataValidation type="list" allowBlank="1" showInputMessage="1" showErrorMessage="1" sqref="L61:L65 L48 L103:L454" xr:uid="{EFD61679-E041-40FE-B2E0-47B6369BD1F2}">
      <formula1>$L$47:$L$50</formula1>
    </dataValidation>
    <dataValidation type="list" allowBlank="1" showInputMessage="1" showErrorMessage="1" sqref="Z48 Z103:Z454" xr:uid="{12AA4778-CBA8-48D0-B9D2-916D57A823D4}">
      <formula1>$Z$48:$Z$65</formula1>
    </dataValidation>
    <dataValidation type="list" allowBlank="1" showInputMessage="1" showErrorMessage="1" sqref="AA48:AA60 AA103:AA454" xr:uid="{EB3752EA-3DF1-49AE-B2D9-6A2660D041C9}">
      <formula1>$AA$48:$AA$61</formula1>
    </dataValidation>
    <dataValidation type="list" allowBlank="1" showInputMessage="1" showErrorMessage="1" sqref="AE48 AE103:AE454" xr:uid="{2AD3A789-45A2-47ED-8714-21D06D4E8C42}">
      <formula1>$AE$48:$AE$100</formula1>
    </dataValidation>
    <dataValidation type="list" allowBlank="1" showInputMessage="1" showErrorMessage="1" sqref="AF48 AF103:AF454" xr:uid="{CBA7259C-CE9F-4353-993C-A5A7A38EDE78}">
      <formula1>$AF$48:$AF$52</formula1>
    </dataValidation>
    <dataValidation type="list" allowBlank="1" showInputMessage="1" showErrorMessage="1" sqref="AC48 AC103:AC454" xr:uid="{D59DCD40-EAB8-491D-9F00-057511851F92}">
      <formula1>$AC$48:$AC$71</formula1>
    </dataValidation>
    <dataValidation type="list" allowBlank="1" showInputMessage="1" showErrorMessage="1" sqref="AU65:AV68 F103:F432 F452:F453" xr:uid="{3666BDB8-2F88-4016-AAC5-1F23DA7DF0AF}">
      <formula1>$AU$65:$AU$68</formula1>
    </dataValidation>
  </dataValidations>
  <printOptions horizontalCentered="1" headings="1" gridLines="1"/>
  <pageMargins left="1.1811023622047245" right="0.47244094488188981" top="0.98425196850393704" bottom="0.59055118110236227" header="0.31496062992125984" footer="0.31496062992125984"/>
  <pageSetup paperSize="9" scale="55" orientation="landscape" horizontalDpi="1200" r:id="rId1"/>
  <headerFooter>
    <oddHeader xml:space="preserve">&amp;L&amp;"Calibri"&amp;11&amp;K000000&amp;"Calibri"&amp;11&amp;K000000&amp;"Calibri"&amp;11&amp;K000000&amp;"Calibri"&amp;11&amp;K000000
&amp;G&amp;C   
&amp;"-,Negrito"&amp;14Planilha Mestre Comercial&amp;R   &amp;"-,Negrito" 
&amp;16Planilha&amp;11 &amp;16&amp;K00-045-&amp;11&amp;K01+000 &amp;16&amp;KFF0000Comercial
</oddHeader>
    <oddFooter>&amp;L&amp;7F-C-001-00-00_x000D_&amp;1#&amp;"Calibri"&amp;10&amp;K000000 Documento protegido,  direitos exclusivos da empresa.&amp;C&amp;"-,Negrito"&amp;KFF0000Sistema de Qualidade Authomathika&amp;R&amp;P</oddFooter>
  </headerFooter>
  <colBreaks count="1" manualBreakCount="1">
    <brk id="24" max="1048575" man="1"/>
  </colBreaks>
  <drawing r:id="rId2"/>
  <legacyDrawing r:id="rId3"/>
  <legacyDrawingHF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o" ma:contentTypeID="0x010100D20FFC5FDFAB0A47A4FC93BCA76C62B3" ma:contentTypeVersion="10" ma:contentTypeDescription="Crie um novo documento." ma:contentTypeScope="" ma:versionID="5496f06bac1022cfad6c6537f25f78bd">
  <xsd:schema xmlns:xsd="http://www.w3.org/2001/XMLSchema" xmlns:xs="http://www.w3.org/2001/XMLSchema" xmlns:p="http://schemas.microsoft.com/office/2006/metadata/properties" xmlns:ns2="84c58f15-8008-472b-b652-709800f5659b" xmlns:ns3="0e37035b-dd09-4315-bec2-0da8d6b4f3d8" targetNamespace="http://schemas.microsoft.com/office/2006/metadata/properties" ma:root="true" ma:fieldsID="c1ff25ae59e2c0f91f9dac8bdb59a37e" ns2:_="" ns3:_="">
    <xsd:import namespace="84c58f15-8008-472b-b652-709800f5659b"/>
    <xsd:import namespace="0e37035b-dd09-4315-bec2-0da8d6b4f3d8"/>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lcf76f155ced4ddcb4097134ff3c332f" minOccurs="0"/>
                <xsd:element ref="ns3:TaxCatchAll"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4c58f15-8008-472b-b652-709800f5659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lcf76f155ced4ddcb4097134ff3c332f" ma:index="13" nillable="true" ma:taxonomy="true" ma:internalName="lcf76f155ced4ddcb4097134ff3c332f" ma:taxonomyFieldName="MediaServiceImageTags" ma:displayName="Marcações de imagem" ma:readOnly="false" ma:fieldId="{5cf76f15-5ced-4ddc-b409-7134ff3c332f}" ma:taxonomyMulti="true" ma:sspId="39891a31-0602-4237-8573-863d315f3e9e"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e37035b-dd09-4315-bec2-0da8d6b4f3d8" elementFormDefault="qualified">
    <xsd:import namespace="http://schemas.microsoft.com/office/2006/documentManagement/types"/>
    <xsd:import namespace="http://schemas.microsoft.com/office/infopath/2007/PartnerControls"/>
    <xsd:element name="TaxCatchAll" ma:index="14" nillable="true" ma:displayName="Taxonomy Catch All Column" ma:hidden="true" ma:list="{a174760f-44c6-4a72-ba1e-18a984d6c3e7}" ma:internalName="TaxCatchAll" ma:showField="CatchAllData" ma:web="0e37035b-dd09-4315-bec2-0da8d6b4f3d8">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84c58f15-8008-472b-b652-709800f5659b">
      <Terms xmlns="http://schemas.microsoft.com/office/infopath/2007/PartnerControls"/>
    </lcf76f155ced4ddcb4097134ff3c332f>
    <TaxCatchAll xmlns="0e37035b-dd09-4315-bec2-0da8d6b4f3d8" xsi:nil="true"/>
  </documentManagement>
</p:properties>
</file>

<file path=customXml/itemProps1.xml><?xml version="1.0" encoding="utf-8"?>
<ds:datastoreItem xmlns:ds="http://schemas.openxmlformats.org/officeDocument/2006/customXml" ds:itemID="{BD062BF1-B6A3-4E7D-A527-7FD1133FBA3B}"/>
</file>

<file path=customXml/itemProps2.xml><?xml version="1.0" encoding="utf-8"?>
<ds:datastoreItem xmlns:ds="http://schemas.openxmlformats.org/officeDocument/2006/customXml" ds:itemID="{E9FD2D41-88AB-45D6-A589-6D53940B436B}"/>
</file>

<file path=customXml/itemProps3.xml><?xml version="1.0" encoding="utf-8"?>
<ds:datastoreItem xmlns:ds="http://schemas.openxmlformats.org/officeDocument/2006/customXml" ds:itemID="{E26BC8A8-89E6-447E-A01F-730C73FB0952}"/>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1</vt:i4>
      </vt:variant>
      <vt:variant>
        <vt:lpstr>Intervalos Nomeados</vt:lpstr>
      </vt:variant>
      <vt:variant>
        <vt:i4>1</vt:i4>
      </vt:variant>
    </vt:vector>
  </HeadingPairs>
  <TitlesOfParts>
    <vt:vector size="2" baseType="lpstr">
      <vt:lpstr>Mestre</vt:lpstr>
      <vt:lpstr>Mestre!Titulos_de_impressao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Marcela M. Castro</dc:creator>
  <cp:lastModifiedBy>Marcela M. Castro</cp:lastModifiedBy>
  <dcterms:created xsi:type="dcterms:W3CDTF">2026-02-10T16:04:46Z</dcterms:created>
  <dcterms:modified xsi:type="dcterms:W3CDTF">2026-02-10T16:40:33Z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0x010100D20FFC5FDFAB0A47A4FC93BCA76C62B3</vt:lpwstr>
  </property>
</Properties>
</file>